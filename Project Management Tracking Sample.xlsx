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Level Timeline" sheetId="1" r:id="rId5"/>
    <sheet state="visible" name="Timeline" sheetId="2" r:id="rId6"/>
    <sheet state="visible" name="Aero Procurement" sheetId="3" r:id="rId7"/>
    <sheet state="visible" name="VD Procurement" sheetId="4" r:id="rId8"/>
    <sheet state="visible" name="EP Procurement" sheetId="5" r:id="rId9"/>
    <sheet state="visible" name="Sheet Metal Procurment" sheetId="6" r:id="rId10"/>
    <sheet state="visible" name="Sheet Metal Stock" sheetId="7" r:id="rId11"/>
    <sheet state="visible" name="Business Procurement" sheetId="8" r:id="rId12"/>
    <sheet state="visible" name="Shop suppliesequipment procurem" sheetId="9" r:id="rId13"/>
    <sheet state="visible" name="Fastener Procurement" sheetId="10" r:id="rId14"/>
    <sheet state="visible" name="Water Jet" sheetId="11" r:id="rId15"/>
    <sheet state="visible" name="3D Printing" sheetId="12" r:id="rId16"/>
    <sheet state="visible" name="Bolt Checks" sheetId="13" r:id="rId17"/>
    <sheet state="visible" name="Lessons Learned 2021-23" sheetId="14" r:id="rId18"/>
    <sheet state="hidden" name="HV SafetyTools Procurement" sheetId="15" r:id="rId19"/>
    <sheet state="hidden" name="Single purchases" sheetId="16" r:id="rId20"/>
  </sheets>
  <definedNames>
    <definedName hidden="1" localSheetId="6" name="_xlnm._FilterDatabase">'Sheet Metal Stock'!$A$1:$H$22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tc={08053234-3d4f-4beb-a8b1-d36103f3fe41}</author>
  </authors>
  <commentList>
    <comment authorId="0" xr:uid="{08053234-3d4f-4beb-a8b1-d36103f3fe41}" ref="A1">
      <text>
        <t xml:space="preserve">[Threaded comment]
 Your version of Excel allows you to read this threaded comment; however, any edits to it will get removed if the file is opened in a newer version of Excel. Learn more: https://go.microsoft.com/fwlink/?linkid=870924
Comment:
	shouldnt we stick to m4 only?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tc={4d452baf-53e9-422b-b993-0a86d11f4573}</author>
    <author>tc={6045ccaa-d0f8-41ac-9941-0714489630d8}</author>
    <author>tc={96f8627b-5c7c-4aa2-b8a2-2a6daa885399}</author>
  </authors>
  <commentList>
    <comment authorId="0" xr:uid="{4d452baf-53e9-422b-b993-0a86d11f4573}" ref="D17">
      <text>
        <t xml:space="preserve">[Threaded comment]
 Your version of Excel allows you to read this threaded comment; however, any edits to it will get removed if the file is opened in a newer version of Excel. Learn more: https://go.microsoft.com/fwlink/?linkid=870924
Comment:
	the lid can be 0.09 thickness
</t>
      </text>
    </comment>
    <comment authorId="1" xr:uid="{6045ccaa-d0f8-41ac-9941-0714489630d8}" ref="A3">
      <text>
        <t xml:space="preserve">[Threaded comment]
 Your version of Excel allows you to read this threaded comment; however, any edits to it will get removed if the file is opened in a newer version of Excel. Learn more: https://go.microsoft.com/fwlink/?linkid=870924
Comment:
	check ep inventory sheet b4 putting it in!
</t>
      </text>
    </comment>
    <comment authorId="2" xr:uid="{96f8627b-5c7c-4aa2-b8a2-2a6daa885399}" ref="D7">
      <text>
        <t xml:space="preserve">[Threaded comment]
 Your version of Excel allows you to read this threaded comment; however, any edits to it will get removed if the file is opened in a newer version of Excel. Learn more: https://go.microsoft.com/fwlink/?linkid=870924
Comment:
	we rarely use the 7.9mm length, 4.1mm length is better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tc={a711d5dc-2660-4753-afd8-74eaa002b957}</author>
  </authors>
  <commentList>
    <comment authorId="0" xr:uid="{a711d5dc-2660-4753-afd8-74eaa002b957}" ref="K61">
      <text>
        <t xml:space="preserve">[Threaded comment]
 Your version of Excel allows you to read this threaded comment; however, any edits to it will get removed if the file is opened in a newer version of Excel. Learn more: https://go.microsoft.com/fwlink/?linkid=870924
Comment:
	got class 10
</t>
      </text>
    </comment>
  </commentList>
</comments>
</file>

<file path=xl/sharedStrings.xml><?xml version="1.0" encoding="utf-8"?>
<sst xmlns="http://schemas.openxmlformats.org/spreadsheetml/2006/main" count="6659" uniqueCount="2581">
  <si>
    <t>July</t>
  </si>
  <si>
    <t>August</t>
  </si>
  <si>
    <t>September</t>
  </si>
  <si>
    <t>October</t>
  </si>
  <si>
    <t>November</t>
  </si>
  <si>
    <t>December</t>
  </si>
  <si>
    <t>January</t>
  </si>
  <si>
    <t>February</t>
  </si>
  <si>
    <t xml:space="preserve">March </t>
  </si>
  <si>
    <t>April</t>
  </si>
  <si>
    <t>May</t>
  </si>
  <si>
    <t>June</t>
  </si>
  <si>
    <t>Task</t>
  </si>
  <si>
    <t>Design</t>
  </si>
  <si>
    <t xml:space="preserve">  Phase 1: Analysis &amp; Redesign</t>
  </si>
  <si>
    <t xml:space="preserve">  Binder Check 1</t>
  </si>
  <si>
    <t>TM-26 Initial CAD</t>
  </si>
  <si>
    <t>System Leads Check 1</t>
  </si>
  <si>
    <t xml:space="preserve">  Phase 2: Prototyping</t>
  </si>
  <si>
    <t xml:space="preserve">  Binder Check 2</t>
  </si>
  <si>
    <r>
      <rPr>
        <rFont val="Arial"/>
        <b/>
        <color theme="1"/>
      </rPr>
      <t xml:space="preserve">   </t>
    </r>
    <r>
      <rPr>
        <rFont val="Arial"/>
        <b val="0"/>
        <color theme="1"/>
      </rPr>
      <t>Finish Troubleshooting TM-25</t>
    </r>
  </si>
  <si>
    <t xml:space="preserve">   Detailed TM-26 CAD</t>
  </si>
  <si>
    <t xml:space="preserve">   Track Testing </t>
  </si>
  <si>
    <t>System Leads Check 2</t>
  </si>
  <si>
    <t xml:space="preserve">  Phase 3: Simulation &amp; Optimization</t>
  </si>
  <si>
    <t xml:space="preserve">  Rules Check 1</t>
  </si>
  <si>
    <t xml:space="preserve">  Design Review 1</t>
  </si>
  <si>
    <t xml:space="preserve">  Manufacturing Sponsor Checkpoint</t>
  </si>
  <si>
    <t xml:space="preserve">  Litens Design Review 1 (EP System Only)</t>
  </si>
  <si>
    <t xml:space="preserve">  Design Concept Freeze </t>
  </si>
  <si>
    <t xml:space="preserve">  System Leads Check 3</t>
  </si>
  <si>
    <t xml:space="preserve">  Finalize CAD</t>
  </si>
  <si>
    <t xml:space="preserve">  Design Review 2</t>
  </si>
  <si>
    <t xml:space="preserve">  Alumni Design Review 2 </t>
  </si>
  <si>
    <t xml:space="preserve">  Rules Check 2</t>
  </si>
  <si>
    <t xml:space="preserve">  ESF and SES Submission</t>
  </si>
  <si>
    <t xml:space="preserve">  Litens Design Review 2 (EP System Only)</t>
  </si>
  <si>
    <t xml:space="preserve">  Fasteners and Clearance</t>
  </si>
  <si>
    <t>Final design freeze</t>
  </si>
  <si>
    <t xml:space="preserve">  Phase 4: Manufacturing and Validation</t>
  </si>
  <si>
    <t xml:space="preserve">  Send Out Frame and Frame Jigs</t>
  </si>
  <si>
    <t>Accumulator Sendout</t>
  </si>
  <si>
    <t xml:space="preserve">  Detailed Manufacturing &amp; Assembly Plan</t>
  </si>
  <si>
    <t xml:space="preserve">  Procurement Round 1</t>
  </si>
  <si>
    <t xml:space="preserve">  Sending Out Orders 1</t>
  </si>
  <si>
    <t>Laser Cut/Water jet Sendout</t>
  </si>
  <si>
    <t>Procurement Round 2</t>
  </si>
  <si>
    <t xml:space="preserve">  Sending Out Orders 2</t>
  </si>
  <si>
    <t>Phase 5: Competition Preparations</t>
  </si>
  <si>
    <t>Electric Powertrain</t>
  </si>
  <si>
    <t>battery pack sizing decision</t>
  </si>
  <si>
    <t>container material and joining methods decision</t>
  </si>
  <si>
    <t>Busbar and fusible link documentation finalization</t>
  </si>
  <si>
    <t xml:space="preserve">Riveting </t>
  </si>
  <si>
    <t xml:space="preserve">Bending Bus bars </t>
  </si>
  <si>
    <t>Segment completion</t>
  </si>
  <si>
    <t xml:space="preserve">Accumulator Harness </t>
  </si>
  <si>
    <t xml:space="preserve">Accumulator Container fully assembled </t>
  </si>
  <si>
    <t>Accumulator testing</t>
  </si>
  <si>
    <t>Wiring Harness - LV</t>
  </si>
  <si>
    <t xml:space="preserve">Order the VCU and Discharge PCBs </t>
  </si>
  <si>
    <t xml:space="preserve">Assemble HV cables </t>
  </si>
  <si>
    <t xml:space="preserve">Print Enclosers </t>
  </si>
  <si>
    <t xml:space="preserve">Assemble Enclosers </t>
  </si>
  <si>
    <t>Mockup Container</t>
  </si>
  <si>
    <t>Segment Improvement</t>
  </si>
  <si>
    <t>Select New Dash Solution</t>
  </si>
  <si>
    <t>Finalize Redesign of VCU</t>
  </si>
  <si>
    <t xml:space="preserve">Select Vehicle Sensors </t>
  </si>
  <si>
    <t>Finalize Sensor Integration Concepts</t>
  </si>
  <si>
    <t>Wiring CAD</t>
  </si>
  <si>
    <t>Updates to Vehicle Boards</t>
  </si>
  <si>
    <t>Board Testing</t>
  </si>
  <si>
    <t>Develop Standardization Documentation</t>
  </si>
  <si>
    <t>Aerodynamics</t>
  </si>
  <si>
    <t xml:space="preserve">CFD CAD TM25 Baseline - 1. Curved Front Endplate </t>
  </si>
  <si>
    <t xml:space="preserve">CFD CAD Baseline - 2. Gurney Flaps </t>
  </si>
  <si>
    <t>CFD CAD Baseline - 3. Undertray with Diffusers</t>
  </si>
  <si>
    <t>CFD CAD Baseline - 4. Vortex Generators</t>
  </si>
  <si>
    <t xml:space="preserve">CFD CAD - 5. Vertical FW Elements and Canards </t>
  </si>
  <si>
    <t>Deciding if we want undertray</t>
  </si>
  <si>
    <t>Finalizing Airfoil selection</t>
  </si>
  <si>
    <t>Setting a downforce goal</t>
  </si>
  <si>
    <t>Adjusting for suspension</t>
  </si>
  <si>
    <t>Deciding number of elements (FW and RW)</t>
  </si>
  <si>
    <t>RW endplates designed</t>
  </si>
  <si>
    <t>FW endplates designed</t>
  </si>
  <si>
    <t>FW CFD runs</t>
  </si>
  <si>
    <t>RW CFD runs</t>
  </si>
  <si>
    <t>Mold material selection</t>
  </si>
  <si>
    <t>Mold manufacturing method selected</t>
  </si>
  <si>
    <t>Nosecone finalized</t>
  </si>
  <si>
    <t>Bodywork finalized</t>
  </si>
  <si>
    <t>Finalizing FW Main element Height from Ground</t>
  </si>
  <si>
    <t>Finalizing RW X &amp; Y positioning</t>
  </si>
  <si>
    <t>Additional devices designed</t>
  </si>
  <si>
    <t>Designing radiator</t>
  </si>
  <si>
    <t>FW Mold(s) designed</t>
  </si>
  <si>
    <t>RW Mold(s) designed</t>
  </si>
  <si>
    <t>Nosecone Mold(s) designed</t>
  </si>
  <si>
    <t>Whole car CFD runs</t>
  </si>
  <si>
    <t>Designing Radiator mounts</t>
  </si>
  <si>
    <t>Designing Radiator Duct</t>
  </si>
  <si>
    <t>Radiator Duct Testing</t>
  </si>
  <si>
    <t>Designing Fan shroud</t>
  </si>
  <si>
    <t>FW and RW internal rib structures</t>
  </si>
  <si>
    <t>FW Mounts</t>
  </si>
  <si>
    <t>FW Mounts FEA</t>
  </si>
  <si>
    <t>RW Mounts</t>
  </si>
  <si>
    <t>RW Mounts FEA</t>
  </si>
  <si>
    <t xml:space="preserve">Nosecone CFD run </t>
  </si>
  <si>
    <t>Nosecone Mounting</t>
  </si>
  <si>
    <t xml:space="preserve">Aero Manufacturing </t>
  </si>
  <si>
    <t>Sanding main element, rear wing</t>
  </si>
  <si>
    <t>Sanding completed</t>
  </si>
  <si>
    <t>Priming - 29/30 Sat/Sun</t>
  </si>
  <si>
    <t>Gel coating -5/6</t>
  </si>
  <si>
    <t xml:space="preserve">Front wing Infusion layups </t>
  </si>
  <si>
    <t xml:space="preserve">Rear wing Infusion layups </t>
  </si>
  <si>
    <t xml:space="preserve">Nose cone Infusion layups </t>
  </si>
  <si>
    <t xml:space="preserve">Leading edges fixing </t>
  </si>
  <si>
    <t xml:space="preserve">complete manufactuing </t>
  </si>
  <si>
    <t xml:space="preserve">Nosecose </t>
  </si>
  <si>
    <t>Bodywork</t>
  </si>
  <si>
    <t xml:space="preserve">Livery </t>
  </si>
  <si>
    <t xml:space="preserve">Cad for endplate </t>
  </si>
  <si>
    <t>Mounts/Endplates  waterjet</t>
  </si>
  <si>
    <t xml:space="preserve">Frame Tabs - Inhouse </t>
  </si>
  <si>
    <t>Rib structures printed</t>
  </si>
  <si>
    <t>Vehicle Dynamics</t>
  </si>
  <si>
    <t>Ergo Rig Built</t>
  </si>
  <si>
    <t>Tire Analysis Complete (Tires Chosen)</t>
  </si>
  <si>
    <t>Initial Frame Design</t>
  </si>
  <si>
    <t>Initial Suspension Design</t>
  </si>
  <si>
    <t>Uprights Designed</t>
  </si>
  <si>
    <t>Detailed Frame Design</t>
  </si>
  <si>
    <t>Drivetrain Packaged</t>
  </si>
  <si>
    <t>Suspension Complete</t>
  </si>
  <si>
    <t>Uprights Sent out</t>
  </si>
  <si>
    <t>Steering Complete</t>
  </si>
  <si>
    <t>Brakes Complete</t>
  </si>
  <si>
    <t>Frame sub complete</t>
  </si>
  <si>
    <t>Frame Tabs Designed</t>
  </si>
  <si>
    <t>Final Frame Design</t>
  </si>
  <si>
    <t>Frame Sendout</t>
  </si>
  <si>
    <t>Manufacturing</t>
  </si>
  <si>
    <t>Tack Frame</t>
  </si>
  <si>
    <t>Weld Frame</t>
  </si>
  <si>
    <t>Weld Tabs</t>
  </si>
  <si>
    <t>Bellcrank/Uprights Machined</t>
  </si>
  <si>
    <t xml:space="preserve"> </t>
  </si>
  <si>
    <t>Rolling Chassis</t>
  </si>
  <si>
    <t>Waterjet/bend Accumulator + Secondary Mahcining Items (Viking)</t>
  </si>
  <si>
    <t>Tack Accumulator</t>
  </si>
  <si>
    <t>Weld Accumulator</t>
  </si>
  <si>
    <t>Secondary Welding Items Complete</t>
  </si>
  <si>
    <t>Molds Sendout (Fw, Rw, Seat, Nosecone)</t>
  </si>
  <si>
    <t>Undertray Mold Sendout</t>
  </si>
  <si>
    <t>3D Print Aero Molds</t>
  </si>
  <si>
    <t>Waterjet Carbon</t>
  </si>
  <si>
    <t>Mold Prep</t>
  </si>
  <si>
    <t>Cooling Tabs Machined</t>
  </si>
  <si>
    <t>Carbon Layup</t>
  </si>
  <si>
    <t>Procuring EP Materials</t>
  </si>
  <si>
    <t>Machine FR4</t>
  </si>
  <si>
    <t>Segment Assembly</t>
  </si>
  <si>
    <t>Wiring</t>
  </si>
  <si>
    <t xml:space="preserve">  Cell Tap PCB Board </t>
  </si>
  <si>
    <t xml:space="preserve">  VCU</t>
  </si>
  <si>
    <t xml:space="preserve">  GLV </t>
  </si>
  <si>
    <t xml:space="preserve">  Stress test the accumulator  (Charging Cycling)</t>
  </si>
  <si>
    <t xml:space="preserve">  Saftey Shutdown Circuit </t>
  </si>
  <si>
    <t>Final Check Week Before Fire Up Day</t>
  </si>
  <si>
    <t>Fire Up</t>
  </si>
  <si>
    <t xml:space="preserve">Testing </t>
  </si>
  <si>
    <t>Shakedown Day</t>
  </si>
  <si>
    <t xml:space="preserve">Dyno Testing </t>
  </si>
  <si>
    <t>Competition Documents</t>
  </si>
  <si>
    <t xml:space="preserve">  ESF Submission 1</t>
  </si>
  <si>
    <t xml:space="preserve">  ESF Submission 2 </t>
  </si>
  <si>
    <t xml:space="preserve">  ESF Final Submission</t>
  </si>
  <si>
    <t xml:space="preserve">  ESO/ESA Document Final Submission</t>
  </si>
  <si>
    <t xml:space="preserve">  SES Submission 1</t>
  </si>
  <si>
    <t xml:space="preserve">  SES Submission 2 </t>
  </si>
  <si>
    <t xml:space="preserve">  SES Final Submission</t>
  </si>
  <si>
    <t xml:space="preserve">  Design Spec Sheet </t>
  </si>
  <si>
    <t xml:space="preserve">  Design Review Briefing</t>
  </si>
  <si>
    <t xml:space="preserve">  Design 3 View Drawing</t>
  </si>
  <si>
    <t xml:space="preserve">  Business Presentation Online Event</t>
  </si>
  <si>
    <t xml:space="preserve">  Cost Report Submission</t>
  </si>
  <si>
    <t xml:space="preserve">  Pre Comp Accumulator Video</t>
  </si>
  <si>
    <t xml:space="preserve">  Fast Track Roster Deadline</t>
  </si>
  <si>
    <t>Project Management</t>
  </si>
  <si>
    <t xml:space="preserve">  Confirm new ESA</t>
  </si>
  <si>
    <t xml:space="preserve">  Renew Sponsors </t>
  </si>
  <si>
    <t xml:space="preserve">  Prototyping procurement ready</t>
  </si>
  <si>
    <t xml:space="preserve">  Run Solidworks Certification</t>
  </si>
  <si>
    <t xml:space="preserve">  Run HV training and inperson Eval</t>
  </si>
  <si>
    <t xml:space="preserve">  Recommendation to talk to WiE and get our design team events on their budget</t>
  </si>
  <si>
    <t xml:space="preserve">  Recommendation to begin planning the WiE event</t>
  </si>
  <si>
    <t xml:space="preserve">  Student Group Summit</t>
  </si>
  <si>
    <t xml:space="preserve">  Engineering Expo</t>
  </si>
  <si>
    <t xml:space="preserve">  Renew Solidworks License</t>
  </si>
  <si>
    <t xml:space="preserve">  Plan a Team Drive Day if possible</t>
  </si>
  <si>
    <t xml:space="preserve">  Submit Student Group Status Form</t>
  </si>
  <si>
    <t xml:space="preserve">  Budget Proposal</t>
  </si>
  <si>
    <t xml:space="preserve">  Travel Request Form</t>
  </si>
  <si>
    <t xml:space="preserve">  Student Group Agreement</t>
  </si>
  <si>
    <t xml:space="preserve">  Send budget request to Mech Department</t>
  </si>
  <si>
    <t xml:space="preserve">  Send budget request to ECB Department</t>
  </si>
  <si>
    <t xml:space="preserve">  Recommendation to have 1st WiE event (panelist event)</t>
  </si>
  <si>
    <t xml:space="preserve">  Apply to Alan Shepard Equity Diversity and Inclusion Award on Awardspring</t>
  </si>
  <si>
    <t xml:space="preserve">  Student Group Budget Meeting</t>
  </si>
  <si>
    <t xml:space="preserve">  Register for Competition</t>
  </si>
  <si>
    <t xml:space="preserve">  Get all leads and apparentices required to submit their Visa and passport renewal </t>
  </si>
  <si>
    <t xml:space="preserve">  New Member orientations</t>
  </si>
  <si>
    <t xml:space="preserve">  Register for UFT Shootout</t>
  </si>
  <si>
    <t xml:space="preserve">  Reach out to teacher for AWIM</t>
  </si>
  <si>
    <t xml:space="preserve">  Book Unveiling Date and venue</t>
  </si>
  <si>
    <t xml:space="preserve">  Recommendation to send out unveiling save the dates</t>
  </si>
  <si>
    <t xml:space="preserve">  Confirm all Insurance for testing tacks is renewed</t>
  </si>
  <si>
    <t xml:space="preserve">  Get team 24 hour and holiday card access to school for winter break</t>
  </si>
  <si>
    <t xml:space="preserve">  Start Mentorship program</t>
  </si>
  <si>
    <t xml:space="preserve">  Inital Attendie List for Michigan</t>
  </si>
  <si>
    <t xml:space="preserve">  International Risk Forms</t>
  </si>
  <si>
    <t xml:space="preserve">  Identify any new members that may need to apply for a visa to go to michigan or double check all passports</t>
  </si>
  <si>
    <t xml:space="preserve">  Hotel rooms and cars booked by FEAS</t>
  </si>
  <si>
    <t xml:space="preserve">  Recommendation to have 2nd WiE event (eng expo)</t>
  </si>
  <si>
    <t xml:space="preserve">  Recommended selling period for apparel</t>
  </si>
  <si>
    <t xml:space="preserve">  Recommended selling period for unveiling</t>
  </si>
  <si>
    <t xml:space="preserve">  Register for Pittsburgh Shootout</t>
  </si>
  <si>
    <t xml:space="preserve">  Get entire team to apply to NOR awards</t>
  </si>
  <si>
    <t xml:space="preserve">  Final attendies list for michigan</t>
  </si>
  <si>
    <t xml:space="preserve">  Final International risk forms</t>
  </si>
  <si>
    <t xml:space="preserve">  Travel BioData</t>
  </si>
  <si>
    <t xml:space="preserve">  Apply to competition awards on fsaeonline</t>
  </si>
  <si>
    <t xml:space="preserve">  Recommended team building go karting day</t>
  </si>
  <si>
    <t xml:space="preserve">  Send out Competition and Season Summary Newsletter </t>
  </si>
  <si>
    <t xml:space="preserve">  Year In Review</t>
  </si>
  <si>
    <t>Livery</t>
  </si>
  <si>
    <t>Design submissions are open.</t>
  </si>
  <si>
    <t>Design submissions closed, voting open</t>
  </si>
  <si>
    <t>Voting closed, design chosen</t>
  </si>
  <si>
    <t>Proper mockup in Illustrator finalized</t>
  </si>
  <si>
    <t>For render CAD File Complete</t>
  </si>
  <si>
    <t>For-render CAD File made 'lightweight' 
and exported</t>
  </si>
  <si>
    <t>Livery Design added onto car in Solidworks</t>
  </si>
  <si>
    <t>Final CAD render with Livery finalized and exported</t>
  </si>
  <si>
    <t>Sponsor logos added onto TM-26 in Illustrator</t>
  </si>
  <si>
    <t xml:space="preserve">Mockup &amp; Individual image files sent to sponsor.
 Sponsor begins work. </t>
  </si>
  <si>
    <t>Vinyl delivered, applied to TM-26</t>
  </si>
  <si>
    <t>Recruitment</t>
  </si>
  <si>
    <t>First semester: Applications Open</t>
  </si>
  <si>
    <t>First semester: Applications closed &amp; reviewed</t>
  </si>
  <si>
    <t xml:space="preserve">First semester: Interviews held </t>
  </si>
  <si>
    <t>First semester: Hirees selected, 
acceptance/rejection letters sent out</t>
  </si>
  <si>
    <t>Second semester: Applications Open</t>
  </si>
  <si>
    <t>Second semester: Applications closed &amp; 
reviewed</t>
  </si>
  <si>
    <t xml:space="preserve">Second semester: Interviews held </t>
  </si>
  <si>
    <t>Second semester: Hirees selected,
 acceptance/rejection letters sent out</t>
  </si>
  <si>
    <t>DECEMBER</t>
  </si>
  <si>
    <t>FEBRUARY</t>
  </si>
  <si>
    <t>Wed</t>
  </si>
  <si>
    <t>Thu</t>
  </si>
  <si>
    <t>Fri</t>
  </si>
  <si>
    <t>Sat</t>
  </si>
  <si>
    <t>Sun</t>
  </si>
  <si>
    <t>Mon</t>
  </si>
  <si>
    <t>Tue</t>
  </si>
  <si>
    <t>Date</t>
  </si>
  <si>
    <t>Responsible</t>
  </si>
  <si>
    <t>Status</t>
  </si>
  <si>
    <t>Comment</t>
  </si>
  <si>
    <r>
      <rPr>
        <rFont val="Arial"/>
        <b/>
        <color theme="1"/>
        <sz val="20.0"/>
      </rPr>
      <t xml:space="preserve">
</t>
    </r>
    <r>
      <rPr>
        <rFont val="Arial"/>
        <b/>
        <color theme="1"/>
        <sz val="20.0"/>
      </rPr>
      <t>Milestones</t>
    </r>
  </si>
  <si>
    <r>
      <rPr>
        <rFont val="arial,sans,sans-serif"/>
      </rPr>
      <t xml:space="preserve">Use: </t>
    </r>
    <r>
      <rPr>
        <rFont val="arial,sans,sans-serif"/>
        <color rgb="FF1155CC"/>
        <u/>
      </rPr>
      <t>https://www.fsaeonline.com/Deadlines.aspx?seriesCode=FSAE</t>
    </r>
  </si>
  <si>
    <t>ESF Submission</t>
  </si>
  <si>
    <t>EP Team</t>
  </si>
  <si>
    <t xml:space="preserve">Waiting </t>
  </si>
  <si>
    <t>ESO/ESA Form Submission</t>
  </si>
  <si>
    <t>SES Submission</t>
  </si>
  <si>
    <t>Team</t>
  </si>
  <si>
    <t>Business Request for Proposal</t>
  </si>
  <si>
    <t xml:space="preserve"> Design 3-View Drawings</t>
  </si>
  <si>
    <t>Design Briefing</t>
  </si>
  <si>
    <t>Design Spec Sheet</t>
  </si>
  <si>
    <t>Cost Report</t>
  </si>
  <si>
    <t>Business Presenter Form</t>
  </si>
  <si>
    <t>Fast Track Roster</t>
  </si>
  <si>
    <t>Pre-Tech Accumulator Video</t>
  </si>
  <si>
    <t xml:space="preserve">          </t>
  </si>
  <si>
    <t>EP - Electric Powertrain</t>
  </si>
  <si>
    <t>Key Milestones</t>
  </si>
  <si>
    <t>Start Date</t>
  </si>
  <si>
    <t>Due Date</t>
  </si>
  <si>
    <t>GLV wiring</t>
  </si>
  <si>
    <t>Rapid harness review / finalization</t>
  </si>
  <si>
    <t>Nathan</t>
  </si>
  <si>
    <t xml:space="preserve">Complete </t>
  </si>
  <si>
    <t>design review this weekend</t>
  </si>
  <si>
    <t>Procurement review and ordering</t>
  </si>
  <si>
    <t xml:space="preserve">In Progress </t>
  </si>
  <si>
    <r>
      <rPr>
        <rFont val="Arial"/>
        <b/>
        <color theme="1"/>
      </rPr>
      <t xml:space="preserve">Solidworking routing design
</t>
    </r>
    <r>
      <rPr>
        <rFont val="Arial"/>
        <b val="0"/>
        <color theme="1"/>
      </rPr>
      <t>- front paths routed
- rear paths routed</t>
    </r>
  </si>
  <si>
    <r>
      <rPr>
        <b/>
        <color rgb="FF000000"/>
      </rPr>
      <t>Wiring workspace construction</t>
    </r>
    <r>
      <rPr>
        <color rgb="FF000000"/>
      </rPr>
      <t xml:space="preserve">
- mounting blank working surface
- printing out rapidharness connector details
- correctly spacing and attaching connector details
- design reference</t>
    </r>
    <r>
      <rPr>
        <color rgb="FF1155CC"/>
        <u/>
      </rPr>
      <t xml:space="preserve"> here</t>
    </r>
    <r>
      <rPr/>
      <t xml:space="preserve">
</t>
    </r>
    <r>
      <rPr>
        <color rgb="FF000000"/>
      </rPr>
      <t>- adding removable zipties for temporary wire placement</t>
    </r>
  </si>
  <si>
    <t>Rear harness construction</t>
  </si>
  <si>
    <t>Front harness construction</t>
  </si>
  <si>
    <t>harness testing/validation</t>
  </si>
  <si>
    <t>harness cleanup / conduit</t>
  </si>
  <si>
    <t>harness installation in car</t>
  </si>
  <si>
    <t>Segment Construction</t>
  </si>
  <si>
    <t>FR4 precut to size</t>
  </si>
  <si>
    <t>FR4 CNC'd</t>
  </si>
  <si>
    <t>small segment prototype
- finalizing the column lengths, PCB fixture quality, 3D printed sheet vs soft glue</t>
  </si>
  <si>
    <t>3D print segment caps and supporting columns
- and install heat set inserts</t>
  </si>
  <si>
    <r>
      <rPr>
        <rFont val="Arial"/>
        <b/>
        <color theme="1"/>
      </rPr>
      <t>Segment bracket + cells assembly</t>
    </r>
    <r>
      <rPr>
        <rFont val="Arial"/>
        <color theme="1"/>
      </rPr>
      <t xml:space="preserve">
- install cells with some removable adhesive into cell holders
- attach bracket pieces with fasteners/ glue</t>
    </r>
  </si>
  <si>
    <t>Segment pole busbars installed</t>
  </si>
  <si>
    <t>Segment PCB order and arrival</t>
  </si>
  <si>
    <t>Segment PCB cosntruction</t>
  </si>
  <si>
    <t>Segement PCB validation</t>
  </si>
  <si>
    <t>Segment pcb installed</t>
  </si>
  <si>
    <t>nickel cell interconnects spot welded</t>
  </si>
  <si>
    <t>temperature sensors installed</t>
  </si>
  <si>
    <t>Solder wire connections to pcb</t>
  </si>
  <si>
    <t>insulate top of pcb</t>
  </si>
  <si>
    <t>Battery Pack</t>
  </si>
  <si>
    <t>Finalize shelf component poistion/mounting in CAD</t>
  </si>
  <si>
    <t>Add routing paths inside accu in CAD</t>
  </si>
  <si>
    <r>
      <rPr>
        <b/>
        <color rgb="FF000000"/>
      </rPr>
      <t>Wiring workspace construction</t>
    </r>
    <r>
      <rPr>
        <color rgb="FF000000"/>
      </rPr>
      <t xml:space="preserve">
- mounting blank working surface
- printing out rapidharness connector details
- correctly spacing and attaching connector details
- design reference</t>
    </r>
    <r>
      <rPr>
        <color rgb="FF1155CC"/>
        <u/>
      </rPr>
      <t xml:space="preserve"> here</t>
    </r>
    <r>
      <rPr/>
      <t xml:space="preserve">
</t>
    </r>
    <r>
      <rPr>
        <color rgb="FF000000"/>
      </rPr>
      <t>- adding removable zipties for temporary wire placement</t>
    </r>
  </si>
  <si>
    <t>BMS enclosure design complete</t>
  </si>
  <si>
    <t>BMS enclosure 3D printed</t>
  </si>
  <si>
    <t>BMS assembly construction</t>
  </si>
  <si>
    <t>shelf component placement complete, DXF complete</t>
  </si>
  <si>
    <t>shelf manufacturing</t>
  </si>
  <si>
    <t>IR, fuse enclosure design complete</t>
  </si>
  <si>
    <t>IR enclosure 3D printed</t>
  </si>
  <si>
    <t>IR enclosure construction and wiring</t>
  </si>
  <si>
    <t>Cell tap harness construction</t>
  </si>
  <si>
    <t>Temperature sensor harness construction</t>
  </si>
  <si>
    <t>Main IO harness contruction</t>
  </si>
  <si>
    <t>Obtain voltage and temperature readings from segments through BMS</t>
  </si>
  <si>
    <t>Current sensor validation</t>
  </si>
  <si>
    <t>Individual segments to be cycled</t>
  </si>
  <si>
    <t xml:space="preserve">Validate operation of +ve IR through precharge </t>
  </si>
  <si>
    <t>Container</t>
  </si>
  <si>
    <t>Waterjet Accumulator + Secondary Mahcining Items (Viking)</t>
  </si>
  <si>
    <t>Insulate accumulator</t>
  </si>
  <si>
    <t>Install Mesh</t>
  </si>
  <si>
    <t>Seal Accumulator</t>
  </si>
  <si>
    <t>Install Latches</t>
  </si>
  <si>
    <t>Tack + Weld Accumulator Mounts</t>
  </si>
  <si>
    <t>TS system &amp; Enclosures</t>
  </si>
  <si>
    <t>MC enclosure printed</t>
  </si>
  <si>
    <t>LV battery enclosure printed</t>
  </si>
  <si>
    <t>LV battery fitment test</t>
  </si>
  <si>
    <t>LV battery construction</t>
  </si>
  <si>
    <t>Rear Enclosure Printed</t>
  </si>
  <si>
    <t>Rear Enclosure construction</t>
  </si>
  <si>
    <t>Rear enclosure harness construction</t>
  </si>
  <si>
    <t>Enclosures mounting to frame</t>
  </si>
  <si>
    <t>PCBs</t>
  </si>
  <si>
    <t>light board schematic completion</t>
  </si>
  <si>
    <t>Light board simulation</t>
  </si>
  <si>
    <t>light board component selection</t>
  </si>
  <si>
    <t xml:space="preserve">light board pcb design </t>
  </si>
  <si>
    <t>light board pcb component procurement</t>
  </si>
  <si>
    <t>light board assembly</t>
  </si>
  <si>
    <t>Light board testing / validation, debugging</t>
  </si>
  <si>
    <t>VCU pcb assembly</t>
  </si>
  <si>
    <t>VCU pcb testing</t>
  </si>
  <si>
    <t>Precharge resistor modifications</t>
  </si>
  <si>
    <t>Discharge board resistor modifications</t>
  </si>
  <si>
    <t>AR - Aerodynamics</t>
  </si>
  <si>
    <t>All molds designed</t>
  </si>
  <si>
    <t>Procurement/Sendout Complete</t>
  </si>
  <si>
    <t>Front wing completed</t>
  </si>
  <si>
    <t>Rear wing completed</t>
  </si>
  <si>
    <t>Nosecone completed</t>
  </si>
  <si>
    <t>Side panels completed</t>
  </si>
  <si>
    <t>Seat Completed</t>
  </si>
  <si>
    <t>Undertray Complete</t>
  </si>
  <si>
    <t>Cooling system assembled on car</t>
  </si>
  <si>
    <t>Front Wing</t>
  </si>
  <si>
    <t>Molds Send out</t>
  </si>
  <si>
    <t>Davis</t>
  </si>
  <si>
    <t>Rough ETA is about 3-4 weeks out</t>
  </si>
  <si>
    <t>Design and 3D print upper element molds</t>
  </si>
  <si>
    <t xml:space="preserve">Delayed </t>
  </si>
  <si>
    <t>Rough ETA is about 1 week out</t>
  </si>
  <si>
    <t>Layup small elements</t>
  </si>
  <si>
    <t>Aero Team</t>
  </si>
  <si>
    <t>Layup endplates</t>
  </si>
  <si>
    <t>Waiting on material</t>
  </si>
  <si>
    <t>Weld tabs + print jigs</t>
  </si>
  <si>
    <t>Yohana</t>
  </si>
  <si>
    <t>Design and print front wing endplate inserts</t>
  </si>
  <si>
    <t>Josiah</t>
  </si>
  <si>
    <t>Not urgent</t>
  </si>
  <si>
    <t>Design and print loft section on front wing</t>
  </si>
  <si>
    <t>TBD</t>
  </si>
  <si>
    <t>Mahdi</t>
  </si>
  <si>
    <t>Design and print vortex generators</t>
  </si>
  <si>
    <t>Shehreen</t>
  </si>
  <si>
    <t>Paint and de-burr the mounts</t>
  </si>
  <si>
    <t>Dhruv</t>
  </si>
  <si>
    <t>Requires Viking Metal and Livery</t>
  </si>
  <si>
    <t>Mold prep</t>
  </si>
  <si>
    <t>Layup main element</t>
  </si>
  <si>
    <t>Waiting on LRA3D</t>
  </si>
  <si>
    <t>Sand/Post process</t>
  </si>
  <si>
    <t>Assemble Wing</t>
  </si>
  <si>
    <t>Rear Wing</t>
  </si>
  <si>
    <t>Layup elements 1 and 2</t>
  </si>
  <si>
    <t>Shathurjan</t>
  </si>
  <si>
    <t>Design and print rear wing endplate inserts</t>
  </si>
  <si>
    <t>Jasmine</t>
  </si>
  <si>
    <t>End date TBC due to confirmation of capstone direction</t>
  </si>
  <si>
    <t>Rear wing bottom tabs machined</t>
  </si>
  <si>
    <t>Anisha</t>
  </si>
  <si>
    <t>Anisha to discuss with Luca</t>
  </si>
  <si>
    <t>Design and print tabs for endplate supports</t>
  </si>
  <si>
    <t>Will work on with Mahdi</t>
  </si>
  <si>
    <t>Undertray</t>
  </si>
  <si>
    <t>Molds send out</t>
  </si>
  <si>
    <t>Layup undertray</t>
  </si>
  <si>
    <t>Drill out holes for mounts</t>
  </si>
  <si>
    <t>Design and print inserts for tubes</t>
  </si>
  <si>
    <t>Assemble Tubes</t>
  </si>
  <si>
    <t>Assemble Undertray</t>
  </si>
  <si>
    <t>Nosecone + Seat</t>
  </si>
  <si>
    <t>Seat and Nosecone Layup</t>
  </si>
  <si>
    <t>Install magnets</t>
  </si>
  <si>
    <t>Side Panels</t>
  </si>
  <si>
    <t>Cut fabric</t>
  </si>
  <si>
    <t>Adhere fabric</t>
  </si>
  <si>
    <t>Iron fabric</t>
  </si>
  <si>
    <t>Treat fabric/polytak</t>
  </si>
  <si>
    <t>Layup face sheets for body panels</t>
  </si>
  <si>
    <t>3d print rear cover mold</t>
  </si>
  <si>
    <t>Maooz</t>
  </si>
  <si>
    <t>Post process rear cover</t>
  </si>
  <si>
    <t>Biblina</t>
  </si>
  <si>
    <t>Assemble mounting mechanism for top cover</t>
  </si>
  <si>
    <t>Assemble face sheets on car</t>
  </si>
  <si>
    <t>Aero Structural</t>
  </si>
  <si>
    <t>Print internal ribs</t>
  </si>
  <si>
    <t>Jigs for the internal ribs</t>
  </si>
  <si>
    <t>Machine metal ribs</t>
  </si>
  <si>
    <t>Curved element ribs (3d print overlay for curve) pickup points printed</t>
  </si>
  <si>
    <t>Assembly internal structure</t>
  </si>
  <si>
    <t>Glue internal structure to wings</t>
  </si>
  <si>
    <t>Cooling</t>
  </si>
  <si>
    <t>VD - Vehicle Dynamics</t>
  </si>
  <si>
    <t>Rolling Chassis Complete</t>
  </si>
  <si>
    <t>Feb 1st 2026</t>
  </si>
  <si>
    <t>Feb 6th 2026</t>
  </si>
  <si>
    <t xml:space="preserve">VD Team </t>
  </si>
  <si>
    <t xml:space="preserve">Frame Fully Welded </t>
  </si>
  <si>
    <t xml:space="preserve">waiting on tabs to be cut and welded </t>
  </si>
  <si>
    <t xml:space="preserve">Outboards/Steering/Supension Assembled </t>
  </si>
  <si>
    <t xml:space="preserve">Jan 26th </t>
  </si>
  <si>
    <t xml:space="preserve">Feb 15th </t>
  </si>
  <si>
    <t>VD Team</t>
  </si>
  <si>
    <t xml:space="preserve">waiting for components to be built </t>
  </si>
  <si>
    <t xml:space="preserve">Brake System full installed and bled </t>
  </si>
  <si>
    <t>Feb 2nd</t>
  </si>
  <si>
    <t>Ethan</t>
  </si>
  <si>
    <t xml:space="preserve">waiting on pedals and outboards </t>
  </si>
  <si>
    <t>Frame</t>
  </si>
  <si>
    <t xml:space="preserve">Frame tubes welded </t>
  </si>
  <si>
    <t xml:space="preserve">Dec 13th </t>
  </si>
  <si>
    <t xml:space="preserve">Feb 1st </t>
  </si>
  <si>
    <t>Luca</t>
  </si>
  <si>
    <t xml:space="preserve">Still waiting on steering tubes </t>
  </si>
  <si>
    <t xml:space="preserve">Frame tabs welded </t>
  </si>
  <si>
    <t xml:space="preserve">Jan 1st </t>
  </si>
  <si>
    <t>Feb 8th</t>
  </si>
  <si>
    <t>Waiting on tabs to arrive</t>
  </si>
  <si>
    <t xml:space="preserve">Frame painted </t>
  </si>
  <si>
    <t xml:space="preserve">Feb 9th </t>
  </si>
  <si>
    <t>Feb 12th</t>
  </si>
  <si>
    <t>Dejan</t>
  </si>
  <si>
    <t xml:space="preserve">Needs tabs to all be welded </t>
  </si>
  <si>
    <t xml:space="preserve">Torsion Testing </t>
  </si>
  <si>
    <t xml:space="preserve">Feb 8th </t>
  </si>
  <si>
    <t>Developing test and need to create setup in thermo lab</t>
  </si>
  <si>
    <t>Frame-Sub</t>
  </si>
  <si>
    <t xml:space="preserve">Firewall bent </t>
  </si>
  <si>
    <t>Matteo</t>
  </si>
  <si>
    <t xml:space="preserve">Waiting on firewall to arrive </t>
  </si>
  <si>
    <t xml:space="preserve">Firewall tabs designed/printed </t>
  </si>
  <si>
    <t>Jan 20th</t>
  </si>
  <si>
    <t xml:space="preserve">awaiting printing </t>
  </si>
  <si>
    <t xml:space="preserve">Tabs bent </t>
  </si>
  <si>
    <t xml:space="preserve">Feb 2nd </t>
  </si>
  <si>
    <t xml:space="preserve">Floor bent </t>
  </si>
  <si>
    <t>Drew</t>
  </si>
  <si>
    <t xml:space="preserve">Waiting on floor to arrive </t>
  </si>
  <si>
    <t xml:space="preserve">Jacking bar tabs welded </t>
  </si>
  <si>
    <t>Feb 5th</t>
  </si>
  <si>
    <t xml:space="preserve">waiting on tabs to arrive </t>
  </si>
  <si>
    <t xml:space="preserve">Jacking point tube welded </t>
  </si>
  <si>
    <t xml:space="preserve">Feb 5th </t>
  </si>
  <si>
    <t xml:space="preserve">waiting on jacking point tabs </t>
  </si>
  <si>
    <t>Anti-intrusion plate w/ IA welded to frame</t>
  </si>
  <si>
    <t>Feb 13th</t>
  </si>
  <si>
    <t>frame tabs need to be all welded first/off rotisserie</t>
  </si>
  <si>
    <t>Driver Interface</t>
  </si>
  <si>
    <t xml:space="preserve">Pedal faces and spacers designed and printed </t>
  </si>
  <si>
    <t xml:space="preserve">Jan 23rd </t>
  </si>
  <si>
    <t>James</t>
  </si>
  <si>
    <t xml:space="preserve">components printed in shop </t>
  </si>
  <si>
    <t xml:space="preserve">Throttle pedal components welded </t>
  </si>
  <si>
    <t>Jan 30th</t>
  </si>
  <si>
    <t>currently jigged up</t>
  </si>
  <si>
    <t xml:space="preserve">Brake pedal components welded </t>
  </si>
  <si>
    <t xml:space="preserve">Jan 30th </t>
  </si>
  <si>
    <t xml:space="preserve">currently jigged up </t>
  </si>
  <si>
    <t xml:space="preserve">Head rest jig designed and printed </t>
  </si>
  <si>
    <t xml:space="preserve">Jan 12th </t>
  </si>
  <si>
    <t>Filip P</t>
  </si>
  <si>
    <t xml:space="preserve">designed ready, to print </t>
  </si>
  <si>
    <t xml:space="preserve">Head rest tabs welded/welded to frame </t>
  </si>
  <si>
    <t xml:space="preserve">looking into thinner headrest made in shop welded directly to chassis </t>
  </si>
  <si>
    <t>Metal parts painted</t>
  </si>
  <si>
    <t xml:space="preserve">Feb 3rd </t>
  </si>
  <si>
    <t xml:space="preserve">waiting on welding first </t>
  </si>
  <si>
    <t xml:space="preserve">Throttle pedal assembled </t>
  </si>
  <si>
    <t xml:space="preserve">Feb 6th </t>
  </si>
  <si>
    <t xml:space="preserve">James </t>
  </si>
  <si>
    <t xml:space="preserve">Brake pedal assembled </t>
  </si>
  <si>
    <t xml:space="preserve">Pedals installed in chassis </t>
  </si>
  <si>
    <t>Steering</t>
  </si>
  <si>
    <t xml:space="preserve">Metal tie rods assembled </t>
  </si>
  <si>
    <t xml:space="preserve">Carbon tie rods assembled </t>
  </si>
  <si>
    <t xml:space="preserve">waiting on machined components to arrive </t>
  </si>
  <si>
    <t xml:space="preserve">Steering rack tab jig designed and printed </t>
  </si>
  <si>
    <t>Jan 19th</t>
  </si>
  <si>
    <t xml:space="preserve">currently designing </t>
  </si>
  <si>
    <t xml:space="preserve">Steering column jig designed and printed </t>
  </si>
  <si>
    <t xml:space="preserve">designed, awaiting printing </t>
  </si>
  <si>
    <t xml:space="preserve">Steering rack tab bent </t>
  </si>
  <si>
    <t xml:space="preserve">waiting on tab to arrive </t>
  </si>
  <si>
    <t xml:space="preserve">Upper steering column quick release spline welded </t>
  </si>
  <si>
    <t xml:space="preserve">Drivetrain </t>
  </si>
  <si>
    <t>Tab jigs designed and printed</t>
  </si>
  <si>
    <t>Ronnie</t>
  </si>
  <si>
    <t xml:space="preserve">Shaft machined </t>
  </si>
  <si>
    <t xml:space="preserve">waiting on Record </t>
  </si>
  <si>
    <t xml:space="preserve">Drivetrain mounts cut </t>
  </si>
  <si>
    <t xml:space="preserve">Jan 19th </t>
  </si>
  <si>
    <t xml:space="preserve">Sent to Viking </t>
  </si>
  <si>
    <t xml:space="preserve">Drivetrain sent to Record </t>
  </si>
  <si>
    <t xml:space="preserve">Waiting on Viking </t>
  </si>
  <si>
    <t xml:space="preserve">Tabs welded onto frame </t>
  </si>
  <si>
    <t xml:space="preserve">Waiting for tabs to arrive </t>
  </si>
  <si>
    <t xml:space="preserve">Bearing pressed into mounts </t>
  </si>
  <si>
    <t xml:space="preserve">Feb 12th </t>
  </si>
  <si>
    <t xml:space="preserve">Chain guard cut and bent </t>
  </si>
  <si>
    <t>Scatter shield bent</t>
  </si>
  <si>
    <t xml:space="preserve">Ronnie </t>
  </si>
  <si>
    <t>Brakes</t>
  </si>
  <si>
    <t xml:space="preserve">Master cylinder braided lines installed </t>
  </si>
  <si>
    <t xml:space="preserve">awaiting pedals to be installed </t>
  </si>
  <si>
    <t xml:space="preserve">Hard lines bent and flared </t>
  </si>
  <si>
    <t xml:space="preserve">Feb 13th </t>
  </si>
  <si>
    <t>Suspension</t>
  </si>
  <si>
    <t xml:space="preserve">Control arms welded </t>
  </si>
  <si>
    <t>Jan 26th</t>
  </si>
  <si>
    <t>Omar</t>
  </si>
  <si>
    <t xml:space="preserve">Camber clevises welded </t>
  </si>
  <si>
    <t xml:space="preserve">Omar </t>
  </si>
  <si>
    <t xml:space="preserve">Control arm bearings pressed-in </t>
  </si>
  <si>
    <t>Feb 1st</t>
  </si>
  <si>
    <t xml:space="preserve">Other linkages manufactured </t>
  </si>
  <si>
    <t xml:space="preserve">welding weld nuts and installing rod ends </t>
  </si>
  <si>
    <t>Bellcrank bearings pressed-in</t>
  </si>
  <si>
    <t>Feb 15th</t>
  </si>
  <si>
    <t xml:space="preserve">waiting on bellcranks to arrive </t>
  </si>
  <si>
    <t xml:space="preserve">Suspension tab jig test printed </t>
  </si>
  <si>
    <t xml:space="preserve">Outboards </t>
  </si>
  <si>
    <t>bearings + hub pressed into outbaords</t>
  </si>
  <si>
    <t>BU - Business</t>
  </si>
  <si>
    <t>Unveiling</t>
  </si>
  <si>
    <t>Sears form submitted</t>
  </si>
  <si>
    <t>Alternative venue(s) contacted if needed</t>
  </si>
  <si>
    <t>Andrew</t>
  </si>
  <si>
    <t>Meet with Explore TMU to explore furnishing options</t>
  </si>
  <si>
    <t>Planning for Catering, sponsorship gifts, water, misc. items finalized</t>
  </si>
  <si>
    <t>Decorations complete</t>
  </si>
  <si>
    <t>Unveiling held</t>
  </si>
  <si>
    <t>October 14th</t>
  </si>
  <si>
    <t>First semester: Hirees selected, acceptance/rejection letters sent out</t>
  </si>
  <si>
    <t>Second semester: Applications closed &amp; reviewed</t>
  </si>
  <si>
    <t>Second semester: Hirees selected, acceptance/rejection letters sent out</t>
  </si>
  <si>
    <t xml:space="preserve">Rough Design submissions are open, templates sent out </t>
  </si>
  <si>
    <t>For-render CAD File Complete</t>
  </si>
  <si>
    <t>For-render CAD File made 'lightweight' and exported</t>
  </si>
  <si>
    <t>Final CAD render finalized and exported</t>
  </si>
  <si>
    <t xml:space="preserve">Mockup &amp; Individual image files sent to sponsor. Sponsor begins work. </t>
  </si>
  <si>
    <t>Vinyl recieved, wrapping begins</t>
  </si>
  <si>
    <t>Andrew, Omar, Justin</t>
  </si>
  <si>
    <r>
      <rPr>
        <rFont val="Arial"/>
        <color theme="1"/>
      </rPr>
      <t xml:space="preserve">Livery complete </t>
    </r>
    <r>
      <rPr>
        <rFont val="Arial"/>
        <b/>
        <color theme="1"/>
      </rPr>
      <t>(latest possible date)</t>
    </r>
  </si>
  <si>
    <t>Approval</t>
  </si>
  <si>
    <t>Procurement</t>
  </si>
  <si>
    <t>Type</t>
  </si>
  <si>
    <t>Subsystem</t>
  </si>
  <si>
    <t>Item</t>
  </si>
  <si>
    <t>Description  (Size/Type)</t>
  </si>
  <si>
    <t>Why you need it</t>
  </si>
  <si>
    <t>Critical?</t>
  </si>
  <si>
    <t>Quantity</t>
  </si>
  <si>
    <t>Spares</t>
  </si>
  <si>
    <t>Total Qty.</t>
  </si>
  <si>
    <t>Unit Price (CAD)</t>
  </si>
  <si>
    <t>Shipping Cost (CAD)</t>
  </si>
  <si>
    <r>
      <rPr>
        <rFont val="arial, sans, sans-serif"/>
        <b/>
      </rPr>
      <t xml:space="preserve">Estimated Duty Charge (Use </t>
    </r>
    <r>
      <rPr>
        <rFont val="arial, sans, sans-serif"/>
        <b/>
        <u/>
      </rPr>
      <t>this calculator</t>
    </r>
    <r>
      <rPr>
        <rFont val="arial, sans, sans-serif"/>
        <b/>
      </rPr>
      <t>) ($ CAD)</t>
    </r>
  </si>
  <si>
    <t>Total Cost (CAD) (Incl. Tax)</t>
  </si>
  <si>
    <t>Vendor Name</t>
  </si>
  <si>
    <t>Part No.</t>
  </si>
  <si>
    <t>Link</t>
  </si>
  <si>
    <t>Do we have this, or a similar item that could be designed for, in the shop? (If similar or same in shop/storage already, provide explanation)</t>
  </si>
  <si>
    <t>Item added by (if new member, include lead/ apprentice working with as well):</t>
  </si>
  <si>
    <t>Companies contacted to sponsor item or get discount (if none, provide reasoning)</t>
  </si>
  <si>
    <t>Details on company sponsoring + discount code etc.</t>
  </si>
  <si>
    <t>Comments</t>
  </si>
  <si>
    <t>System Lead Approval:</t>
  </si>
  <si>
    <t>Management Approval:</t>
  </si>
  <si>
    <t>Final Approval?</t>
  </si>
  <si>
    <t xml:space="preserve">Purchased by(This column can be filled out by leads who made a purchase </t>
  </si>
  <si>
    <t>Added to a Purchase Request by:</t>
  </si>
  <si>
    <t>Purchase Request Spreadsheet Link:</t>
  </si>
  <si>
    <t>Shipping and Receiving emailed with shop availability for dropoff OR pickup date/time?</t>
  </si>
  <si>
    <t>Duties Paid Ahead of Time? (&lt;$250 on peoples' cards, &gt;$250 on PCard)</t>
  </si>
  <si>
    <t>Duties invoice link:</t>
  </si>
  <si>
    <t>Pickup or dropoff date?</t>
  </si>
  <si>
    <t>Order Status</t>
  </si>
  <si>
    <t>Example</t>
  </si>
  <si>
    <t>aero structural</t>
  </si>
  <si>
    <t>Steel</t>
  </si>
  <si>
    <t>16" x 14" plate 4130 steel</t>
  </si>
  <si>
    <t>for mounting ribs</t>
  </si>
  <si>
    <t>Critical</t>
  </si>
  <si>
    <t>Metal Supermarket</t>
  </si>
  <si>
    <t>N/A</t>
  </si>
  <si>
    <t>Using 5 sq. inches of existing material, need to buy this amount extra.</t>
  </si>
  <si>
    <t xml:space="preserve">Morgan, Nick </t>
  </si>
  <si>
    <t xml:space="preserve">Metal Supermarkets (declined items and discount code), Company X (didn't respond after 2 weeks and a followup email). </t>
  </si>
  <si>
    <t>None</t>
  </si>
  <si>
    <t>Can pick it up from the Vaughan location</t>
  </si>
  <si>
    <t>Ozge, Dejan, Emi</t>
  </si>
  <si>
    <t>Maooz, Marta, Luca</t>
  </si>
  <si>
    <t>Yes</t>
  </si>
  <si>
    <t>P-CARD</t>
  </si>
  <si>
    <t>Morgan</t>
  </si>
  <si>
    <t>https://drive.google.com/drive/folders/1l6BRGBbI_woR5CXfgt1Ydn-UfLeRF23x?usp=share_link</t>
  </si>
  <si>
    <t>Nov 26 1-5pm, shop dropoff, Morgan</t>
  </si>
  <si>
    <t>Unpacked</t>
  </si>
  <si>
    <t>Material</t>
  </si>
  <si>
    <t>Carbon Fiber Pultruded Rod 1.2 m</t>
  </si>
  <si>
    <t>4mm OD</t>
  </si>
  <si>
    <t>Front wing 4th Element</t>
  </si>
  <si>
    <t>Composites Envisions</t>
  </si>
  <si>
    <t>T-1579</t>
  </si>
  <si>
    <t>https://compositeenvisions.com/product/carbon-fiber-pultruded-rod-1-2m/</t>
  </si>
  <si>
    <t>Submitted P-Card</t>
  </si>
  <si>
    <t>Total</t>
  </si>
  <si>
    <t>Carbon Fiber Pultruded Round Tube 1.2 Meter</t>
  </si>
  <si>
    <t>16 mm OD / 12mm ID</t>
  </si>
  <si>
    <t>Rear Wing + Front 1st Element</t>
  </si>
  <si>
    <t>Composite Envisions</t>
  </si>
  <si>
    <t>https://www.compositeenvisions.com/Carbon-Fiber-Pultruded-Round-Tube-1.2m?quantity=1&amp;outside-diameter=28</t>
  </si>
  <si>
    <t>10 mm OD / 8mm ID</t>
  </si>
  <si>
    <t>Rear Wing + Front  2nd Element</t>
  </si>
  <si>
    <t>Carbon Fiber Pultruded Rod 1.2m</t>
  </si>
  <si>
    <t>6 mm OD</t>
  </si>
  <si>
    <t>Rear Wing + Front 3rd Element</t>
  </si>
  <si>
    <t>T-1576</t>
  </si>
  <si>
    <t>Ozge</t>
  </si>
  <si>
    <t>Requires Cheq Req</t>
  </si>
  <si>
    <t>Fastener</t>
  </si>
  <si>
    <t>Heat Set Inserts</t>
  </si>
  <si>
    <t>Heat-Set Inserts for Plastic
Brass, M6 x 1 mm, 12.7 mm Installed Length</t>
  </si>
  <si>
    <t>Rib Fasteners</t>
  </si>
  <si>
    <t>McMaster-Carr</t>
  </si>
  <si>
    <t>94459A220</t>
  </si>
  <si>
    <t>https://www.mcmaster.com/94459A220/</t>
  </si>
  <si>
    <t>Will be ordered later</t>
  </si>
  <si>
    <t>Flat Head Screws</t>
  </si>
  <si>
    <t>Phillips Thread-Locking Flat Head Screws
18-8 Stainless Steel, M6 x 1.00 mm Thread Size, 12 mm Long</t>
  </si>
  <si>
    <t>Endplate Fasteners</t>
  </si>
  <si>
    <t>90382A273</t>
  </si>
  <si>
    <t>https://www.mcmaster.com/90382A273/</t>
  </si>
  <si>
    <t>Loctite H3101 Speedbonder 1:1 (400ml)</t>
  </si>
  <si>
    <t>Adhesive for gluing wings together</t>
  </si>
  <si>
    <t>Canada Composites</t>
  </si>
  <si>
    <t>LOH3101-400</t>
  </si>
  <si>
    <t>https://shop.compositescanada.com/#/product/LOH3101-400</t>
  </si>
  <si>
    <t>PENDING</t>
  </si>
  <si>
    <t>Out of Stock</t>
  </si>
  <si>
    <t>Black Epoxy Dye</t>
  </si>
  <si>
    <t>Black Epoxy Resin Pigment Paste - 3.4 fl.oz / 100ml Concentrated Black Resin Dye Paste for DIY Resin Art</t>
  </si>
  <si>
    <t>Paint epoxy black for sealing endplate edges</t>
  </si>
  <si>
    <t>Amazon</t>
  </si>
  <si>
    <t>https://www.amazon.ca/Black-Epoxy-Resin-Pigment-Paste/dp/B0CVTFLDFB/ref=sr_1_8?crid=349Q8RDK2JQW7&amp;dib=eyJ2IjoiMSJ9.NeQInA27Xn7tabjeD09P3pV016moE9X704Li1njRye4WgTCtjHuxQiCUgb9ydvrNnYozdHC4X5SZwSmKD9VRZTBZ8x8nTp269b8cUADoRHtDcAPGaYTrQIk9MlwD6Ja6oqKEG1NDvwWnTF3Hmp8t5DZ_hPjIw_Lqle6TjBOu2jjvYN0QTCmNhG76ePpiiKpTUIBCeJw3igeHHUoyvtVmZT0eU_-jZYJ7cOv2IRVrD4mpf5sOQpgOS1CZgxt4unE_-7NwB90vav5a4Oi-hq27XU_BXQNohCGKXfUmn8kEYfk.Q_PcvAiZ17B_pWeg8iolAbKXzxx1kmtSIBNy0RjSHaI&amp;dib_tag=se&amp;keywords=polyurethane%2Bblack%2Bdye&amp;qid=1732131737&amp;sprefix=polyurethane%2Bblack%2Bdye%2Caps%2C110&amp;sr=8-8&amp;th=1</t>
  </si>
  <si>
    <t>PET-CF Filament</t>
  </si>
  <si>
    <t>Carbon Fiber Reinforced PET - 1kg</t>
  </si>
  <si>
    <t>Airfoil Ribs</t>
  </si>
  <si>
    <t>Bambu Labs</t>
  </si>
  <si>
    <t>https://ca.store.bambulab.com/collections/filament-single-discount/products/pet-cf?variant=44029327671536</t>
  </si>
  <si>
    <t xml:space="preserve">Need to Purchase by memebr </t>
  </si>
  <si>
    <t xml:space="preserve">6061 Aluminium 0.25'' plate </t>
  </si>
  <si>
    <t>24" x 33" x 0.25"</t>
  </si>
  <si>
    <t>Rear wing mount</t>
  </si>
  <si>
    <t>https://www.metalsupermarkets.com/product/aluminum-plate-6061/</t>
  </si>
  <si>
    <t>Anisha Das</t>
  </si>
  <si>
    <t>6061 Aluminium 0.25'' plate</t>
  </si>
  <si>
    <t>35'' x 27'' x 0.12''</t>
  </si>
  <si>
    <t xml:space="preserve">Front wing mount </t>
  </si>
  <si>
    <t>https://www.metalsupermarkets.com/product/aluminum-sheet-6061/</t>
  </si>
  <si>
    <t xml:space="preserve">CC Carbon Fiber Tube Twill </t>
  </si>
  <si>
    <t>22mm x 20mm x 1.2m</t>
  </si>
  <si>
    <t>Rear Wing Support/Mount</t>
  </si>
  <si>
    <t>Composites Canada</t>
  </si>
  <si>
    <t>CFT-22X20TW</t>
  </si>
  <si>
    <t>https://shop.compositescanada.com/#/product/CFT-22X20TW</t>
  </si>
  <si>
    <t>No</t>
  </si>
  <si>
    <t>Infusion Supplies</t>
  </si>
  <si>
    <t>aero</t>
  </si>
  <si>
    <t>2x2 Twill Weave Carbon Fiber</t>
  </si>
  <si>
    <t>Carbon Fiber/LMFG Stabilized Fabric 2x2 Twill 3k 50"/127cm 6.1oz/206gsm Toray T300</t>
  </si>
  <si>
    <t xml:space="preserve"> F-1541-50</t>
  </si>
  <si>
    <t>https://www.compositeenvisions.com/Carbon-Fiber-LMFG-Stabilized-Fabric-2x2-Twill-3k-6.1oz-207gsm?quantity=26&amp;width=624</t>
  </si>
  <si>
    <t>Davis Macdonald</t>
  </si>
  <si>
    <t>On Hold</t>
  </si>
  <si>
    <t>Infusion Epoxy</t>
  </si>
  <si>
    <t xml:space="preserve">R-3501 Vacuum Infusion Epoxy 3:1 </t>
  </si>
  <si>
    <t>Epoxy for Layup</t>
  </si>
  <si>
    <t>1171-.75_Gallon</t>
  </si>
  <si>
    <t>https://www.compositeenvisions.com/R3501-31-Infusion-Epoxy?quantity=1&amp;item-size=40</t>
  </si>
  <si>
    <t>Infusion Epoxy Hardener</t>
  </si>
  <si>
    <t>H5000-01 3:1 Infusion Hardener</t>
  </si>
  <si>
    <t>Hardener for Epoxy</t>
  </si>
  <si>
    <t>1172-.25_gal</t>
  </si>
  <si>
    <t>https://www.compositeenvisions.com/H5000-01-31-Infusion-Hardener</t>
  </si>
  <si>
    <t>Teflon release film</t>
  </si>
  <si>
    <t>Non Porous Teflon Coated Release Film with Silicone Adhesive 39.37"/100cm width Thickness .007"/.18mm</t>
  </si>
  <si>
    <t>For mold release</t>
  </si>
  <si>
    <t>1803-39</t>
  </si>
  <si>
    <t>https://www.compositeenvisions.com/Non-Porous-Teflon-Coated-Peel-Ply-with-Silicone-Adhesive-Thickness-0.18mm?quantity=1&amp;width=967</t>
  </si>
  <si>
    <t>Frekote 700-NC Industrial Mold Release</t>
  </si>
  <si>
    <t>Frekot Mold Release (Pint)</t>
  </si>
  <si>
    <t>Mold Release</t>
  </si>
  <si>
    <t>1406-Pint</t>
  </si>
  <si>
    <t>https://www.compositeenvisions.com/Frekote-700-NC-Industrial-Mold-Release?quantity=1&amp;item-size=28</t>
  </si>
  <si>
    <t>Part</t>
  </si>
  <si>
    <t>Vacuum Resin Trap Catch Pot - Stainless Steel 2 Quart</t>
  </si>
  <si>
    <t>Catch Can for Infusion</t>
  </si>
  <si>
    <t>Infusion Layups</t>
  </si>
  <si>
    <t>https://www.compositeenvisions.com/Vacuum-Resin-Trap-Catch-Pot-Stainless-Steel-2-Quart</t>
  </si>
  <si>
    <t>Fibertack MT-1 Spray Tack Adhesive</t>
  </si>
  <si>
    <t>spray tack</t>
  </si>
  <si>
    <t>2270-16oz</t>
  </si>
  <si>
    <t>https://www.compositeenvisions.com/Fibertack-MT-1-Spray-Tack-Adhesive?quantity=1&amp;item-size=46&amp;tint=1</t>
  </si>
  <si>
    <t>no</t>
  </si>
  <si>
    <t>Radius Compression Roller 1.5" Diameter</t>
  </si>
  <si>
    <t>Infusion</t>
  </si>
  <si>
    <t>2019-.125</t>
  </si>
  <si>
    <t>https://www.compositeenvisions.com/Radius-Compression-Roller-1.5in-Diameter?quantity=1&amp;radius=2</t>
  </si>
  <si>
    <t xml:space="preserve">Soric XF Infusible Honeycomb Core 50" Wide
</t>
  </si>
  <si>
    <t>Core Material</t>
  </si>
  <si>
    <t>For seat and Undertray</t>
  </si>
  <si>
    <t>1270-50-2mm</t>
  </si>
  <si>
    <t>https://www.compositeenvisions.com/Soric-XF-Infusible-Honeycomb-Core?quantity=1&amp;thickness=1&amp;srsltid=AfmBOopsqvf84oYukx9W4KJ_cmyt3G4LzbbYzgvJH19HmhMhytYuJCyF</t>
  </si>
  <si>
    <t>Squeegee Yellow 4”</t>
  </si>
  <si>
    <t>Epoxy Spreader</t>
  </si>
  <si>
    <t>https://shop.compositescanada.com/#/product/6903-4</t>
  </si>
  <si>
    <t>In Shop</t>
  </si>
  <si>
    <t>Squeegee Yellow 2”</t>
  </si>
  <si>
    <t>https://shop.compositescanada.com/#/product/6903-2</t>
  </si>
  <si>
    <t>Econo Wood Handle Brush 2”</t>
  </si>
  <si>
    <t>BR200-2-B24</t>
  </si>
  <si>
    <t>https://shop.compositescanada.com/#/product/BR200-2-B24</t>
  </si>
  <si>
    <t>Econo Wood Handle Brush 1”</t>
  </si>
  <si>
    <t>BR200-1</t>
  </si>
  <si>
    <t>https://shop.compositescanada.com/#/product/BR200-1</t>
  </si>
  <si>
    <t>CC Xtreme Plastic Graduated Cup-Pint</t>
  </si>
  <si>
    <t>Epoxy Mixing</t>
  </si>
  <si>
    <t>9036-PT</t>
  </si>
  <si>
    <t>https://shop.compositescanada.com/#/product/9036-PT</t>
  </si>
  <si>
    <t>CC Xtreme Plastic Graduated Cup-Qrt</t>
  </si>
  <si>
    <t>9037-Q</t>
  </si>
  <si>
    <t>https://shop.compositescanada.com/#/product/9037-Q</t>
  </si>
  <si>
    <t>CC Xtreme Plastic Graduated Cup-2.5 Qrt</t>
  </si>
  <si>
    <t>9037-25</t>
  </si>
  <si>
    <t>https://shop.compositescanada.com/#/product/9037-25</t>
  </si>
  <si>
    <t>CC Xtreme Plastic Graduated Cups-5 Qrt</t>
  </si>
  <si>
    <t>https://shop.compositescanada.com/#/product/9037-5</t>
  </si>
  <si>
    <t>Safety</t>
  </si>
  <si>
    <t>Full face respirator</t>
  </si>
  <si>
    <t>Safet Equipment</t>
  </si>
  <si>
    <t>amazon.ca/gp/product/B0CQS5RSXZ/ref=ox_sc_act_title_2?smid=A2GTW3Q30TV3OT&amp;psc=1</t>
  </si>
  <si>
    <t>Absolutely necessary for safety</t>
  </si>
  <si>
    <t>Replacement cartridge for 3M VO/P100 multi-purpose respirator, 1 pair</t>
  </si>
  <si>
    <t>P100 respirator filters</t>
  </si>
  <si>
    <t>Canadian Tire</t>
  </si>
  <si>
    <t>#055-0286-0</t>
  </si>
  <si>
    <t>https://www.canadiantire.ca/fr/pdp/cartouche-de-rechange-pour-respirateur-multi-usage-3m-vo-p100-1-paire-0550286p.html#store=600</t>
  </si>
  <si>
    <t>Tubing</t>
  </si>
  <si>
    <t>CANADA TUBING Clear Vinyl Tubing, 1/4" inside diameter x 3/8" outside diameter x 100 ft coil.</t>
  </si>
  <si>
    <t>Homedepot</t>
  </si>
  <si>
    <t>Store SKU # 1001537759</t>
  </si>
  <si>
    <t>https://www.homedepot.ca/product/canada-tubing-clear-vinyl-tubing-1-4-inside-diameter-x-3-8-outside-diameter-x-100-ft-coil-/1001537759</t>
  </si>
  <si>
    <t>SOLDOUT</t>
  </si>
  <si>
    <t>Filament</t>
  </si>
  <si>
    <t>Pla Basic</t>
  </si>
  <si>
    <t>For molds</t>
  </si>
  <si>
    <t>Bambu Lab</t>
  </si>
  <si>
    <t>Black (10101)</t>
  </si>
  <si>
    <t>https://ca.store.bambulab.com/products/pla-basic-filament?id=43766892298480</t>
  </si>
  <si>
    <t>Testing</t>
  </si>
  <si>
    <t>Bryte Paraffin Lamp Oil</t>
  </si>
  <si>
    <t>Bryte Paraffin Lamp Oil - Smokeless, Odorless, Clean &amp; Clear, Paraffin Oil for Indoor and Outdoor Use, Funnel Included 1Gallon</t>
  </si>
  <si>
    <t>Flow vis test</t>
  </si>
  <si>
    <t>Non-critical</t>
  </si>
  <si>
    <t>B08R6JV1Q1</t>
  </si>
  <si>
    <t>https://www.amazon.ca/Bryte-Paraffin-Lamp-Oil-Smokeless/dp/B08R6JV1Q1/ref=asc_df_B08R6JV1Q1?mcid=d8676b660d6d3449bd88b9cc9de715f5&amp;tag=googleshopc0c-20&amp;linkCode=df0&amp;hvadid=706727704281&amp;hvpos=&amp;hvnetw=g&amp;hvrand=16348616914073916468&amp;hvpone=&amp;hvptwo=&amp;hvqmt=&amp;hvdev=c&amp;hvdvcmdl=&amp;hvlocint=&amp;hvlocphy=1002190&amp;hvtargid=pla-1596667094810&amp;hvocijid=16348616914073916468-B08R6JV1Q1-&amp;hvexpln=0&amp;gad_source=1&amp;th=1</t>
  </si>
  <si>
    <t>Oleic Acid</t>
  </si>
  <si>
    <t>Oleic acid pure 112-80-1 C18H34O2 cis-octadec-9-enoic acid</t>
  </si>
  <si>
    <t>Etsy</t>
  </si>
  <si>
    <t>https://www.etsy.com/ca/listing/1889277883/oleic-acid-pure-112-80-1-c18h34o2-cis?ls=s&amp;ga_order=most_relevant&amp;ga_search_type=all&amp;ga_view_type=gallery&amp;ga_search_query=oleic+acid&amp;ref=sr_gallery-1-1&amp;sr_prefetch=1&amp;pf_from=market&amp;pro=1&amp;content_source=21bfdd1a-b943-48d2-bfa2-9882612e6418%253ALT927f1787e75e0ff0c364cf62dcd2ab18d7a8a88f&amp;organic_search_click=1&amp;logging_key=21bfdd1a-b943-48d2-bfa2-9882612e6418%3ALT927f1787e75e0ff0c364cf62dcd2ab18d7a8a88f</t>
  </si>
  <si>
    <t>Invisible Blue Titanium Oxide</t>
  </si>
  <si>
    <t>Fluorescein</t>
  </si>
  <si>
    <t xml:space="preserve">Amazon </t>
  </si>
  <si>
    <t>https://www.amazon.ca/Fluorescein-DOSIDIAG-Intense-Tracer-Detection/dp/B0DPDT373R?source=ps-sl-shoppingads-lpcontext&amp;ref_=fplfs&amp;psc=1&amp;smid=A1XKTVF3I6UNMV</t>
  </si>
  <si>
    <t>bodywork</t>
  </si>
  <si>
    <t>Copper Mesh</t>
  </si>
  <si>
    <t>Needed to ground upper side panels</t>
  </si>
  <si>
    <t>https://www.amazon.ca/gp/product/B0B4TZRYKB/ref=ox_sc_act_title_1?smid=A385U2A6WE6O07&amp;psc=1</t>
  </si>
  <si>
    <t>Ordered</t>
  </si>
  <si>
    <t>Bar Magnets</t>
  </si>
  <si>
    <t>Needed to attach nose cone and rear cover onto frame</t>
  </si>
  <si>
    <t>1</t>
  </si>
  <si>
    <t>https://www.amazon.ca/DIYMAG-Powerful-Neodymium-Double-Sided-Office-60x10x3mm/dp/B07D5SH29K?source=ps-sl-shoppingads-lpcontext&amp;ref_=fplfs&amp;th=1</t>
  </si>
  <si>
    <t>Dzus Fasteners</t>
  </si>
  <si>
    <t>Needed to mount nose cone and rear cover to frame</t>
  </si>
  <si>
    <t>https://www.mcmaster.com/91382A530/</t>
  </si>
  <si>
    <t>In Shop (Lead Notified)</t>
  </si>
  <si>
    <t>Ceconite</t>
  </si>
  <si>
    <t xml:space="preserve">Needed for driver side panels. </t>
  </si>
  <si>
    <t>Ceconite Fabric Ceconite 101 | Aircraft Spruce Canada</t>
  </si>
  <si>
    <t>Carbon Tubes</t>
  </si>
  <si>
    <t>15mm x 1 meter</t>
  </si>
  <si>
    <t xml:space="preserve">undertray mounting </t>
  </si>
  <si>
    <t>Composite envisions</t>
  </si>
  <si>
    <t>T-1826-20mm</t>
  </si>
  <si>
    <t>https://www.compositeenvisions.com/Roll-Wrapped-Carbon-Fiber-Tube-Twill-Weave-Gloss-Finish?quantity=1&amp;length=35&amp;outside-diameter=10&amp;finish=1</t>
  </si>
  <si>
    <t>https://docs.google.com/spreadsheets/d/1loRnpEvRcwY8K_89g4f5wAHS1--0q0ijVATVHcMnAbw/edit?usp=share_link</t>
  </si>
  <si>
    <t>Ball Joint Rod End</t>
  </si>
  <si>
    <t xml:space="preserve"> 1/4"-28 Thread</t>
  </si>
  <si>
    <t>Under tray mount</t>
  </si>
  <si>
    <t>McMaster Carr</t>
  </si>
  <si>
    <t>60645K12</t>
  </si>
  <si>
    <t>https://www.mcmaster.com/catalog/131/1275/4237N102</t>
  </si>
  <si>
    <r>
      <rPr>
        <rFont val="Arial"/>
      </rPr>
      <t xml:space="preserve">Purchased version with nut instead </t>
    </r>
    <r>
      <rPr>
        <rFont val="Arial"/>
        <color rgb="FF1155CC"/>
        <u/>
      </rPr>
      <t>https://www.mcmaster.com/catalog/131/1275/4237N102</t>
    </r>
  </si>
  <si>
    <t>1/4"-28 thread Heat Set insert</t>
  </si>
  <si>
    <t>1/4"-28 thread Heat Set insert 1/2" installed length</t>
  </si>
  <si>
    <t>Support Rod Fasteners</t>
  </si>
  <si>
    <t>94459A813</t>
  </si>
  <si>
    <t>https://www.mcmaster.com/94459A813/</t>
  </si>
  <si>
    <t>Maooz Ahmed</t>
  </si>
  <si>
    <t>GRAND TOTAL</t>
  </si>
  <si>
    <r>
      <rPr>
        <rFont val="arial, sans, sans-serif"/>
        <b/>
      </rPr>
      <t xml:space="preserve">Estimated Duty Charge (Use </t>
    </r>
    <r>
      <rPr>
        <rFont val="arial, sans, sans-serif"/>
        <b/>
      </rPr>
      <t>this calculator</t>
    </r>
    <r>
      <rPr>
        <rFont val="arial, sans, sans-serif"/>
        <b/>
      </rPr>
      <t>) ($ CAD)</t>
    </r>
  </si>
  <si>
    <t>Rochelle, Rhythm</t>
  </si>
  <si>
    <t>suspension</t>
  </si>
  <si>
    <t>Hydraulic Press</t>
  </si>
  <si>
    <t>10 Ton Capacity Hydraulic Shop Press, Long Lever Manual Operation, 3 Bed Height Positions, TMG-ASP10</t>
  </si>
  <si>
    <t>Pressing In Bearings</t>
  </si>
  <si>
    <t>TMG Industrial</t>
  </si>
  <si>
    <t>TMG-ASP10</t>
  </si>
  <si>
    <t>https://tmgindustrial.ca/products/tmg-industrial-10-ton-capacity-hydraulic-shop-press-long-lever-manual-operation-3-bed-height-positions-tmg-asp10</t>
  </si>
  <si>
    <t>Ask Dejan</t>
  </si>
  <si>
    <t>Provided by Dejan from my understanding he sent an email, so see if they would sponsor us for it.</t>
  </si>
  <si>
    <t>Loctite</t>
  </si>
  <si>
    <t>Loctite 21448 Green 638 High Strength Retaining Compound, 50 mL Bottle</t>
  </si>
  <si>
    <t>Bonding Bearings</t>
  </si>
  <si>
    <t>https://www.amazon.ca/Loctite-21448-Strength-Retaining-Compound/dp/B000O01EV0/ref=sr_1_1?crid=W98N5939DA6P&amp;dib=eyJ2IjoiMSJ9.abA3xHgeKetbOAZE2MR1cIRJMuiMUUhkzEeFawId2X6aa9ZAMC7h8zFTuGGyOnAFYZhq-9avq0gpGfBRLibQs-LZSyv4fZjgl4RIhqaCnf_UKUrLxMe0LAzvM8xqh6UYXLJ75rfCUmfsUBAVfztfGie49s3OAmWJ-qbik0kX26_2ZlV4LjVl4B1peiItNHeCy2UzFT7Nj5uDew9jcfKXEZHRC-ST2dRbNEQg7w1XxY3P9bvFl9sWLbmNJffmaCKvN6WjpP_lPdpgu3t5rMAcM_LPMggEq6Eg_pSomzBprH0.zK9V3a6zSItGEdt3uIBRqf6ptyTO2U0RBm-5jv0oa0o&amp;dib_tag=se&amp;keywords=Loctite+green&amp;qid=1729819463&amp;sprefix=loctite+gree%2Caps%2C108&amp;sr=8-1</t>
  </si>
  <si>
    <t xml:space="preserve">1" 4140  Heat Treated
</t>
  </si>
  <si>
    <t>3"</t>
  </si>
  <si>
    <t>Bearing Fixture</t>
  </si>
  <si>
    <t>https://www.metalsupermarkets.com/product/alloy-steel-round-bar-4140/</t>
  </si>
  <si>
    <t xml:space="preserve">0.625" 4140  Heat Treated
</t>
  </si>
  <si>
    <t>2"</t>
  </si>
  <si>
    <t xml:space="preserve">0.25" 4140  Heat Treated
</t>
  </si>
  <si>
    <t>4"</t>
  </si>
  <si>
    <t>863 Iron Copper Oil-Embedded Sleeve Bearing</t>
  </si>
  <si>
    <t>Flanged, for 1/4" Shaft Diameter and 3/8" Housing ID, 3/8" Long</t>
  </si>
  <si>
    <t>Top Hat</t>
  </si>
  <si>
    <t xml:space="preserve">McMaster Carr </t>
  </si>
  <si>
    <t>2938T2</t>
  </si>
  <si>
    <t>https://www.mcmaster.com/2938T2/</t>
  </si>
  <si>
    <t>Corrosion-Resistant Swivel Joint</t>
  </si>
  <si>
    <t>Lubrication-Free, 1/4" ID, 21/32" OD</t>
  </si>
  <si>
    <t>Outboard Beaings</t>
  </si>
  <si>
    <t>63215K52</t>
  </si>
  <si>
    <t>https://www.mcmaster.com/63215K52/</t>
  </si>
  <si>
    <t>Tube-End Weld Nut</t>
  </si>
  <si>
    <t>for 1/2" Tube OD and 0.058" Wall Thickness, 1/4"-28 Thread Size</t>
  </si>
  <si>
    <t>Right Hand Thread Weld Nuts</t>
  </si>
  <si>
    <t>94640A881</t>
  </si>
  <si>
    <t>https://www.mcmaster.com/94640A881/</t>
  </si>
  <si>
    <t>Ball Joint Rod End with Nut</t>
  </si>
  <si>
    <t>1/4"-28 Thread Size</t>
  </si>
  <si>
    <t>Right Hand Thread Rod Ends</t>
  </si>
  <si>
    <t>4237N13</t>
  </si>
  <si>
    <t>https://www.mcmaster.com/4237n102/</t>
  </si>
  <si>
    <t>luca thought of the fact that we can recycle them so i still need to take inventory</t>
  </si>
  <si>
    <t>Flanged, for 1/4" Shaft Diameter and 3/8" Housing ID, 1/4" Long</t>
  </si>
  <si>
    <t>PR Top Hat</t>
  </si>
  <si>
    <t>2938T1</t>
  </si>
  <si>
    <t>https://www.mcmaster.com/2938T1/</t>
  </si>
  <si>
    <t>Left-Hand Threaded, for 1/2" OD and 0.058" Wall Thickness, 1/4"-28 Thread</t>
  </si>
  <si>
    <t>Left Hand Thread Weld Nuts</t>
  </si>
  <si>
    <t>94640A882</t>
  </si>
  <si>
    <t>https://www.mcmaster.com/94640A882/</t>
  </si>
  <si>
    <t>Left Hand Thread 1/4"-28 Thread Size</t>
  </si>
  <si>
    <t>Left Hand Thread Rod Ends</t>
  </si>
  <si>
    <t>4237N14</t>
  </si>
  <si>
    <t>Stainless Steel Ball Bearing</t>
  </si>
  <si>
    <t>Shielded with Extended Inner Ring, Number R188-2Z</t>
  </si>
  <si>
    <t>BL Pivot</t>
  </si>
  <si>
    <t>57155K387</t>
  </si>
  <si>
    <t>https://www.mcmaster.com/57155K387/</t>
  </si>
  <si>
    <t>Master Jig</t>
  </si>
  <si>
    <t>T-Slotted Framing</t>
  </si>
  <si>
    <t>6ft - Single 4-Slot Rail, Silver, 1.5" High x 1.5" Wide, Hollow</t>
  </si>
  <si>
    <t>Alum Ext.</t>
  </si>
  <si>
    <t>47065T148</t>
  </si>
  <si>
    <t>https://www.mcmaster.com/47065T102-47065T148/</t>
  </si>
  <si>
    <t>8ft - Single 4-Slot Rail, Silver, 1.5" High x 1.5" Wide, Hollow</t>
  </si>
  <si>
    <t>47065T157</t>
  </si>
  <si>
    <t>https://www.mcmaster.com/47065T102-47065T157/</t>
  </si>
  <si>
    <t>Silver Flush Tee Bracket for 1.5" High Rail, 4.5" Long</t>
  </si>
  <si>
    <t xml:space="preserve">90 Connection </t>
  </si>
  <si>
    <t>3136N161</t>
  </si>
  <si>
    <t>https://www.mcmaster.com/3136N161/</t>
  </si>
  <si>
    <t>1ft - Single 4-Slot Rail, Silver, 1.5" High x 1.5" Wide, Hollow</t>
  </si>
  <si>
    <t>47065T601</t>
  </si>
  <si>
    <t>https://www.mcmaster.com/47065T102-47065T601/</t>
  </si>
  <si>
    <t>Silver Corner Bracket</t>
  </si>
  <si>
    <t>1.5" Long for 1.5" High Rail T-Slotted Framing</t>
  </si>
  <si>
    <t>Corner Mounts</t>
  </si>
  <si>
    <t>47065T845</t>
  </si>
  <si>
    <t>https://www.mcmaster.com/47065T845/</t>
  </si>
  <si>
    <t>Sleeve Bearing, 1.5" High Rail, 2 Flange, 2-13/16" Long, Silver</t>
  </si>
  <si>
    <t>Slotted Frame</t>
  </si>
  <si>
    <t>47065T962</t>
  </si>
  <si>
    <t>https://www.mcmaster.com/47065T962/</t>
  </si>
  <si>
    <t>Self-Aligning T-Slotted Framing Nuts</t>
  </si>
  <si>
    <t>End-Feed, for 1.5", 30 mm and 40 mm Rail, 5/16"-18 Thread</t>
  </si>
  <si>
    <t>Frame Mounting Nuts</t>
  </si>
  <si>
    <t>5278N11</t>
  </si>
  <si>
    <t>https://www.mcmaster.com/5278N11/</t>
  </si>
  <si>
    <t>Zinc-Plated Grade 5 Steel Flanged Hex Head Screws</t>
  </si>
  <si>
    <t>Medium-Strength, 5/16"-18 Thread Size, 7/8" Long, Fully Threaded</t>
  </si>
  <si>
    <t>Bolts</t>
  </si>
  <si>
    <t>92979A157</t>
  </si>
  <si>
    <t>https://www.mcmaster.com/92979A157/</t>
  </si>
  <si>
    <t>Zinc-Plated Medium-Strength Steel Hex Nut</t>
  </si>
  <si>
    <t>SAE Grade 5, 5/16"-18 Thread Size</t>
  </si>
  <si>
    <t>Nuts</t>
  </si>
  <si>
    <t>95462A030</t>
  </si>
  <si>
    <t>https://www.mcmaster.com/95462A030/</t>
  </si>
  <si>
    <t xml:space="preserve">Manufacturing </t>
  </si>
  <si>
    <t xml:space="preserve">PETG filament </t>
  </si>
  <si>
    <t xml:space="preserve">Bambu HF PETG filament </t>
  </si>
  <si>
    <t>needed for frame and tab jigs for other systems</t>
  </si>
  <si>
    <t>Gray (33101)</t>
  </si>
  <si>
    <t>https://ca.store.bambulab.com/products/petg-hf</t>
  </si>
  <si>
    <t>Bambu</t>
  </si>
  <si>
    <t>none</t>
  </si>
  <si>
    <t>Frame Primary</t>
  </si>
  <si>
    <t>frame</t>
  </si>
  <si>
    <t>4130 Tubes</t>
  </si>
  <si>
    <t>Tubes cut from VR3 (all tubes)</t>
  </si>
  <si>
    <t xml:space="preserve">for frame, suspension and acu tabs </t>
  </si>
  <si>
    <t>VR3</t>
  </si>
  <si>
    <t>Sponsored (50% discount)</t>
  </si>
  <si>
    <t xml:space="preserve">based on last years VR3 order, since we are adding acu mounts added ~250 on top to account for it </t>
  </si>
  <si>
    <t xml:space="preserve">Total </t>
  </si>
  <si>
    <t>frame-sub-items</t>
  </si>
  <si>
    <t>6061 Aluminum</t>
  </si>
  <si>
    <t>39.8" x 20.9" x 0.05"  plate sheet metal, 16 gauge</t>
  </si>
  <si>
    <t>Front Floor Closeout</t>
  </si>
  <si>
    <t>Measurements have an extra inch for cutting</t>
  </si>
  <si>
    <t>21.2" x 22.5" x 0.05" plate sheet metal, 16 gauge</t>
  </si>
  <si>
    <t>Rear Floor Closeout</t>
  </si>
  <si>
    <t xml:space="preserve">22.22" x 16 " x 0.032 " Aluminum </t>
  </si>
  <si>
    <t>Top Firewall</t>
  </si>
  <si>
    <t xml:space="preserve">22.22 " x 17.6" x 0.032 Aluminum </t>
  </si>
  <si>
    <t>Lower Firewall</t>
  </si>
  <si>
    <t>Aluminum Rivets</t>
  </si>
  <si>
    <t>Aluminum Blind Rivets with Aluminum Mandrel, Domed Head, 3/16" Diameter, for 0.126"- 0.25" Material Thickness</t>
  </si>
  <si>
    <t>Mounting floors</t>
  </si>
  <si>
    <t>34 (not final)</t>
  </si>
  <si>
    <t>Mcmaster Carr</t>
  </si>
  <si>
    <t>97447A050</t>
  </si>
  <si>
    <t>https://www.mcmaster.com/97447A050/</t>
  </si>
  <si>
    <t>50 ml</t>
  </si>
  <si>
    <t>Sealing Top and bot firewall</t>
  </si>
  <si>
    <t>6430A19</t>
  </si>
  <si>
    <t>https://www.mcmaster.com/products/loctite/</t>
  </si>
  <si>
    <t>Impact Attenuator</t>
  </si>
  <si>
    <t>Aluminum Honeycomb Extrusion Impact Attenuator</t>
  </si>
  <si>
    <t>Lot of 2</t>
  </si>
  <si>
    <t>Plascore</t>
  </si>
  <si>
    <t>Still have one from last year</t>
  </si>
  <si>
    <t>FramSub tob firewall Tabs</t>
  </si>
  <si>
    <t xml:space="preserve">7 " x 8 " x 0.032 " </t>
  </si>
  <si>
    <t>Fram tabs</t>
  </si>
  <si>
    <t>https://www.metalsupermarkets.com/product/alloy-steel-sheet-4130/</t>
  </si>
  <si>
    <t xml:space="preserve">3.36 " x 3.36 " x 0.05 " </t>
  </si>
  <si>
    <t>Self tapping</t>
  </si>
  <si>
    <t>1/4 self tapping screws</t>
  </si>
  <si>
    <t>Attach the firewall to the head restraint tube</t>
  </si>
  <si>
    <t>Home Depot</t>
  </si>
  <si>
    <t>https://www.homedepot.ca/product/paulin--8-15-x-1-1-4-in-pan-head-square-drive-self-tapping-sheet-metal-screws-zinc-plated-100pcs/1000139772</t>
  </si>
  <si>
    <t>steering</t>
  </si>
  <si>
    <t>1/4"-28 Thread Size (Left Hand)</t>
  </si>
  <si>
    <r>
      <rPr>
        <rFont val="arial, sans, sans-serif"/>
        <color theme="1"/>
        <u/>
      </rPr>
      <t>Future Reference Only</t>
    </r>
    <r>
      <rPr>
        <rFont val="arial, sans, sans-serif"/>
        <color theme="1"/>
      </rPr>
      <t xml:space="preserve"> - Shared with suspension</t>
    </r>
  </si>
  <si>
    <t>1/4"-28 Thread Size (Right Hand)</t>
  </si>
  <si>
    <r>
      <rPr>
        <rFont val="arial, sans, sans-serif"/>
        <color theme="1"/>
        <u/>
      </rPr>
      <t>Future Reference Only</t>
    </r>
    <r>
      <rPr>
        <rFont val="arial, sans, sans-serif"/>
        <color theme="1"/>
      </rPr>
      <t xml:space="preserve"> - Shared with suspension</t>
    </r>
  </si>
  <si>
    <t xml:space="preserve">for 1/2" Tube OD and 0.058" Wall Thickness, 1/4"-28 Thread Size </t>
  </si>
  <si>
    <r>
      <rPr>
        <rFont val="arial, sans, sans-serif"/>
        <color theme="1"/>
        <u/>
      </rPr>
      <t>Future Reference Only</t>
    </r>
    <r>
      <rPr>
        <rFont val="arial, sans, sans-serif"/>
        <color theme="1"/>
      </rPr>
      <t xml:space="preserve"> - Shared with suspension</t>
    </r>
  </si>
  <si>
    <r>
      <rPr>
        <rFont val="arial, sans, sans-serif"/>
        <color theme="1"/>
        <u/>
      </rPr>
      <t>Future Reference Only</t>
    </r>
    <r>
      <rPr>
        <rFont val="arial, sans, sans-serif"/>
        <color theme="1"/>
      </rPr>
      <t xml:space="preserve"> - Shared with suspension</t>
    </r>
  </si>
  <si>
    <t>Shoulder Screw</t>
  </si>
  <si>
    <t>Same-Size Thread 18-8 Stainless Steel Shoulder Screw</t>
  </si>
  <si>
    <t>Steering linkage fasteners</t>
  </si>
  <si>
    <t>91273A587</t>
  </si>
  <si>
    <t>https://www.mcmaster.com/catalog/131/3541/91273A587</t>
  </si>
  <si>
    <t>Nylock</t>
  </si>
  <si>
    <t>1/4-28 Nylock</t>
  </si>
  <si>
    <t>1 Pack of 25</t>
  </si>
  <si>
    <t>90630A145</t>
  </si>
  <si>
    <t>https://www.mcmaster.com/90630A145/</t>
  </si>
  <si>
    <t>SHCS</t>
  </si>
  <si>
    <t>1/4"- 20 Socket Head Cap Screw</t>
  </si>
  <si>
    <t>Steering Rack Fasteners</t>
  </si>
  <si>
    <t>1 Pack of 50</t>
  </si>
  <si>
    <t>91251A548</t>
  </si>
  <si>
    <t>https://www.mcmaster.com/91251A548/</t>
  </si>
  <si>
    <t>Keep this item on hold until I'm able to check the metal in the shop Nov. 1st</t>
  </si>
  <si>
    <t>Carbon Tube</t>
  </si>
  <si>
    <t>Carbon Fiber Tube (Twill Weave, 0.064" Wall Thickness, 0.503" OD)</t>
  </si>
  <si>
    <t>Tie rod material</t>
  </si>
  <si>
    <t>Mcmaster carr</t>
  </si>
  <si>
    <t>5287T81</t>
  </si>
  <si>
    <t>https://www.mcmaster.com/5287T81-5287T672/</t>
  </si>
  <si>
    <t>TOTAL</t>
  </si>
  <si>
    <t>Outboards</t>
  </si>
  <si>
    <t>outboards</t>
  </si>
  <si>
    <t xml:space="preserve">machined uprights </t>
  </si>
  <si>
    <t>Machined uprights from chinese contact</t>
  </si>
  <si>
    <t>for the uprights</t>
  </si>
  <si>
    <t>based on price Steven gave me for the Tm-25 uprights accounting for shipping charges and some flucauation to costs</t>
  </si>
  <si>
    <t>Timken 08231-20024 bearing cup</t>
  </si>
  <si>
    <t>front bearing cup for hub</t>
  </si>
  <si>
    <t>to allow wheels to spin</t>
  </si>
  <si>
    <t>tbd</t>
  </si>
  <si>
    <t>Motion Canada</t>
  </si>
  <si>
    <t>https://www.motioncanada.ca/products/sku/00657442</t>
  </si>
  <si>
    <t>can't get shipping price</t>
  </si>
  <si>
    <t>timken 08125-20082 bearing roller</t>
  </si>
  <si>
    <t>front bearing rollers for hub</t>
  </si>
  <si>
    <t>allow wheels to spin</t>
  </si>
  <si>
    <t>https://www.motioncanada.ca/products/sku/00657434</t>
  </si>
  <si>
    <t xml:space="preserve">no </t>
  </si>
  <si>
    <t>Timken L610510-20024 bearing cup</t>
  </si>
  <si>
    <t>rear bearing cup for hub</t>
  </si>
  <si>
    <t>https://www.motioncanada.ca/products/sku/00662016</t>
  </si>
  <si>
    <t>Timken L610549-20024 bearing roller</t>
  </si>
  <si>
    <t>rear bearing roller for hub</t>
  </si>
  <si>
    <t>https://www.motioncanada.ca/products/sku/00662021</t>
  </si>
  <si>
    <t>brakes</t>
  </si>
  <si>
    <t>Front Caliper</t>
  </si>
  <si>
    <t>Front Caliper AP Racing CP4227-2S0</t>
  </si>
  <si>
    <t>Front Right caliper was dammaged during testing (July 31 2025)</t>
  </si>
  <si>
    <t>0</t>
  </si>
  <si>
    <t>$1183.47 (€738,84)</t>
  </si>
  <si>
    <t>will be defined by the Sales Manager during order processing</t>
  </si>
  <si>
    <t>ATOMIC-SHOP Performance Parts &amp; Motorsport Equipment</t>
  </si>
  <si>
    <t>CP4227-2S0</t>
  </si>
  <si>
    <t>https://atomic-shop.eu/products/ap-racing-cp4227-2s0-brake-caliper-acalaarhx04-0-cp4226</t>
  </si>
  <si>
    <t xml:space="preserve">European </t>
  </si>
  <si>
    <t>need for testing, could not find any north american vendors</t>
  </si>
  <si>
    <t>Outboard Softline</t>
  </si>
  <si>
    <t>Summit Racing™ Stainless Steel Braided Brake Line Assemblies Length: 16 in. (Hose End 1: Female -3AN, Hose End 2: Female -3AN)</t>
  </si>
  <si>
    <t>Front right line broken during testing (July 31)</t>
  </si>
  <si>
    <t>Summit Racing</t>
  </si>
  <si>
    <t>SUM-220304</t>
  </si>
  <si>
    <t>https://www.summitracing.com/int/parts/sum-220304?retaillocation=int</t>
  </si>
  <si>
    <t>Rhys</t>
  </si>
  <si>
    <t>American</t>
  </si>
  <si>
    <t>need for testing</t>
  </si>
  <si>
    <t>Soft line (Braided)</t>
  </si>
  <si>
    <t>Brake Line, Braided Stainless, 20 in. Length, Straight -3 AN Female, Straight -3 AN Female</t>
  </si>
  <si>
    <t>Need longer braided lines for pedal adjustment considerations</t>
  </si>
  <si>
    <t>SUM-220306</t>
  </si>
  <si>
    <t>https://www.summitracing.com/parts/sum-220306</t>
  </si>
  <si>
    <t>Brake pads</t>
  </si>
  <si>
    <t xml:space="preserve">For CP4226, CP4227 rotors, CP4226D27-RX </t>
  </si>
  <si>
    <t>≈ $64</t>
  </si>
  <si>
    <t>need to contact</t>
  </si>
  <si>
    <t>Atomic shop or MOCP</t>
  </si>
  <si>
    <t>CP4226D27-RX</t>
  </si>
  <si>
    <r>
      <rPr>
        <sz val="9.0"/>
      </rPr>
      <t xml:space="preserve">Atomic shop - </t>
    </r>
    <r>
      <rPr>
        <color rgb="FF1155CC"/>
        <sz val="9.0"/>
        <u/>
      </rPr>
      <t>https://atomic-shop.eu/products/ap-racing-cp4226d27-rx-pad-pair-2-7-00t</t>
    </r>
    <r>
      <rPr>
        <sz val="9.0"/>
      </rPr>
      <t xml:space="preserve"> 
 MOCP - </t>
    </r>
    <r>
      <rPr>
        <color rgb="FF1155CC"/>
        <sz val="9.0"/>
        <u/>
      </rPr>
      <t>https://mailordercarparts.co.uk/ap-racing-pad-pair-2-7-00t-cp4226d27-rx</t>
    </r>
    <r>
      <rPr>
        <sz val="9.0"/>
      </rPr>
      <t xml:space="preserve"> </t>
    </r>
  </si>
  <si>
    <t>Yes, Old brake pads</t>
  </si>
  <si>
    <t>No North american vendors anymore. Old team vendor does not sell anymore</t>
  </si>
  <si>
    <t>Rubber Grommets</t>
  </si>
  <si>
    <t>SBR Rubber Grommet for 5/16" Hole Diameter, 1/2" Flange Diameter</t>
  </si>
  <si>
    <t>Sealing Firewall from brake lines</t>
  </si>
  <si>
    <t>McMastercarr</t>
  </si>
  <si>
    <t>https://www.mcmaster.com/products/grommets/grommets-1~~/id~3-16/for-material-thickness~1-16/hole-diameter~5-16/flange-diameter~1-2/</t>
  </si>
  <si>
    <t>Pedal Box</t>
  </si>
  <si>
    <t>BOTS</t>
  </si>
  <si>
    <t>Switch toggle 3A 125V Minature</t>
  </si>
  <si>
    <t>Digi Key</t>
  </si>
  <si>
    <t>SW-T3-1A-A-A3-S1</t>
  </si>
  <si>
    <t>https://www.digikey.ca/en/products/detail/adam-tech/SW-T3-1A-A-A3-S1/15284460</t>
  </si>
  <si>
    <t>Filip/James</t>
  </si>
  <si>
    <t xml:space="preserve">Can't get cheaper </t>
  </si>
  <si>
    <t>Spring</t>
  </si>
  <si>
    <t>Torsion Spring, 120 Degree Left-Hand Wound, 0.56" OD</t>
  </si>
  <si>
    <r>
      <rPr>
        <rFont val="Arial"/>
        <b/>
        <color theme="1"/>
      </rPr>
      <t>(Brake)</t>
    </r>
    <r>
      <rPr>
        <rFont val="Arial"/>
        <color theme="1"/>
      </rPr>
      <t xml:space="preserve"> Return Spring</t>
    </r>
  </si>
  <si>
    <t>Mcmaster</t>
  </si>
  <si>
    <t>9271K641</t>
  </si>
  <si>
    <t>https://www.mcmaster.com/products/torsion-springs/</t>
  </si>
  <si>
    <t xml:space="preserve">MC Spacer </t>
  </si>
  <si>
    <t>Aluminum Unthreaded Spacer, 13 mm OD, 10 mm Long, for M6 Screw Size</t>
  </si>
  <si>
    <r>
      <rPr>
        <rFont val="Arial"/>
        <b/>
        <color theme="1"/>
      </rPr>
      <t>(Brake)</t>
    </r>
    <r>
      <rPr>
        <rFont val="Arial"/>
        <color theme="1"/>
      </rPr>
      <t xml:space="preserve"> Bias Bar Spacer </t>
    </r>
  </si>
  <si>
    <t>94669A175</t>
  </si>
  <si>
    <t>https://www.mcmaster.com/catalog/131/3731/94669A175</t>
  </si>
  <si>
    <t xml:space="preserve">Bearing </t>
  </si>
  <si>
    <t>Ultra-Low-Friction Oil-Embedded Sleeve Bearing, Flanged, for 1/4" Shaft Diameter and 3/8" Housing ID, 3/16" Long</t>
  </si>
  <si>
    <r>
      <rPr>
        <rFont val="Arial"/>
        <b/>
        <color theme="1"/>
      </rPr>
      <t>(Brake)</t>
    </r>
    <r>
      <rPr>
        <rFont val="Arial"/>
        <color theme="1"/>
      </rPr>
      <t xml:space="preserve"> Bearing </t>
    </r>
  </si>
  <si>
    <t>1677K316</t>
  </si>
  <si>
    <t>https://www.mcmaster.com/products/1677k316/</t>
  </si>
  <si>
    <t>Alloy Steel Shoulder Screw1/4" Shoulder Diameter, 3" Shoulder Length, 10-24 Thread</t>
  </si>
  <si>
    <r>
      <rPr>
        <rFont val="Arial"/>
        <b/>
        <color theme="1"/>
      </rPr>
      <t>(Brake)</t>
    </r>
    <r>
      <rPr>
        <rFont val="Arial"/>
        <color theme="1"/>
      </rPr>
      <t xml:space="preserve"> Bias Bar Fastener</t>
    </r>
  </si>
  <si>
    <t>91259A106</t>
  </si>
  <si>
    <t>https://www.mcmaster.com/91259A106/</t>
  </si>
  <si>
    <t>Ultra-Low-Friction Oil-Embedded Sleeve Bearing, Flanged, for 1/4" Shaft Diameter and 3/8" Housing ID, 1/4" Long</t>
  </si>
  <si>
    <r>
      <rPr>
        <rFont val="Arial"/>
        <b/>
        <color theme="1"/>
      </rPr>
      <t>(Throttle)</t>
    </r>
    <r>
      <rPr>
        <rFont val="Arial"/>
        <color theme="1"/>
      </rPr>
      <t xml:space="preserve"> Bearing </t>
    </r>
  </si>
  <si>
    <t>1677K1</t>
  </si>
  <si>
    <t>https://www.mcmaster.com/products/1677k1/</t>
  </si>
  <si>
    <t>Torsion Spring, 90 Degree Right-Hand Wound, 0.848" OD, 0.106" Wire Diameter</t>
  </si>
  <si>
    <r>
      <rPr>
        <rFont val="Arial"/>
        <b/>
        <color theme="1"/>
      </rPr>
      <t>(Throttle)</t>
    </r>
    <r>
      <rPr>
        <rFont val="Arial"/>
        <color theme="1"/>
      </rPr>
      <t xml:space="preserve"> Return Spring RH</t>
    </r>
  </si>
  <si>
    <t>9271K113</t>
  </si>
  <si>
    <t>https://www.mcmaster.com/products/9271k113/</t>
  </si>
  <si>
    <t>Torsion Spring, 90 Degree Left-Hand Wound, 0.848" OD, 0.106" Wire Diameter</t>
  </si>
  <si>
    <r>
      <rPr>
        <rFont val="Arial"/>
        <b/>
        <color theme="1"/>
      </rPr>
      <t>(Throttle)</t>
    </r>
    <r>
      <rPr>
        <rFont val="Arial"/>
        <color theme="1"/>
      </rPr>
      <t xml:space="preserve"> Return Spring LH</t>
    </r>
  </si>
  <si>
    <t>9271K114</t>
  </si>
  <si>
    <t>https://www.mcmaster.com/products/9271k114/</t>
  </si>
  <si>
    <t>Pin</t>
  </si>
  <si>
    <t>18-8 Stainless Steel Dowel Pin 5/32" Diameter, 1-1/4" Long</t>
  </si>
  <si>
    <r>
      <rPr>
        <rFont val="Arial"/>
        <b/>
        <color theme="1"/>
      </rPr>
      <t xml:space="preserve">(Throttle) </t>
    </r>
    <r>
      <rPr>
        <rFont val="Arial"/>
        <color theme="1"/>
      </rPr>
      <t>Reststop + Spring</t>
    </r>
  </si>
  <si>
    <t>90145A494</t>
  </si>
  <si>
    <t>https://www.mcmaster.com/90145A494/</t>
  </si>
  <si>
    <t>Female Threaded Round Standoff, Aluminum, 1/2" OD, 1" Long, 10-32 Thread Size</t>
  </si>
  <si>
    <r>
      <rPr>
        <rFont val="Arial"/>
        <b/>
        <color theme="1"/>
      </rPr>
      <t>(Throtle)</t>
    </r>
    <r>
      <rPr>
        <rFont val="Arial"/>
        <color theme="1"/>
      </rPr>
      <t xml:space="preserve"> Return Spring Shaft</t>
    </r>
  </si>
  <si>
    <t>93330A651</t>
  </si>
  <si>
    <t>https://www.mcmaster.com/catalog/131/3740/93330A651</t>
  </si>
  <si>
    <t>Rotation Pin</t>
  </si>
  <si>
    <t>Dowel Pin 4140 Alloy Steel, 1/4" Diameter, 1-7/8" Long</t>
  </si>
  <si>
    <r>
      <rPr>
        <rFont val="Arial"/>
        <b/>
        <color theme="1"/>
      </rPr>
      <t>(Throttle)</t>
    </r>
    <r>
      <rPr>
        <rFont val="Arial"/>
        <color theme="1"/>
      </rPr>
      <t xml:space="preserve"> Rotation Pin </t>
    </r>
  </si>
  <si>
    <t>98381A430</t>
  </si>
  <si>
    <t>https://www.mcmaster.com/98381A430/</t>
  </si>
  <si>
    <t>416 Stainless Steel Dowel Pin 1/4" Diameter, 1-3/8" Long</t>
  </si>
  <si>
    <r>
      <rPr>
        <rFont val="Arial"/>
        <b/>
        <color theme="1"/>
      </rPr>
      <t>(Brake)</t>
    </r>
    <r>
      <rPr>
        <rFont val="Arial"/>
        <color theme="1"/>
      </rPr>
      <t xml:space="preserve"> Rotation Pin</t>
    </r>
  </si>
  <si>
    <t>98380A545</t>
  </si>
  <si>
    <t>https://www.mcmaster.com/98380A545/</t>
  </si>
  <si>
    <t>Headrest</t>
  </si>
  <si>
    <t>Headrest Padding</t>
  </si>
  <si>
    <t xml:space="preserve">SFI Approved High Density Foam, 16.3 x 18" Sheet, 1" thick </t>
  </si>
  <si>
    <t>Pegasus Auto Racing Supply</t>
  </si>
  <si>
    <t>SKU: 44007</t>
  </si>
  <si>
    <t>https://www.pegasusautoracing.com/productselection.asp?Product=2400-02</t>
  </si>
  <si>
    <t>Drive Train</t>
  </si>
  <si>
    <t>drivetrain</t>
  </si>
  <si>
    <t>Aluminum</t>
  </si>
  <si>
    <t>16" x 10" x 0.75" plate 6061 Aluminum</t>
  </si>
  <si>
    <t>Sprocket side DT mount</t>
  </si>
  <si>
    <t>We have plate metal for this already</t>
  </si>
  <si>
    <t>16" x 10" x 0.5" plate 6061 Aluminum</t>
  </si>
  <si>
    <t>sensor side DT mount</t>
  </si>
  <si>
    <t>6"x 6" x 0.375" plate 6061 Aluminum</t>
  </si>
  <si>
    <t>Sensor side DT mount eccentric plate</t>
  </si>
  <si>
    <t>6" x 6" x 0.625" plate 6061 Aluminum</t>
  </si>
  <si>
    <t>Sprocket side DT mount eccentric plate</t>
  </si>
  <si>
    <t>4" x 3.8"  mild steel 1045</t>
  </si>
  <si>
    <t>Sprocket shaft</t>
  </si>
  <si>
    <t>https://www.metalsupermarkets.com/product/mild-steel-round-bar-cold-rolled-1045/</t>
  </si>
  <si>
    <t>Ball Bearing</t>
  </si>
  <si>
    <t>61810-2rs1</t>
  </si>
  <si>
    <t>Sensor side Diff Bearing</t>
  </si>
  <si>
    <t>Sponsored</t>
  </si>
  <si>
    <t>SKF</t>
  </si>
  <si>
    <t>https://www.skf.com/ca/en/products/rolling-bearings/ball-bearings/deep-groove-ball-bearings/productid-61810-2RS1</t>
  </si>
  <si>
    <t>Sponser</t>
  </si>
  <si>
    <t>61911-2rs1</t>
  </si>
  <si>
    <t>Sprocket Side Diff Bearing</t>
  </si>
  <si>
    <t>https://www.skf.com/ca/en/products/rolling-bearings/ball-bearings/deep-groove-ball-bearings/productid-61911-2RS1</t>
  </si>
  <si>
    <t>61908-2rs1</t>
  </si>
  <si>
    <t>Sprocket shaft Bearing</t>
  </si>
  <si>
    <t>https://www.skf.com/ca/en/products/rolling-bearings/ball-bearings/deep-groove-ball-bearings/productid-61908-2RS1</t>
  </si>
  <si>
    <t>Grand Total</t>
  </si>
  <si>
    <t>ans</t>
  </si>
  <si>
    <t>Description  (Size/Type/Brand Name)</t>
  </si>
  <si>
    <r>
      <rPr>
        <rFont val="arial, sans, sans-serif"/>
        <b/>
      </rPr>
      <t xml:space="preserve">Estimated Duty Charge (Use </t>
    </r>
    <r>
      <rPr>
        <rFont val="arial, sans, sans-serif"/>
        <b/>
        <u/>
      </rPr>
      <t>this calculator</t>
    </r>
    <r>
      <rPr>
        <rFont val="arial, sans, sans-serif"/>
        <b/>
      </rPr>
      <t>) ($ CAD)</t>
    </r>
  </si>
  <si>
    <t>Fasteners</t>
  </si>
  <si>
    <t>accumulator</t>
  </si>
  <si>
    <t>Polypropylene Plastic Socket Head Screw</t>
  </si>
  <si>
    <t>M4 x 0.7 mm Thread, 16 mm Long, Off-White</t>
  </si>
  <si>
    <t>https://www.mcmaster.com/99477A136/</t>
  </si>
  <si>
    <t>Emi</t>
  </si>
  <si>
    <t>CHECK IF RECIEVED</t>
  </si>
  <si>
    <t>enclosures</t>
  </si>
  <si>
    <t>93640A143</t>
  </si>
  <si>
    <t>Nylon Plastic Socket Head Screw
M4 x 0.7 mm Thread, 8 mm Long</t>
  </si>
  <si>
    <t>Enclosure Lid Screws</t>
  </si>
  <si>
    <t>1 pack of 100</t>
  </si>
  <si>
    <t>https://www.mcmaster.com/93640A143-93640A126/</t>
  </si>
  <si>
    <t>we have a 12 mm long, but i want 8 mm</t>
  </si>
  <si>
    <t xml:space="preserve">emi </t>
  </si>
  <si>
    <t>94180A353</t>
  </si>
  <si>
    <t>Brass Tapered Heat-Set Inserts for Plastic
M4 x 0.7 mm Thread Size, 4.7 mm Installed Length</t>
  </si>
  <si>
    <t>Enclosure heat set insert</t>
  </si>
  <si>
    <t>https://www.mcmaster.com/94180A351/</t>
  </si>
  <si>
    <t>we have a tapered version, but its 4.7 mm long</t>
  </si>
  <si>
    <t>segment-prototype</t>
  </si>
  <si>
    <t>Stainless Steel Wire-Lockable Socket Head Screws</t>
  </si>
  <si>
    <t>6-32 Thread Size, 5/16" Long (pack of 5)</t>
  </si>
  <si>
    <t>fasten segments to container</t>
  </si>
  <si>
    <t>https://www.mcmaster.com/catalog/131/3577/90152A143</t>
  </si>
  <si>
    <t>Janaarth</t>
  </si>
  <si>
    <t>Heat-Set Inserts for Plastic</t>
  </si>
  <si>
    <t>Brass, 6-32 Thread Size, 0.226" Installed Length</t>
  </si>
  <si>
    <t>https://www.mcmaster.com/catalog/131/3643/94459A731</t>
  </si>
  <si>
    <t>emi</t>
  </si>
  <si>
    <t>thread deforming nuts</t>
  </si>
  <si>
    <t>18-8 Stainless Steel Top-Lock Distorted-Thread Locknut</t>
  </si>
  <si>
    <t>fasten segment busbars</t>
  </si>
  <si>
    <t>https://www.mcmaster.com/90045A111/</t>
  </si>
  <si>
    <t>Medium-Strength Class 8.8 Steel Hex Head Screw</t>
  </si>
  <si>
    <t>Zinc-Plated, M4 x 0.7 mm Thread Size, 8 mm Long</t>
  </si>
  <si>
    <t>https://www.mcmaster.com/91280A128/</t>
  </si>
  <si>
    <t>Center-Lock Distorted-Thread Locknuts
Medium-Strength, Class 8 Steel, M6 x 1.00 mm Thread Size</t>
  </si>
  <si>
    <t>fasten segment busbars to maintenance plugs</t>
  </si>
  <si>
    <t>https://www.mcmaster.com/92048A120/</t>
  </si>
  <si>
    <t>Black-Oxide Alloy Steel Hex Drive Flat Head Screw</t>
  </si>
  <si>
    <t>90 Degree Countersink, M4 x 0.7 mm Thread Size, 10 mm Long</t>
  </si>
  <si>
    <t>fasten segment brackets together</t>
  </si>
  <si>
    <t>https://www.mcmaster.com/91294A190/</t>
  </si>
  <si>
    <t>AC Container Parts</t>
  </si>
  <si>
    <t>18" x 20" 6061 T6 0.125</t>
  </si>
  <si>
    <t>Container Floor</t>
  </si>
  <si>
    <t>Justin</t>
  </si>
  <si>
    <t>Recieved</t>
  </si>
  <si>
    <t>21" x 20" 5052 H32 0.090</t>
  </si>
  <si>
    <t>Container Lid</t>
  </si>
  <si>
    <t>https://www.metalsupermarkets.com/product/aluminum-sheet-5052/</t>
  </si>
  <si>
    <t>1.000 X 1.000 X 0.065
MILD STEEL STRUCTURAL (WELDED) SQUARE TUBE(10 inches)</t>
  </si>
  <si>
    <t>Container Mounts - Frame Side</t>
  </si>
  <si>
    <t>https://www.metalsupermarkets.com/product/mild-steel-square-tube-structural-welded/</t>
  </si>
  <si>
    <t>JIS High-Strength Steel Flanged Hex Head Screw
M8 x 1.25 mm Thread, 50 mm Long</t>
  </si>
  <si>
    <t>Container Mounts Bolts</t>
  </si>
  <si>
    <t>1 pack of 25</t>
  </si>
  <si>
    <t>https://www.mcmaster.com/95735A451/</t>
  </si>
  <si>
    <t>Maybe</t>
  </si>
  <si>
    <t>JIS High-Strength Steel Flanged Hex Head Screw
M8 x 1.25 mm Thread, 30 mm Long</t>
  </si>
  <si>
    <t>https://www.mcmaster.com/95735A425/</t>
  </si>
  <si>
    <t>40" x 35" 6061 T6 0.09</t>
  </si>
  <si>
    <t>Container walls</t>
  </si>
  <si>
    <t>Accumulator</t>
  </si>
  <si>
    <t>Spot Welder</t>
  </si>
  <si>
    <t>kWeld Spot welder full kit</t>
  </si>
  <si>
    <t>to spot weld nickel busbars</t>
  </si>
  <si>
    <t>https://gridrewired.com/products/kweld-spot-welder-kit</t>
  </si>
  <si>
    <t>Spot Welder power source</t>
  </si>
  <si>
    <t>kWeld battery pack</t>
  </si>
  <si>
    <t>kCap Ultracapacitor Module</t>
  </si>
  <si>
    <t>https://gridrewired.com/products/kcap-ultracapacitor-module?pr_prod_strat=jac&amp;pr_rec_id=09dc970be&amp;pr_rec_pid=6226590728391&amp;pr_ref_pid=6224207904967&amp;pr_seq=uniform</t>
  </si>
  <si>
    <t>Clear Impact-Resistant Polycarbonate</t>
  </si>
  <si>
    <t>24" x 24" x 1/8" Sheet</t>
  </si>
  <si>
    <t>accu shelf</t>
  </si>
  <si>
    <t>https://www.mcmaster.com/8574K53/</t>
  </si>
  <si>
    <t>RL00571-25</t>
  </si>
  <si>
    <t>Maintenance plug</t>
  </si>
  <si>
    <t>Module Connection</t>
  </si>
  <si>
    <t>Mouser</t>
  </si>
  <si>
    <t>https://www.mouser.ca/ProductDetail/Amphenol-Technical-Products/RL00571-25?qs=HwcZ7FPCDholjztjy82bZg%3D%3D</t>
  </si>
  <si>
    <t>arian</t>
  </si>
  <si>
    <t>Positive Maintenance Plug Stud</t>
  </si>
  <si>
    <t>https://www.mouser.ca/ProductDetail/Amphenol-Technical-Products/RL9057-101-F1RE?qs=024T18Co8Yc7s8amuw8k9A%3D%3D</t>
  </si>
  <si>
    <t>Negative Maintenance Plug Stud</t>
  </si>
  <si>
    <t>https://www.mouser.ca/ProductDetail/Amphenol-Technical-Products/RL9057-101-F1-BK?qs=vDxCgdWo2h9eScpNHEOQhg%3D%3D</t>
  </si>
  <si>
    <t>Connector</t>
  </si>
  <si>
    <t>Larger crimps for AC I/O Connector - MALE</t>
  </si>
  <si>
    <t>CONN PIN 16-20AWG GOLD CRIMP</t>
  </si>
  <si>
    <t>Accu main IO</t>
  </si>
  <si>
    <t>1060-16-0644</t>
  </si>
  <si>
    <t>https://www.mouser.ca/ProductDetail/TE-Connectivity-AMP/1060-16-0644-Loose-Piece?qs=k0bvAmZt86BxHy1Jmq%2Fzqg%3D%3D</t>
  </si>
  <si>
    <t>Crimp removal tool for Accu main I/O 16-20awg</t>
  </si>
  <si>
    <t>HD30 EXT TOOL BLU</t>
  </si>
  <si>
    <t>Digikey</t>
  </si>
  <si>
    <t>0411-336-1605</t>
  </si>
  <si>
    <t>https://www.digikey.ca/en/products/detail/te-application-tooling/0411-336-1605/6566673</t>
  </si>
  <si>
    <t>nathan</t>
  </si>
  <si>
    <t>Crimp removal tool for Accu main I/O 14-16awg</t>
  </si>
  <si>
    <t>HD30 EXT TOOL GRN</t>
  </si>
  <si>
    <t>0411-291-1405</t>
  </si>
  <si>
    <t>https://www.digikey.ca/en/products/detail/te-application-tooling/0411-291-1405/6566674</t>
  </si>
  <si>
    <t>Kapton® 100HN – A1 – 0.0504mm | DuPont™</t>
  </si>
  <si>
    <t>1 of the stock sheet sizes - 1000mm x 914mm</t>
  </si>
  <si>
    <t>Electrical insulation of container</t>
  </si>
  <si>
    <t>https://materials-direct.com/product/dupont-kapton-100hn-a1-0-0504mm/</t>
  </si>
  <si>
    <t>motor-and-controller</t>
  </si>
  <si>
    <t>FHLR2GCB2G 25 200-S Shielded 25mm2</t>
  </si>
  <si>
    <t>25mm^2 HV high current wire for inside the accu (5m)</t>
  </si>
  <si>
    <t>https://www.powertraincables.com/product/fhlr2gcb2g-200-s-25mm2/</t>
  </si>
  <si>
    <t>NOMEX® 410 – A1 – 0.18mm | DuPont™</t>
  </si>
  <si>
    <t>2 of the stock sheet sizes - 1000mm x 914mm</t>
  </si>
  <si>
    <t>https://materials-direct.com/product/dupont-nomex-410-a1-0-18mm/</t>
  </si>
  <si>
    <t>Kapton Tape</t>
  </si>
  <si>
    <t>Acrylic Adhesive, 3/4" Wide, 15' Long, 0.0025" Overall Thickness</t>
  </si>
  <si>
    <t>https://www.mcmaster.com/7648A734/</t>
  </si>
  <si>
    <t>Hydrophobic Acoustic Mesh</t>
  </si>
  <si>
    <t>It allows air and sound to pass but stops water, dust, and other contaminants.</t>
  </si>
  <si>
    <t>To pass rain test</t>
  </si>
  <si>
    <t>https://www.materialsampleshop.com/products/hydrophobic-acoustic-mesh</t>
  </si>
  <si>
    <t>4awg ring terminal</t>
  </si>
  <si>
    <t>Terminals Battery Cable Lug, 4 AWG, 1/4" Stud</t>
  </si>
  <si>
    <t>https://www.mouser.ca/ProductDetail/Panduit/A4-14R-C?qs=d0WKAl%252BL4KbzWfMI1w9Wzw%3D%3D</t>
  </si>
  <si>
    <t>Accumulator Segments</t>
  </si>
  <si>
    <t>PC filament for 3d printing</t>
  </si>
  <si>
    <t>Creality PETG filament 1.75mm</t>
  </si>
  <si>
    <t>segment brackets, other brackets</t>
  </si>
  <si>
    <t>https://www.amazon.ca/Creality-PETG-No-Tangling-Performance-Dimensional/dp/B0B2J25NM3/ref=sr_1_11?crid=3ME8SOMOXIG73&amp;dib=eyJ2IjoiMSJ9.vjefA8SLGHU0TdfJqkR3sE5a_b1PKEy4pk-bIfL3iKRArAJ3k7LzJTeVey7ufmCAIE-PzZiPljYI7aLItKF06TxvMbjMFBueyftVi6f2AZYVhc3vgLM3GnkAAZFyyC9-7_KINAzi0WokmOWDhw9gi5s5K_UGtyqSZ4m1PgmfXJ3xPn9gZwk9jmz8rpzybOB-TU9UUkF20tiKKrgRiyzRx9Gb_LdKPAMG_MVjCApB2Z0zDUSTtSp9_F5XnxhLvb3Gg_Z7-5MT2nP4PVCPhgnipbGTSj0lYRx7muxvQP8JJs0.NF6xrckLcyE6zj_2NrHO_6bkkWHmmMoE6_vT9ggTeoE&amp;dib_tag=se&amp;keywords=creality%2Bpetg&amp;qid=1762113230&amp;s=industrial&amp;sprefix=creality%2Bpetg%2Cindustrial%2C114&amp;sr=1-11&amp;th=1</t>
  </si>
  <si>
    <t>Cell tap PCB fuses</t>
  </si>
  <si>
    <t>Fuse (1206 surface mount, 500mA and 63 VDC rated)</t>
  </si>
  <si>
    <t>cell tap pcbs</t>
  </si>
  <si>
    <t>0440.500WR</t>
  </si>
  <si>
    <t>https://www.digikey.ca/en/products/detail/littelfuse-inc/0440-500WR/2520404</t>
  </si>
  <si>
    <t>Owais</t>
  </si>
  <si>
    <t>Cell tap pcb fuses</t>
  </si>
  <si>
    <t xml:space="preserve">
FUSE BRD MT 375MA 125VAC/VDC</t>
  </si>
  <si>
    <t>Dijikey</t>
  </si>
  <si>
    <t>0440.375WR</t>
  </si>
  <si>
    <t>https://www.digikey.ca/en/products/detail/littelfuse-inc/0440-375WR/2520391</t>
  </si>
  <si>
    <t>general PETG filament for segments</t>
  </si>
  <si>
    <t>Polymaker PETG Filament 1.75mm, 1kg</t>
  </si>
  <si>
    <t>https://www.amazon.ca/dp/B09DKP4TLW?ref=cm_sw_r_apan_dp_HSJ81K3BD0SKAZ14MMKJ&amp;ref_=cm_sw_r_apan_dp_HSJ81K3BD0SKAZ14MMKJ&amp;social_share=cm_sw_r_apan_dp_HSJ81K3BD0SKAZ14MMKJ&amp;starsLeft=1&amp;skipTwisterOG=1&amp;th=1</t>
  </si>
  <si>
    <t>Garolite (FR4)</t>
  </si>
  <si>
    <t>Flame-Retardant Garolite G-10/FR4 Sheet
Multipurpose, 48" x 36", 1/8" Thick, Black</t>
  </si>
  <si>
    <t xml:space="preserve">bracket </t>
  </si>
  <si>
    <t>McMaster-carr</t>
  </si>
  <si>
    <t>85345K652</t>
  </si>
  <si>
    <t>https://www.mcmaster.com/85345K652/</t>
  </si>
  <si>
    <t>Flame-Retardant Garolite G-10/FR4 Sheet Multipurpose, 24" x 24", 1/8" Thick, Black</t>
  </si>
  <si>
    <t>85345K632</t>
  </si>
  <si>
    <t>https://www.mcmaster.com/85345K632/</t>
  </si>
  <si>
    <t>Cell tap voltage connetor</t>
  </si>
  <si>
    <t>22 pin connector pcb mount</t>
  </si>
  <si>
    <t>https://www.digikey.ca/en/products/detail/molex/0430452227/3310311?s=N4IgTCBcDaICwGYAMcCsYMHYQF0C%2BQA</t>
  </si>
  <si>
    <t>Cell tap temp connetor</t>
  </si>
  <si>
    <t>12 pin connector pcb mount</t>
  </si>
  <si>
    <t>Cell tap pcbs</t>
  </si>
  <si>
    <t>https://www.digikey.ca/en/products/detail/molex/0430451226/3310224?s=N4IgTCBcDaICwGYAMcCsBGMYBsIC6AvkA</t>
  </si>
  <si>
    <t>12 pin 	
CONN RCPT HSG 12POS 3.00MM</t>
  </si>
  <si>
    <t>https://www.digikey.ca/en/products/detail/molex/0430251208/3310168?s=N4IgTCBcDaICwGYAMYCsBGMSAcIC6AvkA</t>
  </si>
  <si>
    <t xml:space="preserve">
CONN RCPT HSG 22POS 3.00MM</t>
  </si>
  <si>
    <t>https://www.digikey.ca/en/products/detail/molex/0430252208/4693201?s=N4IgTCBcDaICwGYAMYCsYxIBwgLoF8g</t>
  </si>
  <si>
    <t>microfit3.0 removal tool</t>
  </si>
  <si>
    <t>TOOL HAND EXTRACT MICROFIT 3.0</t>
  </si>
  <si>
    <t>https://www.digikey.ca/en/products/detail/molex/0011030043/252489?s=N4IgTCBcDaIAxwIyLgZgQFlSAugXyA</t>
  </si>
  <si>
    <t>services</t>
  </si>
  <si>
    <t>Cell tap PCB manufacturing services</t>
  </si>
  <si>
    <t>Cell tap PCB</t>
  </si>
  <si>
    <t>PCBWAY</t>
  </si>
  <si>
    <t>https://www.pcbway.com/orderonline.aspx</t>
  </si>
  <si>
    <t>Nickel Busbars, lasercut</t>
  </si>
  <si>
    <t>0.15mm, all pieces</t>
  </si>
  <si>
    <t>sensor</t>
  </si>
  <si>
    <t xml:space="preserve">Temp sensors </t>
  </si>
  <si>
    <t xml:space="preserve">JT series 50 mm length film type NTC sensor </t>
  </si>
  <si>
    <t xml:space="preserve">segments temp monitorting </t>
  </si>
  <si>
    <t>4316-103JT-050-ND</t>
  </si>
  <si>
    <t>https://www.digikey.ca/en/products/detail/semitec-usa-corp/103jt-050/16579006?_gl=1*7oqwze*_up*MQ..*_gs*MQ..&amp;gclid=CjwKCAiAwqHIBhAEEiwAx9cTee-pfJgNrbfgKEWeLlwkCv02Xf_RdIpl7QLbkO8qpiO-2okg8RosuhoC2-EQAvD_BwE&amp;gclsrc=aw.ds&amp;gbraid=0AAAAADrbLlgra9cGyKmpyfBAwMAHTt6rL</t>
  </si>
  <si>
    <t>10/segments, extra 1/seg</t>
  </si>
  <si>
    <t>wire</t>
  </si>
  <si>
    <t xml:space="preserve">wire for side brackets to Cu plates </t>
  </si>
  <si>
    <t>32 AWG kapton insulated wire, 30ft</t>
  </si>
  <si>
    <t>acu glass product</t>
  </si>
  <si>
    <t>https://www.accuglassproducts.com/wire-and-cable/kapton-insulated/stranded-wires/32-awg</t>
  </si>
  <si>
    <t>Lubrication for cell tap connectors</t>
  </si>
  <si>
    <t>Electrical Contact Grease, Conductive Grease, Copper Anti-Seize Compound, High Temperature for Electronics, 30g</t>
  </si>
  <si>
    <t xml:space="preserve">Cell tap Connector durability </t>
  </si>
  <si>
    <t>qzjijosen</t>
  </si>
  <si>
    <t>https://www.amazon.ca/Conductive-Temperature-Multipurpose-Electronics-Construction/dp/B0DDKH9HY7</t>
  </si>
  <si>
    <t>Epoxy</t>
  </si>
  <si>
    <t>8329TFF – Fast Cure Thermal Adhesive</t>
  </si>
  <si>
    <t xml:space="preserve">sensor adhesive </t>
  </si>
  <si>
    <t xml:space="preserve">mouser </t>
  </si>
  <si>
    <t>https://mgchemicals.com/products/adhesives/thermally-conductive-adhesives/thermal-glue/</t>
  </si>
  <si>
    <t>SDC board 4pin mating connector</t>
  </si>
  <si>
    <t xml:space="preserve">
CONN RCPT HSG 4POS 4.20MM</t>
  </si>
  <si>
    <t>SDC pcb</t>
  </si>
  <si>
    <t>https://www.digikey.ca/en/products/detail/molex/0039012045/685976</t>
  </si>
  <si>
    <t>Motor/Motor Controller</t>
  </si>
  <si>
    <t>SLPPB35BSO1EH</t>
  </si>
  <si>
    <t>SURLOK PLUS 8.0MM RIGHT ANGLE PL. 270deg keyway, used on all MC connections and one AC connection.</t>
  </si>
  <si>
    <t>https://www.digikey.ca/en/products/detail/amphenol-industrial-operations/SLPPB35BSO1EH/9385626</t>
  </si>
  <si>
    <t>cooling</t>
  </si>
  <si>
    <t>Radiator</t>
  </si>
  <si>
    <t>Alphacool NexXxos ST30 Full Copper X-Flow Radiator, 240mm, Dual Fan, Black</t>
  </si>
  <si>
    <t>Titan Rig</t>
  </si>
  <si>
    <t>03-30-AC-0140-01-ON</t>
  </si>
  <si>
    <t>https://www.titanrig.com/alphacool-nexxxos-st30-full-copper-x-flow-radiator-240mm-dual-fan-black.html</t>
  </si>
  <si>
    <t>Radiator Fan</t>
  </si>
  <si>
    <t>Alphacool Core 120mm PWM Fan, 4000 rpm, 2-pack</t>
  </si>
  <si>
    <t>1 (2 pack)</t>
  </si>
  <si>
    <t>03-10-AC-0121-01-ON</t>
  </si>
  <si>
    <t>https://www.titanrig.com/alphacool-core-120mm-pwm-fan-4000-rpm-2-pack.html</t>
  </si>
  <si>
    <t>Hose conector</t>
  </si>
  <si>
    <t>6Pcs G1/4" Thread to 3/8" Barb Fitting Hose Connector for 9-10mm Inner Diameter Hose 25x9.8x9.2mm (Black)</t>
  </si>
  <si>
    <t>1 (6 pack)</t>
  </si>
  <si>
    <t>‎686-B-HB</t>
  </si>
  <si>
    <t>https://www.amazon.ca/Briny-River-Connector-Diameter-25x9-8x9-2mm/dp/B0F62H2VVJ/ref=sr_1_8?dib=eyJ2IjoiMSJ9.JevZxBe9gvGUrFD2N35_c3_-qP5ruZlSqZk5--7SHG93QgCygTmjOxrSVvogL-2s7pMVtponnk2dNYudJW3EsF4KWhhxN8hePxdEdDEjkMNuatYjRN6khXyAkxJz5PUPm06n2wf1UUKgXZOVhnmu4t5GIS4zgg4WEFP2CwgIpmOx9u56Q13Bqj1dn-DKOPYPo4i7Kgw7XtTTgh12aSkVUI2w7DQ9dA0Rt8moumc9on5bqZsi8w_kdfHJfn81JnsdDiun9utoilOpY48jhVx8kHX72obCKtUHi_-v7mxwehk.UCFwi1JThCx2RQyQyENRjJ-FLSLRF9tI31bfgwMWmuc&amp;dib_tag=se&amp;gad_source=1&amp;hvadid=668188319980&amp;hvdev=c&amp;hvexpln=0&amp;hvlocphy=9000762&amp;hvnetw=g&amp;hvocijid=4173603434009327600--&amp;hvqmt=e&amp;hvrand=4173603434009327600&amp;hvtargid=kwd-359699516559&amp;hydadcr=24948_13702409&amp;keywords=g1%2F4%2Bto%2B3%2F8%2Bbarb&amp;mcid=7cce7905aebd3d659a6d9a135d79dc8e&amp;qid=1766441528&amp;sr=8-8&amp;th=1</t>
  </si>
  <si>
    <t>Shutdown Circuit</t>
  </si>
  <si>
    <t>15kOhm Resistor</t>
  </si>
  <si>
    <t>HSA5015KE</t>
  </si>
  <si>
    <t>for discharge / tsmps</t>
  </si>
  <si>
    <t xml:space="preserve">
A131873-ND</t>
  </si>
  <si>
    <t>https://www.digikey.ca/en/products/detail/te-connectivity-passive-product/HSA5015KE/2366461</t>
  </si>
  <si>
    <t>GLV Integration</t>
  </si>
  <si>
    <t>glv</t>
  </si>
  <si>
    <t>MHDB9SP</t>
  </si>
  <si>
    <t>9 Position D-Sub Plug, Male Pins Connector</t>
  </si>
  <si>
    <t>connecting to motor controller</t>
  </si>
  <si>
    <t>https://www.digikey.ca/en/products/detail/mh-connectors/MHDB9SP/16984080</t>
  </si>
  <si>
    <t>yes</t>
  </si>
  <si>
    <t>A-DF 09 LL/Z</t>
  </si>
  <si>
    <t>9 Position D-Sub Receptacle, Female Sockets Connector</t>
  </si>
  <si>
    <t>connecting to AC</t>
  </si>
  <si>
    <t>https://www.digikey.ca/en/products/detail/assmann-wsw-components/A-DF-09-LL-Z/5051922</t>
  </si>
  <si>
    <t>Male pin for DTM04-1pa</t>
  </si>
  <si>
    <t xml:space="preserve">
CONN PIN 16-20AWG NICKEL CRIMP</t>
  </si>
  <si>
    <t>for all dtm connectors, AC IO too</t>
  </si>
  <si>
    <t>1060-16-0622</t>
  </si>
  <si>
    <t>https://www.digikey.ca/en/products/detail/te-connectivity-deutsch-ict-connectors/1060-16-0622/6566707</t>
  </si>
  <si>
    <t>Female socket for dtm06-12sa</t>
  </si>
  <si>
    <t>CONN SCKT 16-20AWG NICKEL CRIMP</t>
  </si>
  <si>
    <t>1062-16-0622</t>
  </si>
  <si>
    <t>https://www.digikey.ca/en/products/detail/te-connectivity-deutsch-ict-connectors/1062-16-0622/6566725</t>
  </si>
  <si>
    <t>wire harness</t>
  </si>
  <si>
    <t>DTM04-12PA-L012</t>
  </si>
  <si>
    <t>12 pin male terminals, wire to panel</t>
  </si>
  <si>
    <t>connector for wire harness</t>
  </si>
  <si>
    <t>https://www.digikey.ca/en/products/detail/te-connectivity-deutsch-ict-connectors/DTM04-12PB-L012/7220052</t>
  </si>
  <si>
    <t>yes just need more spares</t>
  </si>
  <si>
    <t xml:space="preserve">DTM06-12SA </t>
  </si>
  <si>
    <t>12 pin female terminals, wire to wire</t>
  </si>
  <si>
    <t>DTM06-12SA</t>
  </si>
  <si>
    <t>https://www.digikey.ca/en/products/detail/te-connectivity-deutsch-ict-connectors/DTM06-12SA/6566630</t>
  </si>
  <si>
    <t>DTM06-12SB</t>
  </si>
  <si>
    <t>https://www.digikey.ca/en/products/detail/te-connectivity-deutsch-ict-connectors/DTM06-12SB/6566631</t>
  </si>
  <si>
    <t>DTM06-3S</t>
  </si>
  <si>
    <t>dtm 3 pin female</t>
  </si>
  <si>
    <t>dtm06-3s</t>
  </si>
  <si>
    <t>https://www.digikey.ca/en/products/detail/te-connectivity-deutsch-ict-connectors/DTM06-3S/6566634</t>
  </si>
  <si>
    <t>DTM04-3P</t>
  </si>
  <si>
    <t>dtm 3 pin male</t>
  </si>
  <si>
    <t>dtm04-3p</t>
  </si>
  <si>
    <t>https://www.digikey.ca/en/products/detail/te-connectivity-deutsch-ict-connectors/DTM04-3P/6566644</t>
  </si>
  <si>
    <t>AMber LEDs for RTML</t>
  </si>
  <si>
    <t>LED Clearance or Side Marker Light - 3-3/4" Rectangle - 12 LEDs - Amber</t>
  </si>
  <si>
    <t>SuperBrightLeds</t>
  </si>
  <si>
    <t>https://www.superbrightleds.com/vehicle-lights/signal-lighting/marker-clearance/led-clearance-or-side-marker-light-3-3-4-rectangle-12-leds+color-amber</t>
  </si>
  <si>
    <t xml:space="preserve"> 555-timer for lightboard </t>
  </si>
  <si>
    <t>SOIC-8 pin NA555DR , digikey</t>
  </si>
  <si>
    <t>creates the blinking for the RTML light</t>
  </si>
  <si>
    <t xml:space="preserve">
Digi key</t>
  </si>
  <si>
    <t xml:space="preserve">296-21752-1-ND </t>
  </si>
  <si>
    <t>https://www.digikey.ca/en/products/detail/texas-instruments/NA555DR/1571933</t>
  </si>
  <si>
    <t>Camila, Emi</t>
  </si>
  <si>
    <t>we only need 1 for thr actual desing, but the second one is a backup</t>
  </si>
  <si>
    <t>mosfet for RTML and TSSI circuits</t>
  </si>
  <si>
    <t>SOT-23 AO3400A mosfet</t>
  </si>
  <si>
    <t>used to power both TSSI and RTML lights</t>
  </si>
  <si>
    <t>Digi key</t>
  </si>
  <si>
    <t>785-1000-1-ND</t>
  </si>
  <si>
    <t>https://www.digikey.ca/en/products/detail/alpha-omega-semiconductor-inc/AO3400A/1855772</t>
  </si>
  <si>
    <t>12 pin header</t>
  </si>
  <si>
    <t>12 pin SMD header, mouser, 3.0mm pitch</t>
  </si>
  <si>
    <t>used to connect lights on dashboard to lightboard</t>
  </si>
  <si>
    <t>WM23804-ND</t>
  </si>
  <si>
    <t>https://www.digikey.ca/en/products/detail/molex/0039288100/930300?s=N4IgTCBcDaIMwE4C0YAcTUEYAM2QF0BfIA</t>
  </si>
  <si>
    <t>dc-dc converter for LV battery</t>
  </si>
  <si>
    <t>XINGYHENG 2Pcs 20A 300W High-Power Buck Converter Module DC 6-40V to DC 1.2-36V Adjustable Constant Voltage Constant Current</t>
  </si>
  <si>
    <t>control LV power</t>
  </si>
  <si>
    <t>amazon</t>
  </si>
  <si>
    <t>https://www.amazon.ca/XINGYHENG-High-Power-Converter-Adjustable-Protection/dp/B0978Y8FTM/ref=pd_ci_mcx_mh_mcx_views_0_title?pd_rd_w=q1jqe&amp;content-id=amzn1.sym.2419cdd9-4822-439a-9284-599ac1726c07%3Aamzn1.symc.c3d5766d-b606-46b8-ab07-1d9d1da0638a&amp;pf_rd_p=2419cdd9-4822-439a-9284-599ac1726c07&amp;pf_rd_r=J0Q5THQTY5K7RE3VRG84&amp;pd_rd_wg=K8UPc&amp;pd_rd_r=f38de8cc-d1a3-4aa5-af54-d0f38aaf264c&amp;pd_rd_i=B0978Y8FTM</t>
  </si>
  <si>
    <t>10 Pack LM2596 DC-DC Buck Converter Step Down Module Power Supply DIP Output 1.25V-30V 3A</t>
  </si>
  <si>
    <t>https://www.amazon.ca/BULVACK-LM2596-Converter-Module-1-25V-30V/dp/B07VVXF7YX/ref=sr_1_8?crid=3TRZK72SYTVMQ&amp;dib=eyJ2IjoiMSJ9.eZNYeiFBzdJ20gbJGxTZORNp19GV7oumDSWTWXpDDYKPO2t_VHDEluGMy1TzwjZrwngfbunI4tl6LOARKLE2_aOJRE1S8K4TLL-GOELX1qN9u5-Lji8pKqMzUf1kDKQ5mafcuR6_ZyCva5yFwj9LO0HyI4dESpcMnWQr3ImU7-d4u0f4DJS9wyH6HrgCzbgE7_xUniG0xzRZC_zRX0VO_N1v9sGmrAAyDwm4GXAZ34_tbBMBHqKHBZOmrIvev-CvH3Odn-TElRCJWHnXzxU7LseJYXB_yDfYkv8rQYORk0Q.tZztPn04-G3gKqDGMm3eMQoEtI99VumC6KMqJKe8040&amp;dib_tag=se&amp;keywords=buck%2Bconverter%2B12v%2Bto%2B5v&amp;qid=1768344153&amp;sprefix=buck%2Bconverter%2B12v%2Bto%2Caps%2C135&amp;sr=8-8&amp;th=1</t>
  </si>
  <si>
    <t>DTM6P-BT</t>
  </si>
  <si>
    <t>boot for DTM04-6P</t>
  </si>
  <si>
    <t>extra protection and strain relief</t>
  </si>
  <si>
    <t>Digikey or mouser</t>
  </si>
  <si>
    <t>DTM6S-BT</t>
  </si>
  <si>
    <t>boot for DTM06-6S</t>
  </si>
  <si>
    <t>DT12P-BT-BK</t>
  </si>
  <si>
    <t>boot for DTM04-12PA-L012</t>
  </si>
  <si>
    <t>DT12S-BT-BK</t>
  </si>
  <si>
    <t xml:space="preserve">boot for DTM06-12SA </t>
  </si>
  <si>
    <r>
      <rPr>
        <rFont val="Arial,sans-serif"/>
        <color rgb="FF1155CC"/>
        <sz val="11.0"/>
        <u/>
      </rPr>
      <t>Sumitomo W5DL</t>
    </r>
  </si>
  <si>
    <t>Semi-Rigid Shrink Tube for Transitions and Stain Relief: 2.5:1</t>
  </si>
  <si>
    <t>upgrade from what we have (FP 301 by 3M)</t>
  </si>
  <si>
    <t>yes but this will be an upgrade</t>
  </si>
  <si>
    <t>i still need to determine what diameter to buy</t>
  </si>
  <si>
    <t>1/8" INDENT KIT 10 COLORS</t>
  </si>
  <si>
    <t>by prowireusa, to differentiate wire by color</t>
  </si>
  <si>
    <t>i wouldnt get it right now because its not that necesssary and its expensive cus USD and shipping</t>
  </si>
  <si>
    <t>prowireusa</t>
  </si>
  <si>
    <t>https://www.prowireusa.com/PRO-IDENT-KIT</t>
  </si>
  <si>
    <r>
      <rPr>
        <rFont val="Arial,sans-serif"/>
        <color rgb="FF1155CC"/>
        <sz val="11.0"/>
        <u/>
      </rPr>
      <t>Sumitomo W3B2</t>
    </r>
  </si>
  <si>
    <t>more flexible version to W5DL</t>
  </si>
  <si>
    <t>HFT5000</t>
  </si>
  <si>
    <t>heat shrink fabric tubing, protect against heavy abrasion</t>
  </si>
  <si>
    <t>upgrade from what we have</t>
  </si>
  <si>
    <t>Molex Versakrimp</t>
  </si>
  <si>
    <t>Terminal Inline, Individual Openings (Parallel) Connector Crimp</t>
  </si>
  <si>
    <t>replaces solder joint, provides better mechanical strength and strain relief</t>
  </si>
  <si>
    <t>zip ties</t>
  </si>
  <si>
    <t>Zip Ties Assorted Sizes 1000 Pack 14+12+10+8+6+4 Inch Cable Ties Heavy Duty Plastic Wire Ties UV Resistant Zipties White Small Zip Tie Wraps Assortment Cord Management for Home, Office, Gardening</t>
  </si>
  <si>
    <t>https://www.amazon.ca/Assorted-Resistant-Assortment-Management-Gardening/dp/B0C4B9B5S4/ref=sr_1_1_sspa?crid=3S9DI0DJOPDWD&amp;dib=eyJ2IjoiMSJ9.KHXCzj8Vd7Erky6nvlpM_2ojto3ZwotoMDhRzL7HiNd85q0ZLcGVCYk2M7wWyN1f-pHpRkzhbVyShynY6IVGERYNgAJyJkB3_FvWRKywUeoYKRryznxKUE7zclrMvlDBg9buIelhXta8lJEzn_A6n9tL98141S44foqscSmBJPhMtzgYwJuo15jGuQ2mPOQRYPqF8wPWX4PgnPj1lP3f1X7b0Etiksw7PwAqpQA6tJXRN2gxHtQPfROubz_OtI76kR--i7FzF6rnenhUs6uC1e1gwIeJLPNo1Qxo02UorT4.uSYxEU-hQm0ZiU4cAvKzQZ8vxpN4qqEKeXFPSBfcEQE&amp;dib_tag=se&amp;keywords=zip%2Bties%2Bassorted%2Bsizes%2B1000%2Bpack&amp;qid=1769471341&amp;sprefix=zip%2Bties%2Bassorted%2Bsizes%2B1000%2Bpack%2Caps%2C95&amp;sr=8-1-spons&amp;sp_csd=d2lkZ2V0TmFtZT1zcF9hdGY&amp;th=1</t>
  </si>
  <si>
    <t>white electrical tape</t>
  </si>
  <si>
    <t>Electrical Tape, 6 Pcs White Insulation Tape, 15m Waterproof Tape for Home Vehicle Auto, Car Power Circuit Wiring</t>
  </si>
  <si>
    <t>1x6</t>
  </si>
  <si>
    <t>https://www.amazon.ca/Electrical-Waterproof-Adhesive-Retardant-0-6Inch/dp/B0BPBTN6LX/ref=sr_1_2_sspa?crid=3C2GS7UX6XQ6Y&amp;dib=eyJ2IjoiMSJ9.19mqmfnLUedaQ6p_pOCyY8mGpMBXveAvct0rqszrSgfoac9spXsNt_8hdBhWpenlFlNvuNitnnjIZf_oEkmJyDGjwr9XZxsdC3o9BUq-nkV7N8c1sewOXAyJu-9aQLpf0YwfHOpWNoIaE-cN7TrMXaGwB1DQlUhc87N-UI4zKQdCWCKHS06NjhkBv-7lXt5-uTn60tNT6fTzuo8nlxsOoZ9_Atg3rBlOILhBF9H8JZNsjG6BxOr8hxzxwONtXqGUNNBPkFvy_00XYtjvPGV69aPHSvXjtftsa6i443Irwbc.7d0ID7Vg55WrlaNPa-OgamakNz9YMnASVJep6pj3OUg&amp;dib_tag=se&amp;keywords=electrical%2Btape%2C%2B6pcs%2Bblack%2Bwaterproof&amp;qid=1769471150&amp;sprefix=electrical%2Btape%2C%2B6pcs%2Bblack%2Bwaterproof%2Caps%2C100&amp;sr=8-2-spons&amp;sp_csd=d2lkZ2V0TmFtZT1zcF9hdGY&amp;th=1</t>
  </si>
  <si>
    <t>black electrical tape</t>
  </si>
  <si>
    <t>Electrical Tape, 6 Pcs Black Waterproof Tape, Adhesive Gaffer Tape for Flame Retardant, 0.6Inch * 49.2FT</t>
  </si>
  <si>
    <t>https://www.amazon.ca/Electrical-Waterproof-Adhesive-Retardant-0-6Inch/dp/B0B7DX2Z7J/ref=sr_1_2_sspa?crid=3C2GS7UX6XQ6Y&amp;dib=eyJ2IjoiMSJ9.19mqmfnLUedaQ6p_pOCyY8mGpMBXveAvct0rqszrSgfoac9spXsNt_8hdBhWpenlFlNvuNitnnjIZf_oEkmJyDGjwr9XZxsdC3o9BUq-nkV7N8c1sewOXAyJu-9aQLpf0YwfHOpWNoIaE-cN7TrMXaGwB1DQlUhc87N-UI4zKQdCWCKHS06NjhkBv-7lXt5-uTn60tNT6fTzuo8nlxsOoZ9_Atg3rBlOILhBF9H8JZNsjG6BxOr8hxzxwONtXqGUNNBPkFvy_00XYtjvPGV69aPHSvXjtftsa6i443Irwbc.7d0ID7Vg55WrlaNPa-OgamakNz9YMnASVJep6pj3OUg&amp;dib_tag=se&amp;keywords=electrical%2Btape%2C%2B6pcs%2Bblack%2Bwaterproof&amp;qid=1769471150&amp;sprefix=electrical%2Btape%2C%2B6pcs%2Bblack%2Bwaterproof%2Caps%2C100&amp;sr=8-2-spons&amp;sp_csd=d2lkZ2V0TmFtZT1zcF9hdGY&amp;th=1</t>
  </si>
  <si>
    <t>zip tie mounts</t>
  </si>
  <si>
    <t>Zip Tie Mounts - Small Cable Tie Adhesive Mount, 1n black 100PCS</t>
  </si>
  <si>
    <t>1x100</t>
  </si>
  <si>
    <t>https://www.amazon.ca/Zip-Tie-Mounts-Adhesive-backed-anchors-Management/dp/B08Y6Q1H2Y/ref=sr_1_6?crid=1GDKDG80V6DVA&amp;dib=eyJ2IjoiMSJ9.mE6O-POIy6OsGGhLfGnJS6SlMqgWXXrpxFqK2Fge9Pm8Dbp_MiMR_OenwAwoqlNOP4sT842DRdmVtsF1avBNKXpUfK_AwQ6twbyIxwsYFj5RKz_QAqoYmEePuWQpafSbaSXdzcSb6eIKNP_EZda4cG0-14mbUqpaYJ-RoACmj_e4v3_pv9Hm0b659wFRkXTZvvKDgaSagpH1eQvCGW2IEGhZCaMxp4Za45FHl1riEf9Q92Nz-xPItNPG2Dy0TkbZd2h0ca8uVSb2ccBj2BcMvLxWa2XNim4NzGFN6qAqOpU.Tvp7LIno8IAmv5r8VJLwVq7BTaBY9gnffzGNaHRhNvc&amp;dib_tag=se&amp;keywords=zip%2Btie%2Bmounts%2B-%2Bsmall%2Bcable%2Btie%2Badhesive%2Bmounts&amp;qid=1769471006&amp;sprefix=zip%2Btie%2Bmounts%2B-%2Bsmall%2Bcable%2Btie%2Badhesive%2Bmount%2Caps%2C119&amp;sr=8-6&amp;th=1</t>
  </si>
  <si>
    <t>velcro cable ties</t>
  </si>
  <si>
    <t>80PCS Reusable Cable Ties, Black Adjustable 6-Inch Cord Organizer Ties</t>
  </si>
  <si>
    <t>1x80</t>
  </si>
  <si>
    <t>https://www.amazon.ca/Adjustable-Organizer-Multi-purpose-Management-Organizing/dp/B08V8NK5TN/ref=sr_1_5?crid=2IG69TG25GNTX&amp;dib=eyJ2IjoiMSJ9.QCb5rfdrbq8zWbFEZnzTKs3GdjL19acT2KVhI2LXs2H3dPa_hqw2vcWXCr0BA3OCJdGWdc2eRxPMM9F8n7bLn8A3s1KPWRSuSQ1_WMkCocObw6vC8PtUoNwK4pUk5dq77qiSVZJIdodMbrlR5w9f0Yq9AQ9fHL0E9IXO4jFRrXxUbbx9XFwwsN65a1T5eTRYZKO57WN0emJ4GL7i7NpuX2Ocq2qG-7BPdEjtSZzUZ6Qob0E3tUrWZ7PKd7EIsv4YgEaxzNbovGONp493DLI0nKTBKz1h9VqGb4M6CQ8z-hw.MUMIbALzLRX5ZBEImGVT6G3LykFpjGnXuDHh9HQJkZ0&amp;dib_tag=se&amp;keywords=oneleaf%2B80pcs%2Breusable%2Bcable%2Bties&amp;qid=1769470680&amp;sprefix=one%2Bleaf%2B80%2Bpcs%2Breusabl%2Caps%2C85&amp;sr=8-5&amp;th=1</t>
  </si>
  <si>
    <t>6 pos molex connector for bspd</t>
  </si>
  <si>
    <t>2 pos molex connector for pcbs</t>
  </si>
  <si>
    <t>Contacts</t>
  </si>
  <si>
    <t>1060-16-0677</t>
  </si>
  <si>
    <t>tin for tm26 firewall male</t>
  </si>
  <si>
    <t>1062-16-0677</t>
  </si>
  <si>
    <t>tin for tm26 firewall female</t>
  </si>
  <si>
    <t>770520-3</t>
  </si>
  <si>
    <t>gold for mc_io female</t>
  </si>
  <si>
    <t>tin for bspd female connector</t>
  </si>
  <si>
    <t>tin for molex female connectors</t>
  </si>
  <si>
    <t>1062-20-0177</t>
  </si>
  <si>
    <t>tin for dtm female</t>
  </si>
  <si>
    <t>dash</t>
  </si>
  <si>
    <t>PEC11L-4020K-S0020</t>
  </si>
  <si>
    <t>ROTARY ENCODER</t>
  </si>
  <si>
    <t>Sensor Integration</t>
  </si>
  <si>
    <t>VCU PCB</t>
  </si>
  <si>
    <t>PCB</t>
  </si>
  <si>
    <t>JLCPCB</t>
  </si>
  <si>
    <t>CAN Transiver</t>
  </si>
  <si>
    <t>MCP2551</t>
  </si>
  <si>
    <t>Sayal Electronics</t>
  </si>
  <si>
    <t>https://canada.newark.com/microchip/mcp2551-e-sn/can-transceiver-1mbps-1-1-5-5v/dp/92C4186</t>
  </si>
  <si>
    <t>Driver Pace guide light</t>
  </si>
  <si>
    <t>NeoPixel Compatible WS2812 5050 RGB LED (8 LED Stick)</t>
  </si>
  <si>
    <t>Dash</t>
  </si>
  <si>
    <t>https://www.canadarobotix.com/products/2740</t>
  </si>
  <si>
    <t>Connector Header Through Hole, Right Angle 20 position 0.165" (4.20mm)</t>
  </si>
  <si>
    <t>DIGIKEY</t>
  </si>
  <si>
    <t>WM1360-ND</t>
  </si>
  <si>
    <t>https://www.digikey.ca/en/products/detail/molex/0039301200/561086?s=N4IgTCBcDaIAxwMwE5FwIxgSAugXyA</t>
  </si>
  <si>
    <t>20 Rectangular Connectors - Housings Receptacle Natural 0.165" (4.20mm)</t>
  </si>
  <si>
    <t>WM3709-ND</t>
  </si>
  <si>
    <t>https://www.digikey.ca/en/products/detail/molex/0039012200/278162</t>
  </si>
  <si>
    <t>CONN HDR 38POS 0.1 GOLD PCB</t>
  </si>
  <si>
    <t>S7122-ND</t>
  </si>
  <si>
    <t>Resistor</t>
  </si>
  <si>
    <t>RES 330 OHM 5% 1/4W 1206</t>
  </si>
  <si>
    <t>311-330ERCT-ND</t>
  </si>
  <si>
    <t>Zener Diode</t>
  </si>
  <si>
    <t>DIODE ZENER 3.3V 500MW SOD123</t>
  </si>
  <si>
    <t>BZT52C3V3-7-F</t>
  </si>
  <si>
    <t>https://www.digikey.ca/en/products/detail/diodes-incorporated/BZT52C3V3-7-F/717734</t>
  </si>
  <si>
    <t>CONN HDR 24POS 0.1 GOLD PCB</t>
  </si>
  <si>
    <t>PPPC241LFBN-RC</t>
  </si>
  <si>
    <t>https://www.digikey.ca/en/products/detail/sullins-connector-solutions/PPPC241LFBN-RC/810196</t>
  </si>
  <si>
    <t>Material (if other)</t>
  </si>
  <si>
    <t>Thickness (in)</t>
  </si>
  <si>
    <t>Dimensions (l x w, in)</t>
  </si>
  <si>
    <t>Qty</t>
  </si>
  <si>
    <t>Part Name/Description</t>
  </si>
  <si>
    <t>Sub-System</t>
  </si>
  <si>
    <t xml:space="preserve">Lead </t>
  </si>
  <si>
    <t>Notes</t>
  </si>
  <si>
    <t>8x16</t>
  </si>
  <si>
    <t>Harness tab</t>
  </si>
  <si>
    <t>Mild Steel/Other</t>
  </si>
  <si>
    <t>8 x 8</t>
  </si>
  <si>
    <t>Steering Rack Tab</t>
  </si>
  <si>
    <t>22.22x16</t>
  </si>
  <si>
    <t>22.22x17.6</t>
  </si>
  <si>
    <t>39.8x20.9</t>
  </si>
  <si>
    <t>Front floor</t>
  </si>
  <si>
    <t>21.2x22.5</t>
  </si>
  <si>
    <t>Rear floor</t>
  </si>
  <si>
    <t>7x8</t>
  </si>
  <si>
    <t>top Firewall Tabs</t>
  </si>
  <si>
    <t>look to use scrap metal in shop before ordering</t>
  </si>
  <si>
    <t>3.36x3.36</t>
  </si>
  <si>
    <t>Lower Firewall tab</t>
  </si>
  <si>
    <t>1/4"</t>
  </si>
  <si>
    <t>4.5 x 14</t>
  </si>
  <si>
    <t xml:space="preserve">Aero Structural </t>
  </si>
  <si>
    <t xml:space="preserve">Anisha </t>
  </si>
  <si>
    <t>8 x 21</t>
  </si>
  <si>
    <t xml:space="preserve">RW Mounts </t>
  </si>
  <si>
    <t>3.5 x 13</t>
  </si>
  <si>
    <t xml:space="preserve">FW Internal Rib </t>
  </si>
  <si>
    <t>3.8 x 16.5</t>
  </si>
  <si>
    <t xml:space="preserve">RW Internal Rib </t>
  </si>
  <si>
    <t>1/8"</t>
  </si>
  <si>
    <t>27.5 x 19</t>
  </si>
  <si>
    <t>FW Internal End Ribs (1st, 2nd, 3rd, 4th Element)</t>
  </si>
  <si>
    <t xml:space="preserve">I added all end rib sizes (left and right for all elements) together to make it easier. Therefore qty is 1. </t>
  </si>
  <si>
    <t>8 x 14.5</t>
  </si>
  <si>
    <t>RW Internal End Ribs (1st, 2nd, 3rd, 4th Element)</t>
  </si>
  <si>
    <t>18" x 20"</t>
  </si>
  <si>
    <t>Accumulator Container</t>
  </si>
  <si>
    <t>Justin, Janaarth</t>
  </si>
  <si>
    <t>5052-H32</t>
  </si>
  <si>
    <t>21" x 20"</t>
  </si>
  <si>
    <t>Thickness (mm)</t>
  </si>
  <si>
    <t xml:space="preserve">Subsystems that can use metal </t>
  </si>
  <si>
    <t>Column 1</t>
  </si>
  <si>
    <t>18 x 12 and 15 x 10</t>
  </si>
  <si>
    <t>can do two sheets from existing metal</t>
  </si>
  <si>
    <t>CUT</t>
  </si>
  <si>
    <t>24 x 7 and 6.5 x17.5</t>
  </si>
  <si>
    <t>two sheets can be cut from exisiting sheet</t>
  </si>
  <si>
    <t>13 x 23.5</t>
  </si>
  <si>
    <t>Already Cut</t>
  </si>
  <si>
    <t>39 x 21</t>
  </si>
  <si>
    <t xml:space="preserve">need to cut out small part of existing cuts </t>
  </si>
  <si>
    <t>Steering (Only require 8" x 8")</t>
  </si>
  <si>
    <t>not labeled</t>
  </si>
  <si>
    <t>36 x 48 - 2 pieces</t>
  </si>
  <si>
    <t>LV tabs</t>
  </si>
  <si>
    <t>4" x 9" - 2 pieces</t>
  </si>
  <si>
    <t>not labeled maybe 6061</t>
  </si>
  <si>
    <t xml:space="preserve">36 x 85 </t>
  </si>
  <si>
    <t xml:space="preserve">Suspension </t>
  </si>
  <si>
    <t>not labeled (should test)</t>
  </si>
  <si>
    <t>20 x 10</t>
  </si>
  <si>
    <t xml:space="preserve">12 x 12 </t>
  </si>
  <si>
    <t xml:space="preserve">needs rust cleaned </t>
  </si>
  <si>
    <t>11 x 11.5 and 11 x 10</t>
  </si>
  <si>
    <t xml:space="preserve">two sheets can be cutout </t>
  </si>
  <si>
    <t xml:space="preserve">10.5 x 8 </t>
  </si>
  <si>
    <t xml:space="preserve">need to cut out sheet for manufacturing </t>
  </si>
  <si>
    <t>Suspension, Pedal Box</t>
  </si>
  <si>
    <t>36 x 29</t>
  </si>
  <si>
    <t>need to cut out existing cut material</t>
  </si>
  <si>
    <t>15 x 21.5</t>
  </si>
  <si>
    <t>Aero Structural (RW Tabs)</t>
  </si>
  <si>
    <t xml:space="preserve">20 x 14 </t>
  </si>
  <si>
    <t>cut out existing cutout area</t>
  </si>
  <si>
    <t>Drivetrain, Brakes</t>
  </si>
  <si>
    <t>10 x 8.5</t>
  </si>
  <si>
    <t>must cut out excess</t>
  </si>
  <si>
    <t>6 x 12</t>
  </si>
  <si>
    <t>18 x 14.5</t>
  </si>
  <si>
    <t>15 x 7  and 3.5 x 12.5</t>
  </si>
  <si>
    <t>cut out 2 usable sheets</t>
  </si>
  <si>
    <t>Accumulator Mounts</t>
  </si>
  <si>
    <t>10 x 15.5 and 6 x 9</t>
  </si>
  <si>
    <t xml:space="preserve">maybe 6061 not labelled </t>
  </si>
  <si>
    <t xml:space="preserve">20 x 12 </t>
  </si>
  <si>
    <t>Part Information</t>
  </si>
  <si>
    <r>
      <rPr>
        <rFont val="arial, sans, sans-serif"/>
        <b/>
      </rPr>
      <t xml:space="preserve">Estimated Duty Charge (Use </t>
    </r>
    <r>
      <rPr>
        <rFont val="arial, sans, sans-serif"/>
        <b/>
        <u/>
      </rPr>
      <t>this calculator</t>
    </r>
    <r>
      <rPr>
        <rFont val="arial, sans, sans-serif"/>
        <b/>
      </rPr>
      <t>) ($ CAD)</t>
    </r>
  </si>
  <si>
    <t>Santino, Victor, Maooz</t>
  </si>
  <si>
    <t>Vinyl Wrapping</t>
  </si>
  <si>
    <t>Custom Custom Printed Wrap
Graphics</t>
  </si>
  <si>
    <r>
      <rPr>
        <rFont val="arial, sans, sans-serif"/>
        <color theme="1"/>
      </rPr>
      <t xml:space="preserve">For Livery, </t>
    </r>
    <r>
      <rPr>
        <rFont val="arial, sans, sans-serif"/>
        <b/>
        <color theme="1"/>
      </rPr>
      <t>if</t>
    </r>
    <r>
      <rPr>
        <rFont val="arial, sans, sans-serif"/>
        <color theme="1"/>
      </rPr>
      <t xml:space="preserve"> PCL is unable to sponsor us</t>
    </r>
  </si>
  <si>
    <t xml:space="preserve">Maybe-Critical, depending on PCL </t>
  </si>
  <si>
    <t>TBox Studio</t>
  </si>
  <si>
    <t>https://tboxstudio.com/</t>
  </si>
  <si>
    <t>PCL Graphics</t>
  </si>
  <si>
    <t>Sponsored us in the past, to be renewed</t>
  </si>
  <si>
    <t>Adding this in case PCL Declines renewal offer. Morgan used this company for TM-24, and they gave us a $250 discount</t>
  </si>
  <si>
    <t>Social Media/Marketing</t>
  </si>
  <si>
    <t>IT</t>
  </si>
  <si>
    <t>Social Media / Marketing</t>
  </si>
  <si>
    <t>Squarespace Domain Subscription</t>
  </si>
  <si>
    <t>Annual renewal occuring Oct 26</t>
  </si>
  <si>
    <t>Mandatory to keep website live</t>
  </si>
  <si>
    <t>Square Space</t>
  </si>
  <si>
    <t>https://torontometformularacing.squarespace.com/config/settings/domains-email/domains</t>
  </si>
  <si>
    <t xml:space="preserve">Squarespace has been our website provider for a decade. They provide a web design that is very user friendly, allowing members with little to no experience effectively update it. </t>
  </si>
  <si>
    <t>This year's subscription was billed to Rhythm</t>
  </si>
  <si>
    <t>Marketing Assets</t>
  </si>
  <si>
    <t>Matte Business Cards (standard)</t>
  </si>
  <si>
    <t>500 Units, Standard, Matte, Custom Design</t>
  </si>
  <si>
    <t>To provide contact info to potential sponsors, students, etc. at exhibiting events</t>
  </si>
  <si>
    <t>Vistaprint</t>
  </si>
  <si>
    <t>https://www.vistaprint.ca/business-cards/standard</t>
  </si>
  <si>
    <t xml:space="preserve">at 0.06 per unit, this price is already minimal for the value we are getting. Shipping is also free. </t>
  </si>
  <si>
    <t>To be placed with Apparel to get free shipping</t>
  </si>
  <si>
    <t>Graphics / Apparel</t>
  </si>
  <si>
    <t>Apparel</t>
  </si>
  <si>
    <t>Team Apparel</t>
  </si>
  <si>
    <t>Custom Embroidered/Printed Jackets, T shirts, polos, Mechanic shirts, hats, and hoodies</t>
  </si>
  <si>
    <t>So team members can represent TMFR at Competition, Unveiling, and other events.</t>
  </si>
  <si>
    <t xml:space="preserve">30 units per item </t>
  </si>
  <si>
    <t>30 units per item</t>
  </si>
  <si>
    <t>Entripy</t>
  </si>
  <si>
    <t>https://www.entripy.com/catalogsearch/result/?q=mechanic%20shirt</t>
  </si>
  <si>
    <t xml:space="preserve">None yet, Will reach out to Entripy and Wordans for sponsorship &amp; discount </t>
  </si>
  <si>
    <t>Rochelle placed all the orders last year, and personally provided me with this ask amount. With the amount of variables involved in ordering apparel (colours, logo placements, embroidery vs printing can change the price/unit drastically) it would be impossible to estimate prices per unit for each piece of apparel. Therefore, $5000 is a safe, yet reasonable estimate. For further reasoning, please contact me.</t>
  </si>
  <si>
    <t>Events</t>
  </si>
  <si>
    <t>Foam boards for Unveiling Decoration</t>
  </si>
  <si>
    <t>24x36in. Not sold per unit, sold as a 3 pack.</t>
  </si>
  <si>
    <t>To show the scope of each subsystem at unveiling</t>
  </si>
  <si>
    <t>Non-Critical</t>
  </si>
  <si>
    <t>Staples</t>
  </si>
  <si>
    <t>https://www.staples.com/services/printing/foam-boards/</t>
  </si>
  <si>
    <r>
      <rPr>
        <rFont val="Arial"/>
        <color theme="1"/>
      </rPr>
      <t xml:space="preserve">We </t>
    </r>
    <r>
      <rPr>
        <rFont val="Arial"/>
        <b/>
        <color theme="1"/>
      </rPr>
      <t>Could</t>
    </r>
    <r>
      <rPr>
        <rFont val="Arial"/>
        <color theme="1"/>
      </rPr>
      <t xml:space="preserve"> use the ones from last year worst case scenario</t>
    </r>
  </si>
  <si>
    <t>1/3 subs - assorted</t>
  </si>
  <si>
    <t>Sandwhiches for unveiling</t>
  </si>
  <si>
    <t>To feed sponsors, members, school faculty, and other attendees at unveiling</t>
  </si>
  <si>
    <t>Good Behaviour Ice Cream</t>
  </si>
  <si>
    <t>https://goodbehaviourto.ca/catering</t>
  </si>
  <si>
    <t>Good Behaviour has provided us with a 20% discount and free shipping in the past</t>
  </si>
  <si>
    <t>Forks (100 pc.)</t>
  </si>
  <si>
    <t>Plastic, 6.7in</t>
  </si>
  <si>
    <t>Forks for unveiling</t>
  </si>
  <si>
    <t>https://www.amazon.ca/Plastic-Reusable-Cutlery-Birthday-Barbecue/dp/B0CQY44ZG2/ref=sr_1_5?dib=eyJ2IjoiMSJ9.bVRmSQ1hUZb9Jjwm8Xd6zG8V_IPNoPEwTuZ3oXxiiZf_yoYPZGdA81QeC5iiLX8IFzUO8Vh4W0FTdfQTW_OfpyRCoj96o-KbZFWnZIjIz9NP0nG4937Uxjs9W8Doks4-gj7iTaCwwBn-JX2VTZouHgASzbfB2PFvAG7Uuk3w4nY2EHlS-seku5jfTPk0VzMWDFxEb7cAsZTkE8DFNsjKkDXeLq4XE_-ZmcElkfDpK_Bm9fbNzmGIJLFNjV2YP_R1WKv3BtaSeRN0OQ34iF9V1y5OKFlJjM7h_Q_EBQiozgU.fJh4dTLhAG4p7v76VfbkpKzF3roZq4ldjRHRbOzdH5Q&amp;dib_tag=se&amp;keywords=forks%2B100%2Bpack&amp;qid=1752719637&amp;s=hpc&amp;sr=1-5&amp;th=1</t>
  </si>
  <si>
    <t xml:space="preserve"> Fruit Platter (one serves 20)</t>
  </si>
  <si>
    <t>Fruit for unveiling</t>
  </si>
  <si>
    <t>Metro</t>
  </si>
  <si>
    <t>https://fresh2go.metro.ca/individual-trays/fruits-and-vegetables/celebration-fruit-platter.html</t>
  </si>
  <si>
    <t>Water bottles (24 pack)</t>
  </si>
  <si>
    <t>Water for unveiling</t>
  </si>
  <si>
    <t>Walmart</t>
  </si>
  <si>
    <t>https://www.walmart.ca/en/ip/Great-Value-24pk-Spring-Water/10295446?classType=REGULAR&amp;athbdg=L3048&amp;from=/search</t>
  </si>
  <si>
    <r>
      <rPr>
        <rFont val="arial, sans, sans-serif"/>
        <b/>
      </rPr>
      <t xml:space="preserve">Estimated Duty Charge (Use </t>
    </r>
    <r>
      <rPr>
        <rFont val="arial, sans, sans-serif"/>
        <b/>
        <u/>
      </rPr>
      <t>this calculator</t>
    </r>
    <r>
      <rPr>
        <rFont val="arial, sans, sans-serif"/>
        <b/>
      </rPr>
      <t>) ($ CAD)</t>
    </r>
  </si>
  <si>
    <t>Shop List</t>
  </si>
  <si>
    <t>M1</t>
  </si>
  <si>
    <t>Fastener Type</t>
  </si>
  <si>
    <t>Pitch (mm)</t>
  </si>
  <si>
    <t>Length (length)</t>
  </si>
  <si>
    <t>Shoulder Length (If Applicable)</t>
  </si>
  <si>
    <t>Grade/Material</t>
  </si>
  <si>
    <t>QTY</t>
  </si>
  <si>
    <t>Reason</t>
  </si>
  <si>
    <t>Item Added By</t>
  </si>
  <si>
    <t>M2</t>
  </si>
  <si>
    <t>M3</t>
  </si>
  <si>
    <t>M4</t>
  </si>
  <si>
    <t>Length (mm)</t>
  </si>
  <si>
    <t>Socket Head Cap Screw</t>
  </si>
  <si>
    <t>8 (minimum)</t>
  </si>
  <si>
    <t>Carbon tie rod insert fasteners</t>
  </si>
  <si>
    <t>https://www.mcmaster.com/91290A176/</t>
  </si>
  <si>
    <t>Nylon Locknut</t>
  </si>
  <si>
    <t>8 (mininum)</t>
  </si>
  <si>
    <t>https://www.mcmaster.com/94645A101/</t>
  </si>
  <si>
    <t>Hex Head Screw</t>
  </si>
  <si>
    <t>Frame Sub</t>
  </si>
  <si>
    <t>Attach Firewall</t>
  </si>
  <si>
    <t>https://www.mcmaster.com/91287A111/</t>
  </si>
  <si>
    <t>Consolidated to line 33</t>
  </si>
  <si>
    <t>Consolidated to line 34</t>
  </si>
  <si>
    <t>M5</t>
  </si>
  <si>
    <t>35mm</t>
  </si>
  <si>
    <t>8.8 Steel</t>
  </si>
  <si>
    <t>Nose cone/ Bodywork</t>
  </si>
  <si>
    <t xml:space="preserve">Needed for the magnet tabs </t>
  </si>
  <si>
    <t>https://www.mcmaster.com/products/hex-head-bolts/hex-head-screws-1~/medium-strength-metric-class-8-8-steel-hex-head-screws/length~35-mm/?s=m5+hex+head+bolts</t>
  </si>
  <si>
    <t>Pending</t>
  </si>
  <si>
    <t>M6</t>
  </si>
  <si>
    <t>Aero Structural (RW)</t>
  </si>
  <si>
    <t>Mounting for rear wing</t>
  </si>
  <si>
    <t>https://www.mcmaster.com/95327A521/</t>
  </si>
  <si>
    <t>Deformed Thread Nut</t>
  </si>
  <si>
    <t>ISO Class 8</t>
  </si>
  <si>
    <t>Clevis</t>
  </si>
  <si>
    <t>https://www.mcmaster.com/93795A220/</t>
  </si>
  <si>
    <t>Chain guard</t>
  </si>
  <si>
    <t>https://www.mcmaster.com/catalog/131/3593/91280A328</t>
  </si>
  <si>
    <t>Consolidated with line 60</t>
  </si>
  <si>
    <t>Scatter shield</t>
  </si>
  <si>
    <t>https://www.mcmaster.com/catalog/131/3593/91280A063</t>
  </si>
  <si>
    <t>6 (height)</t>
  </si>
  <si>
    <t>Class 10</t>
  </si>
  <si>
    <t>Chain guard/scatter shield</t>
  </si>
  <si>
    <t xml:space="preserve">Rhys </t>
  </si>
  <si>
    <t>https://www.mcmaster.com/products/94645a205/</t>
  </si>
  <si>
    <t>Flat Washer</t>
  </si>
  <si>
    <t>18-8</t>
  </si>
  <si>
    <t>Chain guard/scatter shield/eccentric rings</t>
  </si>
  <si>
    <t>https://www.mcmaster.com/catalog/131/3692/93475A250</t>
  </si>
  <si>
    <t>Sensor-side eccentric</t>
  </si>
  <si>
    <t>https://www.mcmaster.com/catalog/131/3593/91280A334</t>
  </si>
  <si>
    <t>Sprocket side eccentric</t>
  </si>
  <si>
    <t>https://www.mcmaster.com/catalog/131/3593/91280A340</t>
  </si>
  <si>
    <t>Low Profile Hex Head Screw</t>
  </si>
  <si>
    <t>Chain guard/Scatter shield</t>
  </si>
  <si>
    <t>https://www.mcmaster.com/93070A143</t>
  </si>
  <si>
    <t>Medium Strength S</t>
  </si>
  <si>
    <t>Sensor &amp; Sprocket side eccentric</t>
  </si>
  <si>
    <t>https://www.mcmaster.com/products/90576a115/</t>
  </si>
  <si>
    <t>Consolidated with line 57</t>
  </si>
  <si>
    <t xml:space="preserve">6H </t>
  </si>
  <si>
    <t>Aero Structural (RW &amp; FW)</t>
  </si>
  <si>
    <t xml:space="preserve">Mounting for rear wing </t>
  </si>
  <si>
    <t>https://www.mcmaster.com/93625A250/</t>
  </si>
  <si>
    <t>ISO Class 12.9</t>
  </si>
  <si>
    <t>Full set of differential housing screws</t>
  </si>
  <si>
    <t>https://www.mcmaster.com/91290A319</t>
  </si>
  <si>
    <t>Nylon Patch Bolt</t>
  </si>
  <si>
    <t>Undertray mounting</t>
  </si>
  <si>
    <t>https://www.mcmaster.com/93310A816/</t>
  </si>
  <si>
    <r>
      <rPr>
        <rFont val="Arial"/>
      </rPr>
      <t xml:space="preserve">Purchasing this instead: </t>
    </r>
    <r>
      <rPr>
        <rFont val="Arial"/>
        <color rgb="FF1155CC"/>
        <u/>
      </rPr>
      <t>https://www.mcmaster.com/96755A324</t>
    </r>
    <r>
      <rPr>
        <rFont val="Arial"/>
      </rPr>
      <t xml:space="preserve"> </t>
    </r>
  </si>
  <si>
    <t>rivet nut</t>
  </si>
  <si>
    <t>n/a</t>
  </si>
  <si>
    <t>zinc plated steel</t>
  </si>
  <si>
    <t>undertray mounting</t>
  </si>
  <si>
    <t>https://www.mcmaster.com/95105a183/</t>
  </si>
  <si>
    <t>6H Aluminum</t>
  </si>
  <si>
    <t>RW &amp; FW internal aluminum ribs to endplate fasteners</t>
  </si>
  <si>
    <t>https://www.mcmaster.com/94020A387/</t>
  </si>
  <si>
    <t>M7</t>
  </si>
  <si>
    <t>M8</t>
  </si>
  <si>
    <t>Acuumulator Container</t>
  </si>
  <si>
    <t>https://www.mcmaster.com/95735A431/</t>
  </si>
  <si>
    <t>B-O Alloy Steel</t>
  </si>
  <si>
    <t>Sensor-side Mount</t>
  </si>
  <si>
    <t>https://www.mcmaster.com/catalog/131/3542/90782A124</t>
  </si>
  <si>
    <t>Stress-Resistant Spring</t>
  </si>
  <si>
    <t>Sensor &amp; sprocket-side Mount</t>
  </si>
  <si>
    <t>https://www.mcmaster.com/catalog/131/3724/92927A925</t>
  </si>
  <si>
    <t>Zinc high strength</t>
  </si>
  <si>
    <t>Sensor &amp; sprocket-side Mounts</t>
  </si>
  <si>
    <t>https://www.mcmaster.com/products/94645a210/</t>
  </si>
  <si>
    <t>Sprocket-side Mount</t>
  </si>
  <si>
    <t>https://www.mcmaster.com/catalog/131/3542/90782A125</t>
  </si>
  <si>
    <t>Differential rebuild</t>
  </si>
  <si>
    <t>Requires link</t>
  </si>
  <si>
    <t>M9</t>
  </si>
  <si>
    <t>M10</t>
  </si>
  <si>
    <t>M11</t>
  </si>
  <si>
    <t>M12</t>
  </si>
  <si>
    <t>TPI</t>
  </si>
  <si>
    <t>SAE 8</t>
  </si>
  <si>
    <t>PR / BL / CA</t>
  </si>
  <si>
    <t>Benjamin</t>
  </si>
  <si>
    <t>https://www.mcmaster.com/98023A029/</t>
  </si>
  <si>
    <t>SAE 5</t>
  </si>
  <si>
    <t>PR / CA</t>
  </si>
  <si>
    <t>https://www.mcmaster.com/95615A130/</t>
  </si>
  <si>
    <t>1.75"</t>
  </si>
  <si>
    <t>Partially Threaded</t>
  </si>
  <si>
    <t>PR / BL / CA / Clevis</t>
  </si>
  <si>
    <t>https://www.mcmaster.com/91247A014/</t>
  </si>
  <si>
    <t>1.5"</t>
  </si>
  <si>
    <t>CA</t>
  </si>
  <si>
    <t>https://www.mcmaster.com/91247a012/</t>
  </si>
  <si>
    <t>https://www.mcmaster.com/90673A111/</t>
  </si>
  <si>
    <t>1.125"</t>
  </si>
  <si>
    <t>Grade 8</t>
  </si>
  <si>
    <t>Drivetrain</t>
  </si>
  <si>
    <t>Sprocket carrier</t>
  </si>
  <si>
    <t>https://www.mcmaster.com/catalog/131/3581/92620A545</t>
  </si>
  <si>
    <t>https://www.mcmaster.com/products/97135a210/</t>
  </si>
  <si>
    <t>Incorrect link and washer height not listed</t>
  </si>
  <si>
    <t>0.375"</t>
  </si>
  <si>
    <t>Alloy Steel</t>
  </si>
  <si>
    <t>Brake Bias Bar</t>
  </si>
  <si>
    <t>button head bolt</t>
  </si>
  <si>
    <t>7/8"</t>
  </si>
  <si>
    <t>alloy steel</t>
  </si>
  <si>
    <t>Mounting to frame</t>
  </si>
  <si>
    <t>https://www.mcmaster.com/91355A179/</t>
  </si>
  <si>
    <t>https://www.mcmaster.com/94238A101/</t>
  </si>
  <si>
    <t>1/2"</t>
  </si>
  <si>
    <t>PR / Toe</t>
  </si>
  <si>
    <t>https://www.mcmaster.com/94846A209/</t>
  </si>
  <si>
    <t>#10 Screw</t>
  </si>
  <si>
    <t>2-1/2"</t>
  </si>
  <si>
    <t>Zinc-Plated Alloy Steel</t>
  </si>
  <si>
    <t>https://www.mcmaster.com/90044A121</t>
  </si>
  <si>
    <t>1-1/4"</t>
  </si>
  <si>
    <t>https://www.mcmaster.com/90128A948/</t>
  </si>
  <si>
    <t>18-8 Stainless Steel</t>
  </si>
  <si>
    <t>https://www.mcmaster.com/92141A011/</t>
  </si>
  <si>
    <t>Zinc-Plated Steel</t>
  </si>
  <si>
    <t>https://www.mcmaster.com/90631A411/</t>
  </si>
  <si>
    <r>
      <rPr>
        <b/>
        <sz val="18.0"/>
      </rPr>
      <t xml:space="preserve">Water Jet Orders - </t>
    </r>
    <r>
      <rPr>
        <b/>
        <color rgb="FF1155CC"/>
        <sz val="18.0"/>
        <u/>
      </rPr>
      <t>Guide</t>
    </r>
  </si>
  <si>
    <t>System</t>
  </si>
  <si>
    <t>System Lead</t>
  </si>
  <si>
    <t>Part Name</t>
  </si>
  <si>
    <t>Material Type</t>
  </si>
  <si>
    <t>Material Dimension (L x W x T)</t>
  </si>
  <si>
    <t>Does Viking have material</t>
  </si>
  <si>
    <t>Material in Shop</t>
  </si>
  <si>
    <t>Material Ready?</t>
  </si>
  <si>
    <t xml:space="preserve">DXF Ready </t>
  </si>
  <si>
    <t xml:space="preserve">Drawing Ready </t>
  </si>
  <si>
    <t>DXFS and Drawings Approved</t>
  </si>
  <si>
    <t>Order Sent to Viking</t>
  </si>
  <si>
    <t>Completed</t>
  </si>
  <si>
    <t>Send Out 1</t>
  </si>
  <si>
    <t>Busbars</t>
  </si>
  <si>
    <t>C110 Copper</t>
  </si>
  <si>
    <t>19" x 15" x 0.125"</t>
  </si>
  <si>
    <t>FW &amp; RW Mounts</t>
  </si>
  <si>
    <t>LV Enclosures</t>
  </si>
  <si>
    <t>Rear Enclosure Tabs</t>
  </si>
  <si>
    <t>4130 steel</t>
  </si>
  <si>
    <t>0.787402 '' x 0.393701'' x 0.06'' (20 x 10 x 1.524 mm)</t>
  </si>
  <si>
    <t>Send Out 2</t>
  </si>
  <si>
    <t>3D Printing</t>
  </si>
  <si>
    <t>Designer</t>
  </si>
  <si>
    <t>Structural/Non Structural?</t>
  </si>
  <si>
    <t>Printer</t>
  </si>
  <si>
    <t>Date of Print</t>
  </si>
  <si>
    <t>Done by who?</t>
  </si>
  <si>
    <t>Comments/Observation</t>
  </si>
  <si>
    <t xml:space="preserve">Systen is clean. Air hose, wipe down. </t>
  </si>
  <si>
    <t>All bolts marked off with blue plaint marker after check</t>
  </si>
  <si>
    <t>VD</t>
  </si>
  <si>
    <t>SU</t>
  </si>
  <si>
    <t>Suspension Fasteners (check preload!)</t>
  </si>
  <si>
    <t>tire wear measure, picture of surface?</t>
  </si>
  <si>
    <t>suspension set up set and recorded</t>
  </si>
  <si>
    <t>corner weights set</t>
  </si>
  <si>
    <t>dampers inspected</t>
  </si>
  <si>
    <t>ball bearing compliance inspected and documented</t>
  </si>
  <si>
    <t>BR</t>
  </si>
  <si>
    <t>Brake fasteners tightened</t>
  </si>
  <si>
    <t>Brake plumbing (no leaks or kinks in the line, lines ziptied)</t>
  </si>
  <si>
    <t>Brake rotors cleaned</t>
  </si>
  <si>
    <t>Brake pads checked and measured</t>
  </si>
  <si>
    <t>Brake fluid filled</t>
  </si>
  <si>
    <t>Bleed valve tightened</t>
  </si>
  <si>
    <t>Calipers lockwired</t>
  </si>
  <si>
    <t>Bias bar set and recorded</t>
  </si>
  <si>
    <t>BOTS is out</t>
  </si>
  <si>
    <t>Brake pedal is stiff</t>
  </si>
  <si>
    <t>WT</t>
  </si>
  <si>
    <t>Hub bearings cleaned and greased (every 60km)</t>
  </si>
  <si>
    <t>Hub nuts tighted and cotter pin put in</t>
  </si>
  <si>
    <t>camber and toe set and documented</t>
  </si>
  <si>
    <t>wheel compliance check</t>
  </si>
  <si>
    <t>Lug nuts torqued (35Nm)</t>
  </si>
  <si>
    <t>ST</t>
  </si>
  <si>
    <t>Steering fasteners tightened and lock wired</t>
  </si>
  <si>
    <t>steering function (record play)</t>
  </si>
  <si>
    <t>Inspect steering clevis</t>
  </si>
  <si>
    <t>FR</t>
  </si>
  <si>
    <t>Inspect impact attenuator glue</t>
  </si>
  <si>
    <t>FR-Sub</t>
  </si>
  <si>
    <t>Frame Sub items fasteners fastened</t>
  </si>
  <si>
    <t>Firewalls fastened in</t>
  </si>
  <si>
    <t>Firewalls sealed</t>
  </si>
  <si>
    <t>Floor Fasteners</t>
  </si>
  <si>
    <t xml:space="preserve">Headrest ziptied/fastened </t>
  </si>
  <si>
    <t>CN</t>
  </si>
  <si>
    <t>Ergo</t>
  </si>
  <si>
    <t xml:space="preserve">Driver harness Fastners </t>
  </si>
  <si>
    <t>Driver harness inspection</t>
  </si>
  <si>
    <t>Seat inspection (front, back, cracks, delamination)</t>
  </si>
  <si>
    <t>Throttle pedal actuates</t>
  </si>
  <si>
    <t>Steering wheel bolts tight</t>
  </si>
  <si>
    <t>Steering Wheel play checked</t>
  </si>
  <si>
    <t>Quick connect inspected</t>
  </si>
  <si>
    <t>Pedal box mounts/fasteners</t>
  </si>
  <si>
    <t>EL/CN</t>
  </si>
  <si>
    <t>Check APPS sensor voltage with multimeter</t>
  </si>
  <si>
    <t>Check the dash connector</t>
  </si>
  <si>
    <t>Dash and screen dash fasteners</t>
  </si>
  <si>
    <t>dash buttons inspected</t>
  </si>
  <si>
    <t>Estop functioning</t>
  </si>
  <si>
    <t>Check brake pressure sensor with multimeter (1.5-4.5V)</t>
  </si>
  <si>
    <t>Check BOTS is functioning</t>
  </si>
  <si>
    <t>EV</t>
  </si>
  <si>
    <t>AC</t>
  </si>
  <si>
    <t>Accumulator bolts Tightened</t>
  </si>
  <si>
    <t>Maintence plugs and HV lines connected</t>
  </si>
  <si>
    <t>Battery securing system fastened</t>
  </si>
  <si>
    <t xml:space="preserve">Place Polycarbonate top insulated </t>
  </si>
  <si>
    <t>Connectors are pluged in</t>
  </si>
  <si>
    <t>Lid fasteners are tightened</t>
  </si>
  <si>
    <t>External connectors are connected</t>
  </si>
  <si>
    <t>AC Hand Cart</t>
  </si>
  <si>
    <t>Bolts are tightened</t>
  </si>
  <si>
    <t>Charger is connected</t>
  </si>
  <si>
    <t>Estop is functioning</t>
  </si>
  <si>
    <t>Cable is not tangled and brakes are functioning</t>
  </si>
  <si>
    <t>EL Safety</t>
  </si>
  <si>
    <t>All fasteners are tightened</t>
  </si>
  <si>
    <t>TSMP and GLMP are functioning</t>
  </si>
  <si>
    <t>Hoop estops ares functioning</t>
  </si>
  <si>
    <t>Ready to drive sound is functioning</t>
  </si>
  <si>
    <t>TSAL lights produce the correct colours</t>
  </si>
  <si>
    <t>IMD light is functioning</t>
  </si>
  <si>
    <t>AMS light is functioning</t>
  </si>
  <si>
    <t>Inertia switch is funcitoning</t>
  </si>
  <si>
    <t>Dash estop is functioning</t>
  </si>
  <si>
    <t>HVD is functioning</t>
  </si>
  <si>
    <t xml:space="preserve">Voltage indicator is functioning </t>
  </si>
  <si>
    <t>GLV</t>
  </si>
  <si>
    <t>Electrical connectors are connect and not corroded</t>
  </si>
  <si>
    <t>Open wires/connectors taped off</t>
  </si>
  <si>
    <t>Wires fastened down and not dangeling near rotating parts</t>
  </si>
  <si>
    <t>Fuses in and not blown</t>
  </si>
  <si>
    <t>Ring terminals nut fully tightened</t>
  </si>
  <si>
    <t>Shorai batteries are charged and fully fastened</t>
  </si>
  <si>
    <t>Brake light turns on when brakes are pressed</t>
  </si>
  <si>
    <t xml:space="preserve">Fan works </t>
  </si>
  <si>
    <t>Charge team computer</t>
  </si>
  <si>
    <t>Motor</t>
  </si>
  <si>
    <t>Motor fasteners are tight</t>
  </si>
  <si>
    <t>Motor bolts lockwired</t>
  </si>
  <si>
    <t>HV lines have thread deforming nut</t>
  </si>
  <si>
    <t>cooling fasteners tighted and no leaks</t>
  </si>
  <si>
    <t>Cooling plumbing (lines not frayed, no leaks, hose clamps tightened)</t>
  </si>
  <si>
    <t>Cooling bungs/pin hole leaks plugged</t>
  </si>
  <si>
    <t>Shroud gap taped</t>
  </si>
  <si>
    <t>coolant filled and bled</t>
  </si>
  <si>
    <t>Drivetrain fasteners</t>
  </si>
  <si>
    <t>Chain tensioned</t>
  </si>
  <si>
    <t>Chain cleaned</t>
  </si>
  <si>
    <t>Chain Lubed</t>
  </si>
  <si>
    <t>Half Shafts can plung</t>
  </si>
  <si>
    <t>Tripod bearings greased</t>
  </si>
  <si>
    <t>Boots secured</t>
  </si>
  <si>
    <t>Category</t>
  </si>
  <si>
    <t>Who</t>
  </si>
  <si>
    <t>Lesson</t>
  </si>
  <si>
    <t>Erica</t>
  </si>
  <si>
    <t>Leads spend a lot of time trying to figure out what they should know for their subsystem and finding good resources. We should standardize the initial subsystem learning with a list of must read sources or a list of topics they must know for their system. That way everyone has the same base of knowledge and they can build upon that.</t>
  </si>
  <si>
    <t xml:space="preserve">Design </t>
  </si>
  <si>
    <t>It seems that even though we have a month for design, due to how overwhelming it is to start a new system it still isn't enough time to do adequate research so you have the knowledge to design your system. We can maybe fix this by doing more standardized learning in first year. Basically give everyone the basic subsystem topics to learn in their first year so no matter what system they are in the following year they already have basic knowledge of the system and can build from there</t>
  </si>
  <si>
    <t>New systems need help/guidance to start research. Having a meeting with them and discussing a research/analysis plan is helpful</t>
  </si>
  <si>
    <t>Comunication is key! Include that as a major team goal and enforce it on the system and subsystem levels</t>
  </si>
  <si>
    <t>Interactive meetings where you ask others their opinions/thoughts are more effective then a long meeting of one person talking</t>
  </si>
  <si>
    <t>Recording team/system meetings and posting them on drive is benefitial for people who can't attend the meeting</t>
  </si>
  <si>
    <t>Having guides that are easy to follow and include all the info needed for a task it much easier to follow then giving people vague info. Its worth it to spend the extra time to prepare a good quality document</t>
  </si>
  <si>
    <t>Feedback from LTP: People learned best from linkedin learning courses, then lectures. I also thing hands on workshops would be useful too. Self learning from a document is difficult</t>
  </si>
  <si>
    <t>Recuitment</t>
  </si>
  <si>
    <t>See Lesson 2 above. We can input a 2-3 phase new member learning plan where they first learn basics of the car/each system, then they learn the theories/info for each subsystem needed for design, then they learn more hands on workshops to improve their skills in the shop. Come design they will know the info needed to design their system (the basics) and have the skills to manufacture them. Then in the design phases they would do more high level research and analysis. Develop their knowledge further. We could also include a big project at the end so they can build something</t>
  </si>
  <si>
    <t>Talk to the company who makes the parts (ex:caliper) before you rebuild them!</t>
  </si>
  <si>
    <t xml:space="preserve">For setting up design reviews either get each subsystem to talk to each other and pick a few times that work for everyone or have everyone sign up using a calendar or something like that so the eng lead doesn't have to waste time figuring out when everyone is available. </t>
  </si>
  <si>
    <t>So new leads who are familiar with Salustri's design process and not our may want to integrate his process into our design phase. This is possible but requires more time. Maybe address other design processes/ salustri's design process at the beginning of design and explain why we do it the way we do.</t>
  </si>
  <si>
    <t>Business Presentation</t>
  </si>
  <si>
    <t>include alum early (especially mal) to get their take on the business case. We want the most obvious interpretation of the case so we dont confuse judges. Also get Mal's help with the finances early</t>
  </si>
  <si>
    <t>Do a mock presentation infront of the alumni and have them as you questions (acting as judges and just general inquiries) and make sure to do this well in advance of the actual comp so you have time to make changes</t>
  </si>
  <si>
    <t>We have the presentation, organization and content down as well as the quality of the slide show. In order to get first we must nail the interpretation of the business scenario (pick the most obvious one, get help from industry professionals) and we must be able to answer the judges questions (do the mock presentation with alum and prep answers). If we do this we will get first</t>
  </si>
  <si>
    <t>There needs to be a script and presentation freeze. You cant keep editing and changing things until the last minute otherwise the presenters wont be able to memorize it</t>
  </si>
  <si>
    <t>Practise makes perfect. Work on transitions. Make the presentation exciting, engaged and have a wow factor. Make sure to practise with your partner other wise you wont have chemistry or have a good flow</t>
  </si>
  <si>
    <t>Make sure the presenters are included in the design process of the presentation. Otherwise they wont know the information and wont be able to answer the judges questions</t>
  </si>
  <si>
    <t>The appendix is used as a last resort. If you know the answer to a judge's question dont waste time flipping through the appendix. It is good to have just in case but more of the time the text is too small to read and if you don;t know the order of sllides its not worth it</t>
  </si>
  <si>
    <t>You must wear professional business attire (suits) the judges look for that. Make sure to be clean with your hair neat.</t>
  </si>
  <si>
    <t>Handouts do help and are good for when judges are judging and don't remember what you said in your presentation. Make sure they include only the most important information</t>
  </si>
  <si>
    <t>Cost</t>
  </si>
  <si>
    <t>Alum</t>
  </si>
  <si>
    <t>Don't lie about the weight for any component that is easily removable on the car (ex the seat). They wont make you undo any bolts but they will remove easy parts. Also make sure the car presented at competition is the same as in cost report. Everything the judges can see should be costed (ex: the honeycomb and screen that we put over the rad in RF-19)</t>
  </si>
  <si>
    <t xml:space="preserve">When scheduling design reviews it is easier to have each person fill out all their availability. When a group fills out their availability there is a lot less availability listed and they seem to only input their perfered times. veryy difficult to schedule with alum. Or get each subsystem to schedule their own design review with the alum but then the eng lead may not be able to attend (because they may overlap) </t>
  </si>
  <si>
    <t>Finances</t>
  </si>
  <si>
    <t>Alwasy settle last years finances and cheq reqs before purchasing for the next year. Its confusing otherwise</t>
  </si>
  <si>
    <t>Discuss Grab cad folder trea with system and upper leads before CAD starts to make sure it works for every system</t>
  </si>
  <si>
    <t>leads need to be familiar with AND FULLY UNDERSTAND their rules. things will get missed if this doesn't happen</t>
  </si>
  <si>
    <t>targets, guidance and overall vision must come from the upper/system leads. It is there job to make all the subsystem members cohesive and on the same page. cannot leave subsystem members to make decisions that effect the whole team</t>
  </si>
  <si>
    <t>COMMUNICATION! leads cant wait until othr people get updates. they must take initiative and reach out to people. Integration is difficult and a 2 way street</t>
  </si>
  <si>
    <t>Sponsorship Week</t>
  </si>
  <si>
    <t>Devon</t>
  </si>
  <si>
    <t xml:space="preserve">Communication and preperation is key. Getting the sponsorship blurbs/photos done as early as possible would help with clarity and confirming everything is right. One person posting everything across four platforms is a lot - we should either have a larger posting team or invest in a program like Hootsuit. The contests went smoothly. There needs to be more communication upfront so that nothing is missed and the group is clear on the expectations and end goals. </t>
  </si>
  <si>
    <t>Virtual Unveiling</t>
  </si>
  <si>
    <t xml:space="preserve">Gathering content for the web page takes longer than expected, leads should ask for and give this infomration promptly. Always start gathering content as early as possible and clearly assign it to the approproate lead/team member. </t>
  </si>
  <si>
    <t>CAD</t>
  </si>
  <si>
    <t>Jibran</t>
  </si>
  <si>
    <t>Consider naming part/assembly files differently each year from their respective files from the previous year. Ie: RF20 and RF21 had the drivetrain file as "DR-Drivetrain", this prevented both from being opened at the same time. Having the previous year system open while working on the one for this year can help in the CAD process.</t>
  </si>
  <si>
    <t>BOM and proceurment are basically the same thing. makes more sense to only do procurement after manufacturing plan is done</t>
  </si>
  <si>
    <t>Orientation</t>
  </si>
  <si>
    <t>Rob</t>
  </si>
  <si>
    <t>Have something prepared to invoke questions - presentation or visual, component spread/schematic. - something to bring questions to new members</t>
  </si>
  <si>
    <t>Enhancing the orientation structure (ie: assign leads to tasks such as having them present their system)</t>
  </si>
  <si>
    <t>Leads meet up prior to orientation to discuss presentation plan and schedule</t>
  </si>
  <si>
    <t>Have some next steps planned for new members (doesn't have to be tasks but even some learning or reading)</t>
  </si>
  <si>
    <t>Simeon</t>
  </si>
  <si>
    <t>Do not do it on Webex (makes noise when someone joins, breakout sessions do not work well because you need to assign people, has 50 minutes time limit). More communication needed with leads before the event to let them know how it will work. Discord seems to work well, but it might not work for the presentation. RFR has access to a paid zoom account which can be used instead of Webex. Missing information and mistakes on slides (needs to be more communication to ensure that the slides are complete). Should practice the presentation.</t>
  </si>
  <si>
    <t>Have activities for the new members to do such as a name that part game like we did before (we can do it to an extent with the car CAD)</t>
  </si>
  <si>
    <t>infomation about the team should be verified for presentation. have the leads prepare something to show during the oritentation New memebers need some more information about ready to race program (start date, how it will work). also ALWAYS include business presentation video. gets them excited</t>
  </si>
  <si>
    <t>for future: i think we could still have in person orientations but maybe have a system info night where we are all on something like discord and we do a more indepth system presentation to get people interested in the system and talking.</t>
  </si>
  <si>
    <t>PRACTISE WITH SOFTWARE</t>
  </si>
  <si>
    <t>if online, they need to be exciting. show video, start with music. get everyone pumped. and make sure the videos music work</t>
  </si>
  <si>
    <t>keep good notes during testing. document everything! make sure to write down track length (km) and how many runs we did on the track so we can have a reference of how many kilometers were done in a day.</t>
  </si>
  <si>
    <t>need better way to pack testing tools. things are getting broken and thrown. also need better tools. labeling system?</t>
  </si>
  <si>
    <t>very useful to have alumni drivers there to provide new drivers with advice. Easier than learning on your own.</t>
  </si>
  <si>
    <t>get as many rainy testing days as possible. worse condition the car with perform in and great for new drivers to practise in</t>
  </si>
  <si>
    <t>Luigi</t>
  </si>
  <si>
    <t>Take tire temps on wet tires too</t>
  </si>
  <si>
    <t>Locked up front tires quite a bit on wet track (braking before turn entry), especially in earlier laps when tire temps were still low. Should've adjusted brake bias towards the rear. Also to have a better baseline of the bias bar's sensitivity to # of turns.</t>
  </si>
  <si>
    <t>Newsletter</t>
  </si>
  <si>
    <t>Don't send the newsletter out during holidays because people are out of office and they don't recieve it.</t>
  </si>
  <si>
    <t xml:space="preserve">Entire car is built around the accumulator. Put a lot of time and resources into the accumulator. A lot of systems depend on it. </t>
  </si>
  <si>
    <t>Harder to make an electric car into a combustion car then to do a design from scratch</t>
  </si>
  <si>
    <r>
      <rPr>
        <rFont val="Arial"/>
        <b/>
        <color theme="1"/>
      </rPr>
      <t xml:space="preserve">Contianer and batteries take priorety. </t>
    </r>
    <r>
      <rPr>
        <rFont val="Arial"/>
        <color theme="1"/>
      </rPr>
      <t xml:space="preserve">AMS, AIR could have come after you know container size and batteries choosen and can leave extra space in accumulator. Can pick AMS and AIR at any time. Number of cells and geometry is most improtant. </t>
    </r>
  </si>
  <si>
    <t xml:space="preserve">all electric powertrain cannot go into cad unless accumulator is in. </t>
  </si>
  <si>
    <t>Need constant rule checks for EV</t>
  </si>
  <si>
    <t xml:space="preserve">Packaging is a problem for the accumnuator when figuring out how many cells to use. </t>
  </si>
  <si>
    <t>Design/ Electric Powertrain</t>
  </si>
  <si>
    <t>under Design phase 2, add a heading for each part in your system and under that, include the relevant rules pertaining to that part. Or as a team go through all the rules and section them based on part/subsystem so you are all in agreement in what rules are relevant in each part</t>
  </si>
  <si>
    <t>Fazle</t>
  </si>
  <si>
    <t>Many components were bought from outside canada. This means costs like duty and customs brokerage fees are sometimes neglected in the budget. Ultimately, considering all the international purchases, this proves to be a major cost for the team. Solution would be to increase effort in finding local vendors.</t>
  </si>
  <si>
    <t>Build</t>
  </si>
  <si>
    <t>Very important to complete a detailed weight tracking sheet during the manufacturing/ assembly phase. This is useful to have as reference for estimating the weight of future cars, and examine areas where weight is gain/ loss. Going to be SUPER important for first electric car</t>
  </si>
  <si>
    <t>Jesvin</t>
  </si>
  <si>
    <t>always update grabcad as soon as you finish, or lock some of the components at least</t>
  </si>
  <si>
    <t>Nick</t>
  </si>
  <si>
    <t xml:space="preserve">extend research phase of design if you have to. Dont try to skip through it. You dont know what you dont know. Research phase is super important. </t>
  </si>
  <si>
    <t>Build/Testing</t>
  </si>
  <si>
    <t>Kyle</t>
  </si>
  <si>
    <t>buy 2 throttle cables not 1</t>
  </si>
  <si>
    <t>ALWAYS HAVE SPARES</t>
  </si>
  <si>
    <t xml:space="preserve">Do complete bolt checks before starting the car if it hasnt been started in a while. </t>
  </si>
  <si>
    <t>Jibrans</t>
  </si>
  <si>
    <t>Start car once every two weeks so there are not problems with the system</t>
  </si>
  <si>
    <t xml:space="preserve">Cross system knowledge especially for system leads in incredibly important. You cant just know only your system. </t>
  </si>
  <si>
    <t xml:space="preserve">Electric powertrain weight estimation was significatly off from actual weight of electric powertrain. This messed up aero and VD and they then have to re-calculate. Going forward, design shouldnt be based on the old combustion cars. </t>
  </si>
  <si>
    <t>EV system components are heavy!</t>
  </si>
  <si>
    <t>Keep open communication across systems. Easy to ask and adjust then ask later and redo.</t>
  </si>
  <si>
    <t>Dont wait on people to respond. if they are not responding send follow up messages. If still no response go to upper management</t>
  </si>
  <si>
    <t>Message people for periodic updates before the deadline when you want a task to get done.</t>
  </si>
  <si>
    <t xml:space="preserve">Always assign deadlines to tasks. </t>
  </si>
  <si>
    <t>When contacting a sponsor, make sure you are 100% ready to move forward incase sponsor has the product and can quickly deliver. If you are not ready for the product you are wasting both your and the sponsors time</t>
  </si>
  <si>
    <t xml:space="preserve">Frame is dependent on all other systems, mainly electric powertrain since it is the one with major changes. </t>
  </si>
  <si>
    <t>Mounting design also includes design of brackets, jiggs, and tabs</t>
  </si>
  <si>
    <t>Electric safety training in essential to making sure the team is safe. Its not enough to "go through" the training. the training needs to be practised everyday in the shop</t>
  </si>
  <si>
    <t>make sure to convert price or quote from a supplier to canadian dollars</t>
  </si>
  <si>
    <r>
      <rPr>
        <rFont val="Arial"/>
        <color theme="1"/>
      </rPr>
      <t xml:space="preserve">always factor in shipping and </t>
    </r>
    <r>
      <rPr>
        <rFont val="Arial"/>
        <b/>
        <color theme="1"/>
      </rPr>
      <t>duties</t>
    </r>
    <r>
      <rPr>
        <rFont val="Arial"/>
        <color theme="1"/>
      </rPr>
      <t xml:space="preserve"> into price estimation</t>
    </r>
  </si>
  <si>
    <t>Keep track of parts using some sort of inventory so you know what you have and where it is. Wasting money if you are buying components you cant find</t>
  </si>
  <si>
    <t>Keep a spec sheet on all the detailed design specs for each system so you can easily recall specs like wire gauges and ratings, bolts, FOS, material grades</t>
  </si>
  <si>
    <t>YOU CAN NEVER HAVE ENOUGH DOCUMENTATION. write everything down. Documentation can save time, save money, solve problems. Literally the life line for the team.  Reasoning, why did you make that decision</t>
  </si>
  <si>
    <t>Organize documents so we have the information and know where it is. Should be super simple so everyone can find what they are looking for</t>
  </si>
  <si>
    <t>Keep track of extra fasteners. We usually order more than what we need from McMasterCarr and end up ordering another box of the same fastener next year</t>
  </si>
  <si>
    <t>With the concern for reliability and having the thought of keeping something "similar", redesigning something from scratch isn't necessarily a bad thing. You could learn EVERY aspect of your part/ system if you designed it from scratch. Also, you would discover important details you didn't know exists/ matters.</t>
  </si>
  <si>
    <t xml:space="preserve">McMaster Carr is a convenient source for finding materials that need to meet a specific rating (ie. UL94V0). Sometimes good to select a material by looking at the options from McMaster Carr first because you already know it's available whereas if you search for a specific material (from your research) first, you might eventually have a hard time finding a supplier for it. </t>
  </si>
  <si>
    <t>Leadership</t>
  </si>
  <si>
    <t>Worry about tasks that you are responsible for first - otherwise, trust those who've you've delgated to</t>
  </si>
  <si>
    <t>Should have given more time to explore different sprocket carrier geometries</t>
  </si>
  <si>
    <t>Could have been beneficial to explore more attachment methods for the halfshafts asides from tripod bearings and cups</t>
  </si>
  <si>
    <t>More detailed documentation</t>
  </si>
  <si>
    <t>Design/ CAD</t>
  </si>
  <si>
    <t>tripple check that all front, right, and ground plans are mated properly in all master assemblies</t>
  </si>
  <si>
    <t>show team the heirachy of design and why we do it this way. it may help so people know how it all works together</t>
  </si>
  <si>
    <t>have multiple grabcad and cad workshop showing different skills. right now we are having problems with mating and integrating between assemblies</t>
  </si>
  <si>
    <t>need to change cad practises so we can edit our designs in the future. right now we have to do a lot of work to adjust a few dimensions (planning out cad better)</t>
  </si>
  <si>
    <t>Put all the fasteners in a named folder under your assembly tree. If you have a bigger system, divide the fastener folders into different sections (ie. FR linakge fasteners, RR linkage fasteners...). Makes the assembly trees less crowded.</t>
  </si>
  <si>
    <t>Be mindful to convert entities the correct sketch for suspension. If you want to convert entites the dynamic sketch, make sure to hide the static sketch first. Otherwise, they are on top of each other and you might convert entities a mix of the static and dynamic which means you'll face errors/ suspension not even update when the dynamic sketch is changed because it's restricted by the static sketch reference.</t>
  </si>
  <si>
    <t>Naming your sketches, planes, and features (extrude cuts/ boss...) is really useful and good practice regardless of how complex your part is.</t>
  </si>
  <si>
    <t xml:space="preserve">Design/ CAD </t>
  </si>
  <si>
    <t>For the suspension assemby's master sketch, I think its better to make it referenced to the static sketch instead of the dynamic sketch. The only purpose of referencing it to the dynamic sketch is to check clearance of steering and wheel travel but you can also just make a separate "clearance check assembly" which is a copy of the frame master sketch file -&gt; mate your parts to the dynamic sketch. This way, you will be able to simulate your clearance checks in one assembly without having to jump from the frame master sketch and opening/ rebuilding different assemblies until you see the update in the suspension assembly.</t>
  </si>
  <si>
    <t>Sponsorship</t>
  </si>
  <si>
    <t>Sophia</t>
  </si>
  <si>
    <t>When contacting a sponsor, try to find a direct contact in the company to email or call (or use Linkedin). You are more likely to get a response this way rather than emailing the general company's email form.</t>
  </si>
  <si>
    <t xml:space="preserve">Sophia </t>
  </si>
  <si>
    <t>A good approach for a first email is to propose a sponsorship collab that you will explain over a quick call because it intrigues the contact to make a call to find out more about what you are proposing to them. Better to explain what we are asking for over call since company is more willing to listen.</t>
  </si>
  <si>
    <t>frame is dependent on all other systems, spectifically the ones changing. If frame is bottlenecked by other systems for final geometry, work on perfecting fea and torsional rigidiy investigation</t>
  </si>
  <si>
    <t>frame/design</t>
  </si>
  <si>
    <t>cad and make sketchings with adjustments in mind. You should be able to go back and adjust some dimensions and have the entire cad update accordingly. otherwise you spend weeks trying to fix a bunch of conflicts. good cad practises are essential!</t>
  </si>
  <si>
    <t>have more cad practises and tutorials. on cad etiquette</t>
  </si>
  <si>
    <t>Don't let perfect get in the way of done - you cant have a perfect justification for every design component/decision</t>
  </si>
  <si>
    <t>livery</t>
  </si>
  <si>
    <t>start livery planning as soon as aero is being finalized. come us with plans for deliverables and deadlines</t>
  </si>
  <si>
    <t>erica</t>
  </si>
  <si>
    <t>have some one working with the cad to get it to a presentable and workable state so in renders we are not missing crucial parts and it looks like a complete car. making the cad functional for rendering (light weight for vizualize)</t>
  </si>
  <si>
    <t>Make sure Dacron is sealed before beginning testing. Don't test with parts of aircraft fabric exposed to elements without at least one layer of sealant.</t>
  </si>
  <si>
    <t>Should you have to use a used fastener, make sure it's clean (re-tap the thread, sand the head) for the sake of making the car more presentable</t>
  </si>
  <si>
    <t>design</t>
  </si>
  <si>
    <t>have constant rules reviews where you just look over rules to make sure every section is convered (specifically electric powertrain)</t>
  </si>
  <si>
    <t>NEED TO DOCUMENT WHEN THIS ARE PUCHASED AND PUT ON THE CAR. if you are buying parts that are aftermarket and are going driectly on the car, document when you purchased the item so if you re-use it on a future car you know how old it is</t>
  </si>
  <si>
    <t>dont be afraid to deligate to new members, you will be able to focus more on the super important tasks and you will be teaching the next generation</t>
  </si>
  <si>
    <t>solve the conflicts in your system/subsystems cad. just because you finish cad, doesnt mean you dont have to check up on it and maintain it</t>
  </si>
  <si>
    <t>One way to know what you don't know is to design from scratch so you discover all the important details during the process.</t>
  </si>
  <si>
    <t>josh</t>
  </si>
  <si>
    <t>could have cut 3d printing prototyping and testing time in half if we had more iterations of the part earlier and investigate more options earlier. you will decrease the frequency of tests of you explore more options earlier</t>
  </si>
  <si>
    <t xml:space="preserve">make sure to sit down and analize testing and prototyping results for all testings. this will help you iterate less if you really reflect on the test results and use it to predict the results of future tests. </t>
  </si>
  <si>
    <t>fazle</t>
  </si>
  <si>
    <t xml:space="preserve">during research phase, good to look into certifications and requirements that relate to your subsystem to make sure you meet them. ex: being aware of ul certification for 3d prints </t>
  </si>
  <si>
    <t>design/research</t>
  </si>
  <si>
    <r>
      <rPr>
        <rFont val="Arial"/>
        <color theme="1"/>
      </rPr>
      <t xml:space="preserve">read into all of the documentation that is available for every major part for your system. even if you think its not going to be relevant to you. read manuals of products too! these companies understand their products and its their job to make good </t>
    </r>
    <r>
      <rPr>
        <rFont val="Arial"/>
        <b/>
        <color theme="1"/>
      </rPr>
      <t>documentation</t>
    </r>
    <r>
      <rPr>
        <rFont val="Arial"/>
        <color theme="1"/>
      </rPr>
      <t xml:space="preserve"> </t>
    </r>
  </si>
  <si>
    <t xml:space="preserve">good to know how to design each component of your system even if you are procuring/purchasing it. </t>
  </si>
  <si>
    <t>do the analysis even on parts you buy. you cant assume they will work</t>
  </si>
  <si>
    <t xml:space="preserve">assume, come manufacturing, the team will be working together on manufacturing so make sure you understand how to manufacture other parts of people's systems (specifically true for wiring or electrical manufacturing since were limited in this area with personel) </t>
  </si>
  <si>
    <t>Josh T</t>
  </si>
  <si>
    <t xml:space="preserve">for steering wheel: decide on if you are going to implement buttons at the beginning of design process. have difficulty with integration of the buttons. find button, test with cover design, and verify if that is the correct button to use. </t>
  </si>
  <si>
    <t>dani</t>
  </si>
  <si>
    <t>make sure to read through entire research binder before starting. better for scheduling your time appripriately and making sure you dont miss anythign</t>
  </si>
  <si>
    <t>david</t>
  </si>
  <si>
    <t>research binder/amount of information was intimidating at first but after taking to lead it was much easier to understand</t>
  </si>
  <si>
    <t>research binder with guiding questions are useful for guidance. better to have them research so they learn on their own and they find more information, futher their research on their own. not great to spoon feed. also helpful for finding your own resources</t>
  </si>
  <si>
    <t>rochelle</t>
  </si>
  <si>
    <t>go to each subsystem meeting as a new members and try to learn as much as you can!</t>
  </si>
  <si>
    <t>sophia</t>
  </si>
  <si>
    <t>for apprentices: schedule specific amount of time weekly to do readings and learn new material (from resource chart or your own resources) so you dont fall behind and are constantly learning about the system</t>
  </si>
  <si>
    <t>Edward</t>
  </si>
  <si>
    <t>Try to absorb as much knowledge as you can from the leads since you will eventually be running the system</t>
  </si>
  <si>
    <t>3D printing is not viable for contious stamping but it a great prototyping mechanism.</t>
  </si>
  <si>
    <t>Have a range of people in design reviews from other systems who are knowledgeable about the subjects. helps catch more things (shouldnt just have the system leads present, probably a team of min 3 reviewers from outside the system)</t>
  </si>
  <si>
    <t>SES for accumulator needs to be look at earlier in design and filled out as we go</t>
  </si>
  <si>
    <t>When choosing the material for your part, confirm that the machining sponsor is able/ can conveniently machine that material. It can drive their cost up for tooling (ie. Grade 5 Titanium).</t>
  </si>
  <si>
    <t>Having fasteners inside a folder in the assembly tree makes it so much cleaner. Should be standardized team-wide for future CAD assemblies.</t>
  </si>
  <si>
    <t>Design/ Competition</t>
  </si>
  <si>
    <t>Erica/Nick</t>
  </si>
  <si>
    <t>Electrical tech inspection is difficult and requires us to pass a much of tests to prove we meet the rules. its not enough to just meet the rules. you must review the technical inspection process and documents and ensure we meet those too</t>
  </si>
  <si>
    <t>Alumni are very willing to help and will even learn more about the electric competition to help us prepare. Use them for moch design and tech inspection. also just when ur stuck</t>
  </si>
  <si>
    <t>Competition</t>
  </si>
  <si>
    <t>Never assume something will pass tech because it did last year</t>
  </si>
  <si>
    <t xml:space="preserve">Competition </t>
  </si>
  <si>
    <t>know the rules very well. this is your only defence against technical inspectors</t>
  </si>
  <si>
    <t>remember your goals and constantly reflect on them. its easy to just "design a race car" rather than "design a race car to meet a specific goal. example if your goal is to pass tech, nothing else matters except that. and the whole team should be working towards that. if one system is done meeting rules and will pass tech but another wont, we need to extra people to help the other system</t>
  </si>
  <si>
    <t>Getting a discount is still a sponsorship. Many companies have educational programs that offer discounts. A discount is better than no sponsorship especially if you have the budget to afford it</t>
  </si>
  <si>
    <t>its good to show a company how much you have budgets for a specific expense/product and why you need a discount to achieve that. That way they know their company will make money and they can see you dont want to just hassel them and get free stuff. You have a budget, but the stuff you need is outside so you need a discount (ex: wiha tools. had $6000 for tools and need $12,000 worth of tools. therefore asked for a 50% discount)</t>
  </si>
  <si>
    <t>the more realistic and upfront you are, the more likely the sponsorship will go through. you dont just want to ask a company for sponsorship. you want to ask for a specific amount or product. that way they know what they are spending, why we need it, and where the money/product will go to. ex: asking for a multimeter sponsorship vs. asking for 3 specific multimeters</t>
  </si>
  <si>
    <t>If you cant get through to a company becuase you dont have a specific email of a person, try sending a more general email based around education and ask to be forwarded to the marketing department. or keep trying different general emails</t>
  </si>
  <si>
    <t>If a company doesnt have an available email address, try calling them. This works best if you are asking for an educational discount. A lot of companies have educational programs and calling guarantees you can talk to someone and get the correct email</t>
  </si>
  <si>
    <t>The ESF should be used from day one to help design components and circuitry for the electric powertrain system. It automatically does many calculations for you and instantly tells you if your designs are rule compliant</t>
  </si>
  <si>
    <t>Google sheets does not have the same functionality as excel, and so when filling out the sheet, opening it in excel is the best way to fill it out/check that it is filled out correctly</t>
  </si>
  <si>
    <t>Trying to fill out the ESF from the getgo, making design decisions informs a lot of potential rules issues that may not be clear in the rules. so should be consulted pretty early on.  Many changes to design WILL come up when filling in the ESF</t>
  </si>
  <si>
    <t>Make sure you are certain on the design requirements/constraints before hopping in and making a design. Will save alot of time not having to redesign components.</t>
  </si>
  <si>
    <t>For electric powertrain walkthrough how power/signals will flow in practice with real components and how they will be connected). Was able to catch missed components since they were assumed to be there or they wern't thought of. (Caught missed connectors, adapters, additional circuitry that needed to be added)</t>
  </si>
  <si>
    <t>Matthew</t>
  </si>
  <si>
    <t>It's good to document steps taken as a guide for the next lead, if a guide doesn't already exist</t>
  </si>
  <si>
    <t>Chassis</t>
  </si>
  <si>
    <t>Frame tubes, frame jigs, and suspension need to be sent out on september 1st to ensure the car is completed for comp</t>
  </si>
  <si>
    <t>Competion</t>
  </si>
  <si>
    <t>Rami</t>
  </si>
  <si>
    <t>When signing up for competition, make sure to open webpage exactly 2 hours before, keep the tab open, and do NOT click multiple times, only click once.</t>
  </si>
  <si>
    <t xml:space="preserve">Start working on your wiring diagrams early and make sure they are easily updatable/adjustable and continue to update them and set check in times to make sure wire diagrams you make are alwasy updated cause when you set those deadlines it forces you to think about how everything is connect. We use rapid harness to draw the wiring diagrams. </t>
  </si>
  <si>
    <t>GLV - Rapid Harness</t>
  </si>
  <si>
    <t>Tutorials are helpful for rapid harness but googling questions is also easy. Good to jump into it and use it for your application rather than trying to learn teh software first</t>
  </si>
  <si>
    <t>Obtaining sponsors early and looking for sponsors for projects and new things early</t>
  </si>
  <si>
    <t>Nick/Erica</t>
  </si>
  <si>
    <t>Inependent research will only take you so far. connecting with people in industry will teach you much more much quicker. specifically to electric powertrain and can help point you in right direction faster</t>
  </si>
  <si>
    <t xml:space="preserve">Electric powertrain is not like combustion. we need a lot of resources from industry. we need industry professionals to guide us. and we need their resources (we need HV labs to test components). dont try to use combustion stuff cause were familiar with it. </t>
  </si>
  <si>
    <t>Make connections early with industry professionals, lay out the expectations and requirements, have a person dedicatied to maintianing that relationship. dont just get them to check off a box</t>
  </si>
  <si>
    <t>It is incredibly difficult to pass electric powertrian tech and forms. the tech intespction forms, ESF, and FMEA should be open and included in design. THESE DOCUMENTS NEED TO BE DONE EARLY AND DURING DESGIN</t>
  </si>
  <si>
    <t>Santino</t>
  </si>
  <si>
    <r>
      <rPr>
        <rFont val="Arial"/>
        <color theme="1"/>
      </rPr>
      <t>Always double and triple check measurements before ordering materials and designing parts
^^</t>
    </r>
    <r>
      <rPr>
        <rFont val="Arial"/>
        <b/>
        <color theme="1"/>
      </rPr>
      <t>do it yourself</t>
    </r>
    <r>
      <rPr>
        <rFont val="Arial"/>
        <color theme="1"/>
      </rPr>
      <t>, don't rely on another person</t>
    </r>
  </si>
  <si>
    <t xml:space="preserve">Work more collaboratively, with each other and with industry professionals. More design reviews and design conversations help advance designs and catch mistakes </t>
  </si>
  <si>
    <t>Work sessions are a great way to get a lot of work done in a reasonable amount of time, allowing for good collaboration.</t>
  </si>
  <si>
    <t>Most teams use unprotected cells and then design their own fusible links. this requires additional design and testing for the ESF so recognize and design for this early</t>
  </si>
  <si>
    <t>General</t>
  </si>
  <si>
    <t xml:space="preserve">If you have multiple leads or multiple people working on or running the system, you need to have seperate meetings and be up to date on what everyone is doing. you cannot assume someone someone else in your system has done the work. and you should be able to give the team captain or PM an update on the whole system, not just your part. </t>
  </si>
  <si>
    <t xml:space="preserve">If you are an apprentice or new member or not a lead, ask as many questions as possible. Dont be shy, NO STUPID QUESTION. one day you will be supporting and leading the team. try to know as much as you can </t>
  </si>
  <si>
    <t xml:space="preserve">General </t>
  </si>
  <si>
    <t>Also I believe slack can be used a lot more effectively to communicate, like using channels instead of groups or DMs. At least for VD we hardly write anything in slack channels</t>
  </si>
  <si>
    <t>On testing days, get your hands dirty/help do as many things as possible. One day you'll be the one who has to do it! And the more practice you have the better.</t>
  </si>
  <si>
    <t>If it's a task or workflow that needs to be done often, make sure you minimize the work or effort needed to actually get it done, humans naturally take the path of least resistance and won't do something if it takes too much "brain power".</t>
  </si>
  <si>
    <t>Utilize other teams research and lessons learned. Seems like a no-brainer but Kasey and I could have saved ourselves hours of research that we later found summarized nicely in capstones and online threads from other teams. As far as we currently know (cross our fingers), we dodged some compatibility issues between certain motor and motor controller models that we were looking at.
Note: The compatibility issues were not always clearly listed on the manufacturers websites. Heard about them from other teams' unfortunate lessons learned.</t>
  </si>
  <si>
    <t xml:space="preserve">When doing a task, ask different people for their opinion on how the task could be executed. It could save a lot of work or prevent a major error. Also, don't be afraid to share your opinion on how you think a task should be completed, even if you are less experienced </t>
  </si>
  <si>
    <t>Regardless of whether there is a plan, don't start doing the tasks or following deadlines without fully understanding it yourself and outlining your goals and what you are looking for and investigating.</t>
  </si>
  <si>
    <t>Every task NEEDS deadlines. there needs to be an overall plan that the team is working towards. even if you are not fully sure on the outcome or where its going. when you sit down with the upper management, you can definatly create at least a short term plan with deadlines</t>
  </si>
  <si>
    <t xml:space="preserve">Formula is an excersize in project management. </t>
  </si>
  <si>
    <t>Make sure to measure carrying capacity/dimensions before purchasing or moving anything</t>
  </si>
  <si>
    <t>Send out process is not difficult, it is just tedious so leave yourself 1-2 weeks to get everything ready for send out and then make changes to trims after they review it. also initiall you send them the BOM and CAD file. then after you send individual tube files</t>
  </si>
  <si>
    <t>Controls</t>
  </si>
  <si>
    <t xml:space="preserve">For controls/pedal box, it is easy to think of it in the hardware aspect but its easy to miss the electrical or software aspect. its easy to assembly it but if the software side doesnt work then you need to spend more time with that. the software is just as important as the hardware. </t>
  </si>
  <si>
    <t xml:space="preserve">In industry, there is no clear theoretical way on how to design a fusable link, it is more experimental. so we need time to experiment. in industry, they experiment based on initial calcs, then they experiment and find the current temperature curve and then use that data to figure out which size to use. </t>
  </si>
  <si>
    <t>Main fuse rule</t>
  </si>
  <si>
    <t>Consult rules questions we asked for RF-21 in design</t>
  </si>
  <si>
    <t>Accumulator also needs a top layer of insulation as well as the side walls</t>
  </si>
  <si>
    <t>Use 3D printing to prototype and test things, fitment, extra. it can be used to simulate assembly and check fastener sizes</t>
  </si>
  <si>
    <t>For accumulator mounts, we used 3D printing to print the mounts and bolts and set the correct spacing, then we tested to see if we could fit the bolts in based on the spacing. this saved us the time and headache of realizing the bolts didnt fit after we manufactured the container</t>
  </si>
  <si>
    <t>when designing sprockets, you should be in contant discussion with the frame lead to check chain interference so we dont have to make changes late in design</t>
  </si>
  <si>
    <t>Need a new frame design. cant just use a combustion frame and extend it to fit electric powertrain cause it has different parts and different protection requirements. we can also seriously imporve on packaging from RF-21</t>
  </si>
  <si>
    <t>Daniel</t>
  </si>
  <si>
    <t>When disassembling brakes, if rotors are removed, put dummy rotors or spacers to keep the calliper pistons from pushing the pads together when the brake pedal is pressed. It can be hard to push back the piston and insert the rotor back.</t>
  </si>
  <si>
    <t xml:space="preserve">Decide on scope early in design and stick to it. Look at it from a big picture. Consider resources and manufacturing availability. for RF-21 we had no one who would manufacture the titanium hubs so late in design we have to switch to using RF-20s hubs. </t>
  </si>
  <si>
    <t xml:space="preserve">FEA is not as clear cut as you think, even if you think you understand the load case. all fea set up should be reviewed by an upper lead or alumni to make sure it is set up properly and represents the physical load case </t>
  </si>
  <si>
    <t>Farris</t>
  </si>
  <si>
    <t>Always remind system leads about updates on the system and any tasks we would help at hand. That way, we could learn more and be better about the system.</t>
  </si>
  <si>
    <t>Muhammad</t>
  </si>
  <si>
    <t>A bit of a broad lesson. But if you are really unsure about whether a certain component meets rules, you could try asking the judges on FSAEonline and they should be able to clarify.</t>
  </si>
  <si>
    <t>Use other FSAE teams as resources. get their opinion and interpretation on a rule or problem. a lot of them are will to help out in design and solving problems. set a meeting with them if you haeve anough to discuss and present</t>
  </si>
  <si>
    <t>Business - Recruitment</t>
  </si>
  <si>
    <t>Make sure there is a lead available from each system at each new member orientation date.</t>
  </si>
  <si>
    <t>Very important to meet people in person and work together cause it builds to team and trust</t>
  </si>
  <si>
    <t>Important to have semi regular team building</t>
  </si>
  <si>
    <t>Dadmehr</t>
  </si>
  <si>
    <t>To simulate what drive might feel with the steer wheel, whenever you test the feeling of the steering wheel, you can wear gloves to better understand what the driver will feel</t>
  </si>
  <si>
    <t>When using a 3D printer, you have to think of the pattern and way the 3D printer prints for strength</t>
  </si>
  <si>
    <t>Don't just think about your tasks you are working on it's own, think of it in the context of the entire car and how it interacts with other systems. (I.e when having to move voltage indicator to fit in frame, reconfigure APPS sensor because hardware wasn't quite setup properly)</t>
  </si>
  <si>
    <t>YOUR COMPONENT NEEDS TO BE MOUNTED ONTO THE CAR. you are responsible for the mounting component. talk to the frame lead if you need help</t>
  </si>
  <si>
    <t>packaging with the accumulator and cells is a major problem for frame</t>
  </si>
  <si>
    <t>Need a better process for selecting batteries based on endurance requirements and how that relates to power and performance. Battery selection and size completely changes the frame. a big accumulator doesnt mean a good accumulator</t>
  </si>
  <si>
    <t>The ergo sketch doesnt give you a gauge on how wide the frame it. MAKE SURE THE DRIVE FITS</t>
  </si>
  <si>
    <t>Research is not always going to find the best design. you need to experiment, understand, and test to figure out if the design works. meaning testing and experiments need to be incorporated IN DESIGN</t>
  </si>
  <si>
    <t>General/Design</t>
  </si>
  <si>
    <t>bring apprentices/new members to integration meetings to listen and understand even if they arnt incharge of the task</t>
  </si>
  <si>
    <t>Record your meetings especially if what you are saying is not getting written down so you can go back to your thoughts/procedure. E.g. FEA meetings, discussions, reviews, etc.</t>
  </si>
  <si>
    <t>By extra long bolts and cut in post if necessary</t>
  </si>
  <si>
    <t>Don't lockwire stuff until you are completely done working on it</t>
  </si>
  <si>
    <t>when you are making a part that requires rivets, use temporary rivets until the part is final, then replace the temporary rivets with permanent rivets when you are sure</t>
  </si>
  <si>
    <t>Design for "clean"/ rounded/ standard dimensions if possible. Makes it very convenient in manufacturing.</t>
  </si>
  <si>
    <t>Rules are not alwasy muchually exclusive meaning susbsystem leads have rules that pertain to their subsystem in other sections. need to address this so no rules are missed</t>
  </si>
  <si>
    <t>It is important all leads understand the basic terminology of the frame (primary structure,etc) so they know what rules pertain to them. otherwise rules are missed</t>
  </si>
  <si>
    <t>ESF and SES need to be incorporated into design as part of a rule check and as additional rules considered in design. we are finding new rules we werent aware of while filling out the SES and ESF way to late</t>
  </si>
  <si>
    <t>Not all rules in the SES are in the rule book. BOTH have to be used as "rule books"</t>
  </si>
  <si>
    <t>Some mates will break in controls mainly because the assemblies are mostly direct to frame. Keep checking the assemblies for errors just incase as the frame changes throughout its design</t>
  </si>
  <si>
    <t>Almac can't laser cut aluminum. They prefer just steel</t>
  </si>
  <si>
    <t>Design/EL-CN</t>
  </si>
  <si>
    <t xml:space="preserve">Dion </t>
  </si>
  <si>
    <t>specifically define your design constrainst at the beginning of the design phase. This will help you focus your design to the bare bones</t>
  </si>
  <si>
    <t>Successful prototyping is very important before moving on to final technical designs. Spend most of your time on good prototyping and identifying design errors in this stage</t>
  </si>
  <si>
    <t>Manufacturing/EL-CN</t>
  </si>
  <si>
    <t>Break down your manufacturing tasks into reasonable chunks. For example, if you are assembling a PCB with many components, you can either bake SMT components all at once or organize soldering your components in sections of the PCB</t>
  </si>
  <si>
    <t>Always lock the part files before modifying to let other people know that we are working on the file - said by a lead</t>
  </si>
  <si>
    <t>Never delete CAD files, always store them to not lose track of modifications made previously.</t>
  </si>
  <si>
    <t>When researching articles on websites, it is wise to store the article information by downloading them instead of inserting website links. Certain website links usually expire overtime.</t>
  </si>
  <si>
    <t xml:space="preserve">Make sure that your Solidworks Part file is in IPS (inches) before you save as DXF so that the DXF file is in IPS. This would save Almac some time from converting from Metric DXFs to IPS. </t>
  </si>
  <si>
    <t xml:space="preserve">Laser cutting machine can only take a minimum of like 6" x 6" of material. So even if your parts require less material, you need to order larger ones.  </t>
  </si>
  <si>
    <t>Size your material with a 1/4" margin for laser cutting. So add an extra 1/4" around the perimeter of the minimum material you would need for your part</t>
  </si>
  <si>
    <t>Laser cutting general guide: hole diameters should be at least greater than the material thickness</t>
  </si>
  <si>
    <t>Nest parts as much as possible into one sheet of material. This way, we'll save our laser cutting/ waterjet sponsors a LOT of time</t>
  </si>
  <si>
    <t>Claudia</t>
  </si>
  <si>
    <t>Nickel is a hard metal to procure in Canada. Most Canadian metal companies get their's from the US and don't store them in-house. Your best bet will be to procure it from McMaster-Carr.</t>
  </si>
  <si>
    <t>When making meeting notes. First, continuously jot quick keywords as the meeting goes on and once it is done go back and make them more specific so that when you go back and read them you can easily remember what was discussed.</t>
  </si>
  <si>
    <t xml:space="preserve">The ESF is also a great learning tool to help better understand the different components found within the electric powertrain and what exactly our goals should be when designing. </t>
  </si>
  <si>
    <t>Make sure you always document your proof or reasoning behind specific thoughts when working on a research task. It's easy to forget why you thought something is true if you don't have supporting evidence to back it.</t>
  </si>
  <si>
    <t xml:space="preserve">When purchasing from a local company where quotes are given double-check the quoted statement they give you. More importantly, make sure the tax is calculated correctly!! </t>
  </si>
  <si>
    <t>The SES is another very important document to consult as you design especially for the structural aspects of your design (chassis, accumulator, attenuator)  as the SES can be used as a tool to confirm whether your design meets rules. NOTE: just because it passes SES does not mean it passes rules</t>
  </si>
  <si>
    <t>when designing mounts, make sure to work closely with the frame team as the mounting design Severely affects frame design</t>
  </si>
  <si>
    <t>A lot of the core design decisions that you are making can be decided by rules or previous work, ALWAYS look at the rules pertaining to what you're designing and have a look around in the drive for ANY notes about design.</t>
  </si>
  <si>
    <t>After working on anything team-related, try to write some quick notes about what you learned so you can confirm that you've remembered them.</t>
  </si>
  <si>
    <t>If you've split up the design of one item to two different people, don't forget to check the mating together and that they fit together and that they are the proper sizes.</t>
  </si>
  <si>
    <t>Mohammad</t>
  </si>
  <si>
    <t>Try to always give yourself a bit more time than you think you will need for tasks and projects. You might run into complications or confusions that delay you.</t>
  </si>
  <si>
    <t>When coming up with a design for something, it's better to have a design on paper based on the given constraints so it's easier to conceptulize and modify things before transferring it to a "final format". (E.g for software development, you should write psedudocode (rough code) on paper and once you're satisfied you can write the actual code. Same can apply for designing parts in SolidWorks.)</t>
  </si>
  <si>
    <t>Manufacturing/Electric Powertrain</t>
  </si>
  <si>
    <t>When trying to figure out why something isn't working with software/hardware, systematically approach the problem and try to break it down into logical steps. (E.g Don't start changing multiple things at once or do guesswork. Identify potential root causes, break it down into smaller parts if needed and try to solve them one at a time.)</t>
  </si>
  <si>
    <t>Frame Sub-items</t>
  </si>
  <si>
    <t>If you are making a floor or any part that has two separate segments that have bends, it might be a good idea to have those two segments as separate parts and mate them in an assembly</t>
  </si>
  <si>
    <t>If a harness tab geometry is simple enough, doing a simple hand calc to verify that it meets the load requirement may be enough</t>
  </si>
  <si>
    <t>Social Media</t>
  </si>
  <si>
    <t>Isabelle</t>
  </si>
  <si>
    <t>Plan in advance, it's super important to be aware of which team members you need to talk to, when certain items should be posted, and how you want your content to look</t>
  </si>
  <si>
    <t>With any video/photo you want to post make sure they fit the specific dimensions so test them out before posting, I've created an account specifically for testing photos and content for instgram</t>
  </si>
  <si>
    <t>Talking to your team members about different content and when your posting is super important you want to make sure it's the same and consistent on each platform you're posting to</t>
  </si>
  <si>
    <t>Polina</t>
  </si>
  <si>
    <t>Always include citations/ links to the resources you used for the reaserch. This saves time when you have to go back and reference the original document/forum.</t>
  </si>
  <si>
    <t>Bodywork/Design</t>
  </si>
  <si>
    <t>Jayan</t>
  </si>
  <si>
    <t>Understand that just because we are desining a Formula 1 style car, it does not mean FSAE is Formula 1. So when researching bodywork (more so nosecone) stick to asking team members/leads about their knowledge and experinece with bodywork as this will not confuse FSAE vs F1.  External sources such as the internet and race car books can be used ,but the reader should be mindful of the fact that those are written with respect to actual racing competitions. The significance is because the nose cone does not serve the same purpose for our car as it does in F1.</t>
  </si>
  <si>
    <t>It is worth mentioning that the nosecone is no longer considered an aerodynamic device (According to rules 2022). It is not concerned with producing downforce or any aerodynamic enhancements. Thus, when utilizing knowledge on aerodynamics and airfoils, keep in mind that it is independent to the nose cone.</t>
  </si>
  <si>
    <t>Design/CAD</t>
  </si>
  <si>
    <t>Rhythm</t>
  </si>
  <si>
    <r>
      <rPr>
        <rFont val="Arial"/>
        <color theme="1"/>
      </rPr>
      <t xml:space="preserve">Try to make use of </t>
    </r>
    <r>
      <rPr>
        <rFont val="Arial"/>
        <b/>
        <color theme="1"/>
      </rPr>
      <t>global variables</t>
    </r>
    <r>
      <rPr>
        <rFont val="Arial"/>
        <color theme="1"/>
      </rPr>
      <t xml:space="preserve"> in solidworks so that making changes to the geometry becomes more time-efficient, rather than going to each edge and changing the dimension, you can simply type the changed dimension in the global variables box</t>
    </r>
  </si>
  <si>
    <t>Design/3D Printing</t>
  </si>
  <si>
    <t>Have a clearance of atleast 0.5mm between the enclosure's top and bottom pieces if it's going to be opened frequently and/or if you want it to open easily</t>
  </si>
  <si>
    <t>3D printing</t>
  </si>
  <si>
    <t>Save filament by doing a test-print at 60% scale or lower</t>
  </si>
  <si>
    <t>Make sure enclosure tabs are at least 15mm x 12 mm (in my experience) so that it prints nicely</t>
  </si>
  <si>
    <t>Make records of the datasheet of the purchased parts (brake pads, calipers, etc.). Ideally, include an image or link to the datasheet in your design binder.</t>
  </si>
  <si>
    <t>Start with one simple rotor CAD design (even blank rotor) and make sure the FEA works and makes sense. If it does, proceed with design improvement.</t>
  </si>
  <si>
    <t>It can be hard to find supplier for desired material for the rotor so try to source early and keep in mind the availability of your chosen material. Aerospace suppliers have high performance rotor materials.</t>
  </si>
  <si>
    <t>Print one dust shield for rear and one for front, then test fit (instead of printing 4 all at once). If it does not fit, less filament and time go to waste. If it fits, proceed 3D printing the rest.</t>
  </si>
  <si>
    <t>When re-using parts, take time to clean and visually inspect the parts for scratches and cracks. Then, decide if it can be reused.</t>
  </si>
  <si>
    <t>Be generous on greasing the bearings and be cautious in using the bearing puller</t>
  </si>
  <si>
    <t>Tires</t>
  </si>
  <si>
    <t>Rotate tires (on-car or stored) to prevent deformities.</t>
  </si>
  <si>
    <t>Keep stored tires away from elements (sun, moisture, extreme heat/cold) and corrosive fluids.</t>
  </si>
  <si>
    <t>You can resize commercial tire covers to fit our tires. This is cheaper than buying specialized tire covers or buying materials to make tire covers from scratch.</t>
  </si>
  <si>
    <t xml:space="preserve">Front mount should be as low as possible to not interfere with the nose cone </t>
  </si>
  <si>
    <t>Consider as many loading scenerios as possible when doing FEA</t>
  </si>
  <si>
    <t xml:space="preserve">Rochelle </t>
  </si>
  <si>
    <t>Try to avoid using double u joint because they add complexity and weight</t>
  </si>
  <si>
    <t xml:space="preserve">Michael </t>
  </si>
  <si>
    <t>Evaluate current practices of brake bleeding. Maybe easier methods of bleeding brakes</t>
  </si>
  <si>
    <t>Make the decisions with the information that you have. A design can always be improved and you will often only have so much information available. Find all of the information that you can and don't be afraid to make a conclusive decision to avoid pushing back crucial deadlines. Obviously, if there is not enough information to make an educated decision, then wait until you can find enough or ask for help on making the decision</t>
  </si>
  <si>
    <t xml:space="preserve">Steering </t>
  </si>
  <si>
    <t>Fasteners in the steering system must be critical fasteners</t>
  </si>
  <si>
    <t>Design/3D printing</t>
  </si>
  <si>
    <t>Altough we use CAD to aid in design of parts. Parts may still not fit in real world setting as a result of factors 
that were not accounted for and will require more renditions</t>
  </si>
  <si>
    <t>Be aware of shortages of items that need to be purchased. If it can't be procured, its useless</t>
  </si>
  <si>
    <t>When selecting brake fluid be aware that although there are racing specfic fluids with better performance, 
they may not be as readily available as larger brands</t>
  </si>
  <si>
    <t xml:space="preserve">When procuring, verify the part numbers. It can be very easy to delete or input an incorrect part number. </t>
  </si>
  <si>
    <t>Ackerman steering mechanism reduces the friction and also reduces the steering effort and helps to take more sharp turns.</t>
  </si>
  <si>
    <t xml:space="preserve">Motor </t>
  </si>
  <si>
    <t xml:space="preserve">The motor size and power output should be reflective of the accumulator. A smaller motor may allow for a faster car. Additionally, if the accumulator cannot fully supply the motor, the ability to produce extra power from a large motor may go unused. </t>
  </si>
  <si>
    <t>Packaging is one of the biggest challenges of accumulator design, and is one of the most important considerations when selecting cells</t>
  </si>
  <si>
    <t>An understanding of STAR grounding an electrical interference in electric vechicles is key and should be considered early on</t>
  </si>
  <si>
    <t>Consider putting connectors in CAD in as many places as possible, as the distance they stick out of components is often forgotten about</t>
  </si>
  <si>
    <t xml:space="preserve">The accumulator side protection structure is meant to protect the batteries in the accumulator. The 2021 rule asked for a SIS like strucutre with the top tube below the upper SIS member or above the top of the accumulator, the 2022 rule required the entire upper tube to be at least 240mm higher than the lowest top surface of the lower SIS member. This will get more detailed in 2023. Read this rule carefully. confirm with others. and make sure you understand and apply it cause we had to get an exception to the rule in 2022 and that wont happen again. see frame deisgn binder 2021/2022 </t>
  </si>
  <si>
    <t>General - Communication</t>
  </si>
  <si>
    <t xml:space="preserve">By default, Slack only notifies @mentions on the app. It is wise to change notifications to all messages to not miss key communication from members and delay the workload because of not being notified. </t>
  </si>
  <si>
    <t>Mujtaba</t>
  </si>
  <si>
    <t>Using SolidWorks measure the approximate weight that the system would be. This will help in material selection in terms of the weight it would add to the system</t>
  </si>
  <si>
    <t>Try to avoid adding more to a design to solve a problem and making it more complex in the process. Instead, brainstorm for simpler alternatives that would not have the problems in the first place.</t>
  </si>
  <si>
    <t>When posting graphics make sure the photos on the graphic are edited to make it look as clean as possible</t>
  </si>
  <si>
    <t>ESF</t>
  </si>
  <si>
    <t>When inputting values, make sure you have an idea of what you should be aiming for. (Look for other entries in the ESF, verify with other teams)</t>
  </si>
  <si>
    <t>Ring Terminals are not usually current rated, only voltage rated and most of the time manufacturers don't know their current rating and just say "it's rated for the wire it accepts"</t>
  </si>
  <si>
    <t xml:space="preserve">UL has implemented a new card system for their 3D printing filaments. To guarantee that a 3D printed model has UL94-V0 properties its filament should have a UL blue card associated with it to tell you how to properly print with the filament. </t>
  </si>
  <si>
    <t>In our team fsaeonlince account there are two "team member" sections. One is for our previous IC cars (this has our old cost report and rules questions) and the top one if for our EV cars (this is the new one you should use to submit documents and fill out cost report). Make sure people only use the EV one (one at the top) to submit documents and use cost report. The IC one is only used to view our old cost report and rules questions</t>
  </si>
  <si>
    <t>George</t>
  </si>
  <si>
    <t>Don't weld the bulkhead until the pedal box tabs have been fully welded</t>
  </si>
  <si>
    <t>When welding a large sheet metal part, like the a steel accumulator it will warp and deflect a lot. You need to account for this when figure out the space in the accumulator for the modules. Add extra tacks to minimize deflection. Try to do symmetrical tacks or welding. If possible, Completely clamp the floor and weld the walls after. If you be can completely assembly the walls and tack everything together while locked to minimize deflection. Really think about the welding steps (which wall you will weld first) before finalizing the design. You need to determine this based on how much access you will have to make a full weld. Maybe consider using other fastening methods instead of welding</t>
  </si>
  <si>
    <t>Make sure all dxfs are reviewed by all the people that they effect. The accumulator walls were missing holes that cost us more time in manufacturing</t>
  </si>
  <si>
    <t>Be careful when using the tab and slot feature. Always double check the slots match the tabs</t>
  </si>
  <si>
    <t>Frame/ Manufacturing/ Drivetrain</t>
  </si>
  <si>
    <t>Luig/George</t>
  </si>
  <si>
    <t>make sure diff carrier frame mount holes are in the correct orientation when welding. if tube is upsidedown after you weld, you will have to re drill</t>
  </si>
  <si>
    <t>Manufacturing/ Accumulator</t>
  </si>
  <si>
    <t>George/Erica</t>
  </si>
  <si>
    <t>When welding a large and multiple sheet part, like the accumulator, you MUST have the cad open or a picture and drawing present to make sure you are welding things in the proper orientation. We welded the accumulator walls in the wrong order, causing us to have to make modifications to the walls to fix the holes for the wires. The walls were already fully welded so if we tried to cut them off, we would have ruined the whole accumulator container.</t>
  </si>
  <si>
    <t>make sure to order bolts and seals for the diff well before taking it apart so you have everything ready. Read the manual to make sure you have the correct gear oil</t>
  </si>
  <si>
    <t xml:space="preserve">making the radiator moutning tabs and drilling the holes in the tubes in house is not easy or quick. i would suggest properly cading the rad tabs and geting them laser cut. and getting the square tubes cut with the holes for the tabs in them. that way mocking them up is much faster. </t>
  </si>
  <si>
    <t>frame/ drivetrain</t>
  </si>
  <si>
    <t xml:space="preserve">make sure to double check any tube with a hole in it before welding it on the frame. VR3 welding the diff carrier tubes upside down so we had to weld them shut and redrill the holes which wasted a whole day. </t>
  </si>
  <si>
    <t>manufacturing</t>
  </si>
  <si>
    <t>ALWAYS measure and check cad before welding, even if you think you know the orientation or the order to weld something</t>
  </si>
  <si>
    <t>if you have a jig, make sure its useful and works as otherwise it wastes a lot of time. it needs to set the distance between parts but must also set the distance of a part relative to a fixed frame (datum)</t>
  </si>
  <si>
    <t>manufacturing/ welding</t>
  </si>
  <si>
    <t xml:space="preserve">michael </t>
  </si>
  <si>
    <t xml:space="preserve">ideally you want to tack and weld tabs when what ever you are mounting is bolted in. otherwise the tabs may deflect and you wont be able to get it in. this is true for the motor, suspension, diff carrier bolts, rad, etc. </t>
  </si>
  <si>
    <t>manfuacturing</t>
  </si>
  <si>
    <t>if you need to get the frame done to paint it and you are waiting on a laser cut order, you can make the tab in house, it will just be less accurate</t>
  </si>
  <si>
    <t>Accumulator/Testing</t>
  </si>
  <si>
    <t>When running tests (fusible link test or any tests in general), try and figure out how to use the equipment properly beforehand. We spent more time than we should have trying to setup the current clamp to work with the oscilloscope when trying to measure current.</t>
  </si>
  <si>
    <t>Design/GLV</t>
  </si>
  <si>
    <t>When programming microcontrollers like the VCU that have many functions, break your code up into
manageable chunks/make it modular within reason and test each function on it's own to verify what works and what dosn't. If you have many things that arn't working, it can be difficult to pinpoint exactly where the issue is coming from.</t>
  </si>
  <si>
    <t>When doing sensor calibration (APPS), make sure to define what your voltage operating ranges are based on rules + limits on what VCU can read beforehand.(VCU can only read up to ~2.9V) Spent too much time trying to empirically adjust the output voltage of each sensor, where these issues wouldn't have existed if the operating range/out of range values were choosen beforehand.</t>
  </si>
  <si>
    <t>Manufacturing/ welding/ procurement</t>
  </si>
  <si>
    <t>For anything that is welded and has a nut and a bolt, you need to order cheap regualr nuts for welding. you cannot use nylock lock nuts when welding because you destroy the nut and can cause a fire. so for example, when ordering bolts and nuts for the accumulator mounts, you should order the nylocks used to fasten it, and cheap regular nuts for welding (these will be used when fastening the accumulator into the car to mock up the mounts and weld them on the frame)</t>
  </si>
  <si>
    <t>bodywork/ nose cone/ quotes/ procurement</t>
  </si>
  <si>
    <t>it is extremely easy to delay sending out an order by 3-4 weeks or 2 months because of changes that need to be made to send things out. For ex: the nosecone quote was delayed by 2 months because we had to make little changes each week. this could have been avoided by doing one big review and making sure the changes are made within the week. also consider the time needed to make drawings, prepare step files and write the email. If this happens to the frame or other items, you can really delay the entire timeline</t>
  </si>
  <si>
    <t>manufacturing/welding</t>
  </si>
  <si>
    <t>you cannot "just weld" everything. welding takes a LOT of time and delays things because you have to weld everything before painting the frame. try to think of other methods to attach things and use it. riveting, using fasteners, etc. this is also true for welding on brackets for mounts</t>
  </si>
  <si>
    <t xml:space="preserve">when making the manufacturing timeline, consider what needs to be manufactured, built and assembled and include that into the timeline. For ex: the accumulator needs to be fully tacked or welded to weld the accumulator mounts on the frame, and drivetrain needs to be present to mock up the diff studs. </t>
  </si>
  <si>
    <t>manfuacturing/drivetrain</t>
  </si>
  <si>
    <t xml:space="preserve">make sure the leads have a clear understanding of the mounting method and make sure ALL FASTENERS are in cad. We had to cut off and re-weld the diff carrier studs 3 times this year, first because VR3 welded the tubes upsidedown so the hole pattern was wrong and then because the studs were too short. </t>
  </si>
  <si>
    <t>manufacturing/ design</t>
  </si>
  <si>
    <t xml:space="preserve">there needs to be more manufacturing centered reviews during design. there are so many assumptions we made in design that are causing us a lot of time and heart ache in manufaacturing. </t>
  </si>
  <si>
    <t>manfufacturing</t>
  </si>
  <si>
    <t xml:space="preserve">everything that needs to be laser cut or water jet to be welded on the frame or is needed to jig something that is welded on the frame needs to be sent out early and all together. We had to send multiple laser cut and water jet orders to get everything we needed to weld, and somethings were still sent out too late so we had to make them in house. Making tabs in house is not efficient. </t>
  </si>
  <si>
    <t xml:space="preserve">STANDARDIZE BOLT SIZES. either do all metric or all imperial. and try to have the same bolt sizes on all parts. there is no reason that one subystem or assembly has 5 different bolt sizes. </t>
  </si>
  <si>
    <t>manufacturing/ drivetrain</t>
  </si>
  <si>
    <t>be cautious of non symmetrical parts. make sure both the left and right side of the part is sent for laser cuting or water jetting with different names. This year we had 6 of the right side jacking bar plates. but the right and left are not symmetrical, so we had to make them in house which took a lot longer and delayed preping other things for welding</t>
  </si>
  <si>
    <t>manufacturing/ welding/ argon</t>
  </si>
  <si>
    <t>to order Argon, go talk to Alan. He will basically order it for us and exchange the tanks we have in the shop. DO NOT ORDER IT ON YOUR OWN. otherwise you have to have someone pay the $300 deposit per tank which you only get back when u return the tanks, which is also a lot of work and sketchy to do</t>
  </si>
  <si>
    <t>shop/ project management</t>
  </si>
  <si>
    <t>is something is wrong, brocken or damaged in the shop and it wasnt the teams fault, ask Rose is there is a way for the school to fix or replace it. We shouldnt have to work with brocken things and we should have to take basic necessities out of our budget. For ex: two of our cabinets were broken and it risks the cabinets falling over on someone because the drawers wouldnt locked so I asked Rose if the school could cover replacements and we got them replaced. We also had a leak in the shop that destroyed one of our computers so Rose replaced it for us. Dont take adavantage of this but also dont live with things that are broken and cause more work for yoruself</t>
  </si>
  <si>
    <t>procurement/ design/ sponsorship</t>
  </si>
  <si>
    <t>when selecting components, materials or anythig we have to purchase, each lead should always attempt for sponsorship first. This could be asking the company to donate the component or provide a discount. A discount is still sponsorship, especially if we need it and plan to buy it anyway. A lot of companies has student discounts or fsae discounts. For ex: we got 50% off all our wiha insulated tools</t>
  </si>
  <si>
    <t>manufacturing/ frame sub items</t>
  </si>
  <si>
    <t xml:space="preserve">laser cut and water jet cannot cut 0.025" material. </t>
  </si>
  <si>
    <t>if there is a part or parts that require a sponsor to manufacturing them or requires a large manufacturing effort from a sponsor, you NEED to talk to the sponsor in advance. You need to confirm and get them to commit to doing the work. you need to make sure they are able to handle the volume or number of parts. you need to see if there are any design changes that you need to make to improve manufacturability. and you need to see if what you want to do is even possible. For outboards, we wanted to make titanium hubs, we got the material and designed them, but all our manufacturing sponsors said it was too hard to machine so they couldnt make it. For accumulator, we just assumed we could 3D print 120 battery modules our selves or a sponsor would help, but we never got a sponsor to commit, so we ended up taking 2 months to get them and we have to pay $4k to get 50 of the printed and then tried to print the rest from home. this severly delayed our timeline. For water jet and laser cut, some materials they cannot cut. like Almac wont do aluminum and waterjet and laser cut cant cut really thing materials. so you should ask them ahead of time so they dont send it back and then we have to make it</t>
  </si>
  <si>
    <t>controls/dash/ sheet metal manufacturing</t>
  </si>
  <si>
    <t>Certain considerations need to be made when designing a sheet metal part that has bends. Some items are, if there is a bend close to a hole, a refief notch needs to be added so when the hole does not distort when you bend. If there is a large cut out in the part, you will have a problem bending it because there is not material towork with (large holes will result in the part distoring). Make sure to leave clearnae, at least half an inch or more, between the bend line and other feature</t>
  </si>
  <si>
    <t>Controls, dash</t>
  </si>
  <si>
    <t>we had multiple problems when manufacturing the RF-22 dash. We tried to print a drawing from cad to mark the bend lines but the drawing was off. The drawing was printed upside down and cad wasnt checked, too the bends were the wrong way resulting in the dash being upside down (this affects the drivers cause they are trained with the E stop on the right). there was a bend very close to holes and the holes distored. a relief notch was added and the holes didnt distort further. There was a large hole for the electronic dash which removed a lot of material and left a really small ledge that would not bend because it was so small. The dash didnt fit very well in the frame after bending. The dash had to be re-bent because it was upside down. the moutning solution was also changed in the shop. originally riveting was chosen but the dash did not mate with the frame well so it was decided to zip tie it. new holes had to be drilled. The tsal and other lights hole sizes were known so we had to drill those out in house (takes more time, measurements could have been done before hand to put into the dxf). Future designs should depend less on the frame and should be easier to adjust or modify</t>
  </si>
  <si>
    <t>Firewall/ frame sub items</t>
  </si>
  <si>
    <t>Design/Competition/Michigan/ Team Captain</t>
  </si>
  <si>
    <t>the spec sheet and ESF need to be filled out at the end of design in the summer. The design briefing powerpoint is a lot more work the the previous document so it should be started well in advance. Probably done over winter break. I only looked at it 3 weeks before the deadline which is on the day of my last exam which was not smart</t>
  </si>
  <si>
    <t>design/competition/design briefing</t>
  </si>
  <si>
    <t>dont start the design briefing and spec sheet at the beginning of final exams. spec sheet should be done at the end of design and the design briefing over winter break. it is a lot more work than it used to be. also make sure to have an entuire team help you. there should be 1-2 people per section of the design brief powerpoint</t>
  </si>
  <si>
    <t>Accumulator. Fusible links</t>
  </si>
  <si>
    <t>Erica/Edward</t>
  </si>
  <si>
    <t>need an accurate way of cutting the nickle strips for the fusible links cause the width needs to be very precise and we need a lot of them so its very time consuming</t>
  </si>
  <si>
    <t>frame/brakes/controls</t>
  </si>
  <si>
    <t>if the front bulkhead is large and requires by rules a diagonal member, make sure the diagonal member goes from the bottom left to the top right, allowing full travel for the brake pedal. otherwise it is difficult to fully bleed brakes. although confirm this will not be a problem with throttle travel first with controls</t>
  </si>
  <si>
    <t>design/bolts</t>
  </si>
  <si>
    <t>BOLTS AND NUTS NEED TO BE IN CAD SO YOU CAN PROPERLY SIZE THE LENGH AND MAKE SURE IT IS NOT TOO LONG TO HIT SOMETHING AND NOT TO SHORT. TWO THREADS MINIMUM MUST SHOW</t>
  </si>
  <si>
    <t>manufacturing/GLV</t>
  </si>
  <si>
    <t>When plugging in electrical connections, ALWAYS make sure the wiring connections are correct before turning on/applying power. Ended up frying the VCU during testing, since accidently plugged in 12V to one of the pins to simulate high signal, thinking it was 5V. Could have easily been avoided if just double checked connections.</t>
  </si>
  <si>
    <t>Design/bolts</t>
  </si>
  <si>
    <t>Don't use M3 bolts to mount enclosures, use M4 minimum and Hex heads are probably easiest (depending on mounting position)</t>
  </si>
  <si>
    <t xml:space="preserve">Confirm physical measurements of a part, before designing an enclosure or mount for it, do NOT just trust the websites downloadable CAD file </t>
  </si>
  <si>
    <t>Manufacturing Nosecone</t>
  </si>
  <si>
    <t xml:space="preserve">When sanding corners or contoured edges with an orbital, use a sanding disk with a sponge between the disk and orbital to get a smooth finish  </t>
  </si>
  <si>
    <t xml:space="preserve">The first layer of the female mold is the most important, make sure to get a smooth and tight first layer, so less sanding and fill-up of holes is required </t>
  </si>
  <si>
    <t xml:space="preserve">Try to always use microballoons and cabosil + epoxy to fill up holes, rather than spot putty  </t>
  </si>
  <si>
    <t xml:space="preserve">If spot putty is used to fill in holes in the spot putty, then apply very thin layers because it'll take SIGNIFICANTLY less time for it to dry, then reapply until the hole is filled (I found that you can wet sand thin layers after 5 minutes of applying) </t>
  </si>
  <si>
    <t xml:space="preserve">If the nosecone has scratches/ white lines? Apply epoxy over the entire nosecone and the marks will go away (apply it all over the nosecone so there's an even amount of epoxy all over) </t>
  </si>
  <si>
    <t>Design/manufacturing</t>
  </si>
  <si>
    <t>Ensuring 3d printer enclosures are waterproof by doing a water test, apply epoxy around the outside or anneal the enclosure if needed</t>
  </si>
  <si>
    <t>Like space out your drinks a little bit</t>
  </si>
  <si>
    <t>Communication</t>
  </si>
  <si>
    <t>USE SLACK CHANNELS NOT DMS UNLESS IT"S ACTUALLY PRIVATE. Impossible to have knowledge of like anything thats going on without bugging the **** out of everyone without this</t>
  </si>
  <si>
    <t>We either need a slack sponsorship (to get premium) or use a different platform</t>
  </si>
  <si>
    <t>It is really important to have sensors on the car if it is running, get VD team to figure this out if electrical team is busy, sensors can be cheap; it's better than nothing. Having the sensors helps not only for knowledge of that specific car but for VD knowledge in general. Look at past sensor data if it's not possible to get sensor data from current car</t>
  </si>
  <si>
    <t>Knowledge Transfer</t>
  </si>
  <si>
    <t>Keep alumni in the loop (like me pls) and get their advice whenever possible if they are willing; do frequent design reviews or something</t>
  </si>
  <si>
    <t>Planning</t>
  </si>
  <si>
    <t>Keep your third eye on the tracker and update it frequently</t>
  </si>
  <si>
    <t>Rendering</t>
  </si>
  <si>
    <t>Make sure to render the high quality renders although it takes time. Its better to wait for better render results than to render lower quality. The 30 fps is the ideal option for video renders as it produces good end result.</t>
  </si>
  <si>
    <t>Business presentation</t>
  </si>
  <si>
    <t>Every logo on the car is seen as a resource use them to your advantage, ask them questions</t>
  </si>
  <si>
    <t>Short stories, story telling is great to try to sell something, makes a personal connection</t>
  </si>
  <si>
    <t>Wear all black, monochromatic looks more professional and is proved to help calm you down</t>
  </si>
  <si>
    <t>Never say thank you on the last slide, don't open it up for questions assume you've given a presentation for no questions, conclude it instead</t>
  </si>
  <si>
    <t>5 by 5 rule, 5 bullet points, 5 words</t>
  </si>
  <si>
    <t>Make sure font is bigger than 28</t>
  </si>
  <si>
    <t>isabelle</t>
  </si>
  <si>
    <t xml:space="preserve">Always introduce yourself to board of directors, e.g chief marketing officer, helps direct questions </t>
  </si>
  <si>
    <t>When refering tomarketing use social media platform insights, shows target audience, age range, and location (use a table to show this information not a screenshot)</t>
  </si>
  <si>
    <t>For business recruitment go to classes to talk to students, ask professor if they can do something for extra credit, e.g graphic design helps make a poster</t>
  </si>
  <si>
    <t>Fill out a skill set when hiring to have them rank themselves</t>
  </si>
  <si>
    <t>Make SAE sound relevant outside of engineering, mention big companies we work with</t>
  </si>
  <si>
    <t>Use a barcode for students to access form quickly</t>
  </si>
  <si>
    <t>Outreach</t>
  </si>
  <si>
    <t>Use other school teams to your advantage e.g TMAV (drone team), invite them to testing to film content for you and them, looks good to the school</t>
  </si>
  <si>
    <t>Always consult about your design dimensions with an upper lead before 3D printing. Saves time and effort to redesign a new one because our own idea doesnt work out.</t>
  </si>
  <si>
    <t>Take the time to talk to other teams about business strategies</t>
  </si>
  <si>
    <t>Talk to co-op and the companies they deal with</t>
  </si>
  <si>
    <t>Use DM's to reach out to companies</t>
  </si>
  <si>
    <t>Find personal work emails to connect to sponsors</t>
  </si>
  <si>
    <t xml:space="preserve">sponsorship </t>
  </si>
  <si>
    <t>If we've been buying products from a company for a while mention how we've been a loyal customer to get a discount</t>
  </si>
  <si>
    <t>Use alumni to your advantage</t>
  </si>
  <si>
    <t>If we're still a car company mention that you own the vehicle and how you did field testing</t>
  </si>
  <si>
    <t xml:space="preserve">Canadian vs American spelling, make it consistent </t>
  </si>
  <si>
    <t xml:space="preserve">Use powerpoint tool to highlight data to give graph suggestions </t>
  </si>
  <si>
    <t xml:space="preserve">Put laptop on do not disturb </t>
  </si>
  <si>
    <t>what you plan to be is good. but scale it back to what your doing now and in the past and what you want to do to fix things</t>
  </si>
  <si>
    <t>business presentation</t>
  </si>
  <si>
    <t>Mention safety for workers, what are the problems of EV vehicles</t>
  </si>
  <si>
    <t>If online again, use e charisma for zoom calls, gesture in front of rib cage</t>
  </si>
  <si>
    <t>Matthew/Luigi</t>
  </si>
  <si>
    <t>Find wider inboard control arm bearings to avoid the use of washers</t>
  </si>
  <si>
    <t>When tacking tabs onto frame, use a slightly wider spacer than needed to avoid clamping whatever is rotating</t>
  </si>
  <si>
    <t>Do more analysis to justify design decisions such as aiming for a specific track width or motion ratio, for example ChassisSim, yaw moment diagrams</t>
  </si>
  <si>
    <t>Set up multibody model to simulate suspension linkage movement and plot results, such as in Simscape Multibody</t>
  </si>
  <si>
    <t>For teams new to VD simulation, use existing software rather than trying to create our own for understanding</t>
  </si>
  <si>
    <t>manufacturing/ testing</t>
  </si>
  <si>
    <t>Always read and re-read instructions carefully before doing testing procedures and think through what you are doing before you actually do it. All it takes is one wrong connection or short to occur to fry equipment.</t>
  </si>
  <si>
    <t>When working on software / firmware, always have the code that you know works stored somewhere, so you can revert back to something if you broke it after making a change. (i.e Use Github)</t>
  </si>
  <si>
    <t>Jeff</t>
  </si>
  <si>
    <t>Consideration should be given to eventual HV wire routing while designing relevant parts of the frame e.g. motor controller shelf on tm-23</t>
  </si>
  <si>
    <t>When re-flashing thermister expansion modules make sure it is a .txt file! not hex</t>
  </si>
  <si>
    <t>When re-flashing the thermister modules, make sure no other components are on the same CAN line</t>
  </si>
  <si>
    <t xml:space="preserve">When wiring devices up that communicate with eachother, ALWAYS make sure the ground (GND) lines are connected together. (I.e CAN GND on one device needst to be connected to CAN GND on the other device.) Voltages always need to be measured against a reference point (i.e ground) </t>
  </si>
  <si>
    <t>First step to solving a problem is figuring out whether the problem even needs to be solved or not. Time can be wasted on trying to solve a problem that dosn't need to exist in the first place / isn't actually a problem.</t>
  </si>
  <si>
    <t>Electric Powertrain / Software</t>
  </si>
  <si>
    <t>First time you write software it probably isn't the best. It is better to write quick functional code that can be tested and can get feedback on and make itertations on, then trying to write perfect code the first time.</t>
  </si>
  <si>
    <t>For any big designs/redesigns, these should planned out well in advance before undertaking them. Figure out the designs objectives, goals, major milestones any lead times expected and hash it out as early as possible. Your plan should have decision-making built into it, to figure out how to progress if things need to change. (I.e If we are able to complete X by certain deadline then we should do Y, otherwise should do Z). Last thing you want it to be stuck having to fix a design with limited time and resources because it wasn't planned out properly in advance.</t>
  </si>
  <si>
    <t>Send Out</t>
  </si>
  <si>
    <t>Hold a meeting to go over the sendout etiquette &amp; how to create drawings and DXF's PRIOR to starting the files</t>
  </si>
  <si>
    <t>Have all system leads re-iterate to their leads that pdf drawings &amp; files NEED to be placed into the send-out folder NOT KEPT IN THEIR INDIVIDUAL FOLDERS IN THE CAD FOLDER</t>
  </si>
  <si>
    <t>Double check all metal dimensions that someone else labelled - NEED to have the correct metal &amp; files going to sponsors</t>
  </si>
  <si>
    <t>Approved?</t>
  </si>
  <si>
    <t>Total Cost (CAD)</t>
  </si>
  <si>
    <t>Option 2</t>
  </si>
  <si>
    <t>Purchase or Sponsor</t>
  </si>
  <si>
    <t>Plan</t>
  </si>
  <si>
    <t>Delivered</t>
  </si>
  <si>
    <t xml:space="preserve">PURCHASER: </t>
  </si>
  <si>
    <t xml:space="preserve">Shipping Cost: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</si>
</sst>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d"/>
    <numFmt numFmtId="165" formatCode="mmm&quot;-&quot;d"/>
    <numFmt numFmtId="166" formatCode="&quot;$&quot;#,##0.00"/>
    <numFmt numFmtId="167" formatCode="yyyy-mm-dd"/>
    <numFmt numFmtId="168" formatCode="&quot;$&quot;#,##0"/>
    <numFmt numFmtId="169" formatCode="m/d"/>
  </numFmts>
  <fonts count="196">
    <font>
      <sz val="10.0"/>
      <color rgb="FF000000"/>
      <name val="Arial"/>
      <scheme val="minor"/>
    </font>
    <font>
      <color theme="1"/>
      <name val="Arial"/>
      <scheme val="minor"/>
    </font>
    <font/>
    <font>
      <b/>
      <color theme="1"/>
      <name val="Arial"/>
      <scheme val="minor"/>
    </font>
    <font>
      <color theme="1"/>
      <name val="Arial"/>
    </font>
    <font>
      <sz val="9.0"/>
      <color theme="1"/>
      <name val="Arial"/>
      <scheme val="minor"/>
    </font>
    <font>
      <color rgb="FF000000"/>
      <name val="Arial"/>
      <scheme val="minor"/>
    </font>
    <font>
      <sz val="10.0"/>
      <color theme="1"/>
      <name val="Arial"/>
      <scheme val="minor"/>
    </font>
    <font>
      <color rgb="FF3D85C6"/>
      <name val="Arial"/>
      <scheme val="minor"/>
    </font>
    <font>
      <b/>
      <u/>
      <color theme="1"/>
      <name val="Arial"/>
      <scheme val="minor"/>
    </font>
    <font>
      <b/>
      <color theme="1"/>
      <name val="Arial"/>
    </font>
    <font>
      <b/>
      <sz val="20.0"/>
      <color theme="1"/>
      <name val="Arial"/>
      <scheme val="minor"/>
    </font>
    <font>
      <u/>
      <color rgb="FF0000FF"/>
      <name val="Arial"/>
    </font>
    <font>
      <u/>
      <color rgb="FF0000FF"/>
    </font>
    <font>
      <b/>
      <sz val="20.0"/>
      <color theme="1"/>
      <name val="Arial"/>
    </font>
    <font>
      <b/>
      <sz val="10.0"/>
      <color theme="1"/>
      <name val="Arial"/>
      <scheme val="minor"/>
    </font>
    <font>
      <b/>
      <sz val="18.0"/>
      <color theme="1"/>
      <name val="Arial"/>
    </font>
    <font>
      <b/>
      <u/>
      <color rgb="FF0000FF"/>
      <name val="Arial"/>
    </font>
    <font>
      <i/>
      <color theme="1"/>
      <name val="Arial"/>
    </font>
    <font>
      <i/>
      <color theme="1"/>
      <name val="Arial"/>
      <scheme val="minor"/>
    </font>
    <font>
      <i/>
      <u/>
      <color rgb="FF0000FF"/>
    </font>
    <font>
      <b/>
      <sz val="12.0"/>
      <color theme="1"/>
      <name val="Arial"/>
    </font>
    <font>
      <u/>
      <color rgb="FF0000FF"/>
      <name val="Arial"/>
    </font>
    <font>
      <u/>
      <color theme="1"/>
      <name val="Arial"/>
    </font>
    <font>
      <u/>
      <color theme="1"/>
      <name val="Arial"/>
    </font>
    <font>
      <u/>
      <color rgb="FF0000FF"/>
      <name val="Arial"/>
    </font>
    <font>
      <u/>
      <color rgb="FF0000FF"/>
      <name val="Arial"/>
    </font>
    <font>
      <sz val="10.0"/>
      <color theme="1"/>
      <name val="Arial"/>
    </font>
    <font>
      <u/>
      <color rgb="FF0000FF"/>
      <name val="Arial"/>
    </font>
    <font>
      <sz val="9.0"/>
      <color rgb="FF000000"/>
      <name val="&quot;Google Sans Mono&quot;"/>
    </font>
    <font>
      <u/>
      <color theme="1"/>
      <name val="Arial"/>
    </font>
    <font>
      <b/>
      <sz val="10.0"/>
      <color theme="1"/>
      <name val="Arial"/>
    </font>
    <font>
      <u/>
      <color rgb="FF0000FF"/>
      <name val="Arial"/>
    </font>
    <font>
      <color rgb="FF627792"/>
      <name val="Roboto"/>
    </font>
    <font>
      <u/>
      <color rgb="FF0000FF"/>
    </font>
    <font>
      <color rgb="FF14181E"/>
      <name val="Roboto"/>
    </font>
    <font>
      <u/>
      <color rgb="FF1155CC"/>
      <name val="Arial"/>
    </font>
    <font>
      <b/>
      <color rgb="FF14181E"/>
      <name val="Roboto"/>
    </font>
    <font>
      <u/>
      <color rgb="FF0000FF"/>
    </font>
    <font>
      <u/>
      <color rgb="FF0000FF"/>
    </font>
    <font>
      <sz val="11.0"/>
      <color rgb="FF707070"/>
      <name val="Lato"/>
    </font>
    <font>
      <u/>
      <color rgb="FF0000FF"/>
      <name val="Arial"/>
    </font>
    <font>
      <u/>
      <color rgb="FF1155CC"/>
      <name val="Arial"/>
    </font>
    <font>
      <color rgb="FF0F1111"/>
      <name val="&quot;Amazon Ember&quot;"/>
    </font>
    <font>
      <color rgb="FF0F1111"/>
      <name val="Arial"/>
    </font>
    <font>
      <sz val="11.0"/>
      <color rgb="FF0F1111"/>
      <name val="&quot;Amazon Ember&quot;"/>
    </font>
    <font>
      <u/>
      <color rgb="FF0000FF"/>
    </font>
    <font>
      <color rgb="FF212529"/>
      <name val="Poppinssemibold"/>
    </font>
    <font>
      <u/>
      <color rgb="FF0F1111"/>
      <name val="&quot;Amazon Ember&quot;"/>
    </font>
    <font>
      <sz val="9.0"/>
      <color theme="1"/>
      <name val="Arial"/>
    </font>
    <font>
      <u/>
      <color rgb="FF0000FF"/>
    </font>
    <font>
      <u/>
      <color theme="1"/>
      <name val="Arial"/>
      <scheme val="minor"/>
    </font>
    <font>
      <u/>
      <color rgb="FF1155CC"/>
      <name val="Arial"/>
    </font>
    <font>
      <u/>
      <color rgb="FF1155CC"/>
      <name val="Arial"/>
    </font>
    <font>
      <u/>
      <color rgb="FF1155CC"/>
      <name val="Arial"/>
    </font>
    <font>
      <u/>
      <color rgb="FF0000FF"/>
      <name val="Arial"/>
    </font>
    <font>
      <sz val="9.0"/>
      <color rgb="FF333333"/>
      <name val="HelveticaNeueeTextPro-Roman"/>
    </font>
    <font>
      <u/>
      <color rgb="FF1155CC"/>
      <name val="Arial"/>
    </font>
    <font>
      <u/>
      <color rgb="FF1155CC"/>
      <name val="Arial"/>
    </font>
    <font>
      <b/>
      <u/>
      <color rgb="FF0000FF"/>
      <name val="Arial"/>
    </font>
    <font>
      <i/>
      <u/>
      <color rgb="FF0000FF"/>
    </font>
    <font>
      <strike/>
      <color rgb="FFFFFFFF"/>
      <name val="Arial"/>
      <scheme val="minor"/>
    </font>
    <font>
      <strike/>
      <color rgb="FFFFFFFF"/>
    </font>
    <font>
      <color rgb="FFFFFFFF"/>
      <name val="Arial"/>
      <scheme val="minor"/>
    </font>
    <font>
      <u/>
      <color rgb="FF1155CC"/>
      <name val="Arial"/>
    </font>
    <font>
      <u/>
      <color rgb="FF0000FF"/>
    </font>
    <font>
      <u/>
      <color rgb="FF0000FF"/>
    </font>
    <font>
      <u/>
      <color rgb="FF0000FF"/>
    </font>
    <font>
      <u/>
      <color rgb="FF0000FF"/>
    </font>
    <font>
      <sz val="10.0"/>
      <color rgb="FF333333"/>
      <name val="Arial"/>
    </font>
    <font>
      <sz val="10.0"/>
      <color rgb="FF000000"/>
      <name val="Arial"/>
    </font>
    <font>
      <b/>
      <sz val="10.0"/>
      <color rgb="FF000000"/>
      <name val="Arial"/>
    </font>
    <font>
      <u/>
      <color rgb="FF0000FF"/>
    </font>
    <font>
      <b/>
      <sz val="9.0"/>
      <color rgb="FF333333"/>
      <name val="Arial"/>
    </font>
    <font>
      <u/>
      <sz val="12.0"/>
      <color rgb="FF1155CC"/>
      <name val="&quot;Times New Roman&quot;"/>
    </font>
    <font>
      <color theme="1"/>
      <name val="Roboto"/>
    </font>
    <font>
      <sz val="8.0"/>
      <color theme="1"/>
      <name val="Arial"/>
    </font>
    <font>
      <sz val="9.0"/>
      <color theme="1"/>
      <name val="&quot;Google Sans Mono&quot;"/>
    </font>
    <font>
      <b/>
      <sz val="11.0"/>
      <color rgb="FF2A2D34"/>
      <name val="Cabin"/>
    </font>
    <font>
      <sz val="11.0"/>
      <color rgb="FF2A2D34"/>
      <name val="Cabin"/>
    </font>
    <font>
      <sz val="9.0"/>
      <color rgb="FF333333"/>
      <name val="HelveticaNeueeTextPro-Md"/>
    </font>
    <font>
      <color rgb="FF000000"/>
    </font>
    <font>
      <b/>
      <sz val="10.0"/>
      <color rgb="FF0F1111"/>
      <name val="Arial"/>
    </font>
    <font>
      <strike/>
      <color theme="1"/>
      <name val="Arial"/>
    </font>
    <font>
      <strike/>
      <color theme="1"/>
      <name val="Arial"/>
      <scheme val="minor"/>
    </font>
    <font>
      <u/>
      <color rgb="FF0000FF"/>
    </font>
    <font>
      <u/>
      <color rgb="FF0000FF"/>
    </font>
    <font>
      <sz val="10.0"/>
      <color rgb="FFFFFFFF"/>
      <name val="Arial"/>
      <scheme val="minor"/>
    </font>
    <font>
      <u/>
      <color rgb="FFFFFFFF"/>
    </font>
    <font>
      <u/>
      <sz val="9.0"/>
      <color rgb="FF0000FF"/>
    </font>
    <font>
      <u/>
      <color rgb="FF1155CC"/>
      <name val="Arial"/>
    </font>
    <font>
      <sz val="10.0"/>
      <color rgb="FF333333"/>
      <name val="Arial"/>
      <scheme val="minor"/>
    </font>
    <font>
      <u/>
      <color rgb="FF0000FF"/>
    </font>
    <font>
      <u/>
      <color rgb="FF0000FF"/>
    </font>
    <font>
      <u/>
      <color rgb="FF0000FF"/>
    </font>
    <font>
      <u/>
      <color rgb="FF0000FF"/>
    </font>
    <font>
      <sz val="9.0"/>
      <color rgb="FF333333"/>
      <name val="Arial"/>
    </font>
    <font>
      <i/>
      <u/>
      <color rgb="FF0000FF"/>
      <name val="Arial"/>
    </font>
    <font>
      <u/>
      <color rgb="FF0000FF"/>
      <name val="Arial"/>
    </font>
    <font>
      <sz val="10.0"/>
      <color rgb="FF3B3B3B"/>
      <name val="Arial"/>
    </font>
    <font>
      <color rgb="FF000000"/>
      <name val="Arial"/>
    </font>
    <font>
      <u/>
      <color rgb="FF0000FF"/>
      <name val="Arial"/>
    </font>
    <font>
      <color rgb="FF333333"/>
      <name val="Arial"/>
    </font>
    <font>
      <u/>
      <color rgb="FF0000FF"/>
      <name val="Arial"/>
    </font>
    <font>
      <u/>
      <color rgb="FF0000FF"/>
    </font>
    <font>
      <u/>
      <color rgb="FF0000FF"/>
    </font>
    <font>
      <u/>
      <color rgb="FF0000FF"/>
      <name val="Arial"/>
    </font>
    <font>
      <u/>
      <color theme="1"/>
      <name val="Arial"/>
    </font>
    <font>
      <u/>
      <color rgb="FF1155CC"/>
      <name val="Arial"/>
    </font>
    <font>
      <u/>
      <color rgb="FF0000FF"/>
      <name val="Arial"/>
    </font>
    <font>
      <u/>
      <color theme="1"/>
      <name val="Arial"/>
    </font>
    <font>
      <u/>
      <color rgb="FF1155CC"/>
      <name val="Arial"/>
    </font>
    <font>
      <sz val="11.0"/>
      <color rgb="FF333333"/>
      <name val="&quot;Amazon Ember&quot;"/>
    </font>
    <font>
      <u/>
      <color rgb="FF1155CC"/>
      <name val="Arial"/>
    </font>
    <font>
      <sz val="11.0"/>
      <color rgb="FF444746"/>
      <name val="&quot;Google Sans&quot;"/>
    </font>
    <font>
      <u/>
      <color rgb="FF0000FF"/>
      <name val="Arial"/>
    </font>
    <font>
      <u/>
      <color rgb="FF0000FF"/>
      <name val="Arial"/>
    </font>
    <font>
      <sz val="11.0"/>
      <color rgb="FF333333"/>
      <name val="Arial"/>
    </font>
    <font>
      <sz val="11.0"/>
      <color rgb="FF222222"/>
      <name val="Roboto"/>
    </font>
    <font>
      <u/>
      <color rgb="FF0000FF"/>
      <name val="Arial"/>
    </font>
    <font>
      <sz val="12.0"/>
      <color rgb="FF000000"/>
      <name val="Roboto-Regular"/>
    </font>
    <font>
      <u/>
      <color rgb="FF1155CC"/>
      <name val="Arial"/>
    </font>
    <font>
      <u/>
      <color theme="1"/>
      <name val="Arial"/>
    </font>
    <font>
      <u/>
      <color theme="1"/>
      <name val="Arial"/>
    </font>
    <font>
      <u/>
      <color rgb="FF0000FF"/>
      <name val="Arial"/>
    </font>
    <font>
      <u/>
      <color theme="1"/>
      <name val="Arial"/>
    </font>
    <font>
      <u/>
      <color theme="1"/>
      <name val="Arial"/>
    </font>
    <font>
      <u/>
      <color rgb="FF0000FF"/>
    </font>
    <font>
      <sz val="9.0"/>
      <color rgb="FF222222"/>
      <name val="Roboto"/>
    </font>
    <font>
      <u/>
      <color rgb="FF0000FF"/>
    </font>
    <font>
      <u/>
      <color rgb="FF0000FF"/>
    </font>
    <font>
      <color rgb="FF212529"/>
      <name val="-apple-system"/>
    </font>
    <font>
      <u/>
      <color rgb="FF0000FF"/>
    </font>
    <font>
      <u/>
      <color rgb="FF0000FF"/>
    </font>
    <font>
      <u/>
      <color rgb="FF0000FF"/>
    </font>
    <font>
      <u/>
      <color rgb="FF0000FF"/>
      <name val="Arial"/>
    </font>
    <font>
      <u/>
      <color rgb="FF0000FF"/>
    </font>
    <font>
      <u/>
      <color rgb="FF0000FF"/>
      <name val="Arial"/>
    </font>
    <font>
      <color rgb="FF0000FF"/>
      <name val="Arial"/>
    </font>
    <font>
      <u/>
      <color theme="1"/>
      <name val="Arial"/>
    </font>
    <font>
      <color rgb="FF434343"/>
      <name val="Roboto"/>
    </font>
    <font>
      <u/>
      <color theme="1"/>
      <name val="Arial"/>
    </font>
    <font>
      <u/>
      <color rgb="FF0000FF"/>
      <name val="Arial"/>
    </font>
    <font>
      <u/>
      <color rgb="FF0000FF"/>
    </font>
    <font>
      <sz val="9.0"/>
      <color theme="1"/>
      <name val="HelveticaNeueeTextPro-Roman"/>
    </font>
    <font>
      <u/>
      <color theme="1"/>
      <name val="Arial"/>
      <scheme val="minor"/>
    </font>
    <font>
      <u/>
      <color theme="1"/>
      <name val="Arial"/>
    </font>
    <font>
      <sz val="12.0"/>
      <color theme="1"/>
      <name val="Verdana"/>
    </font>
    <font>
      <u/>
      <color theme="1"/>
      <name val="Arial"/>
    </font>
    <font>
      <u/>
      <color theme="1"/>
      <name val="Arial"/>
      <scheme val="minor"/>
    </font>
    <font>
      <sz val="11.0"/>
      <color theme="1"/>
      <name val="Arial"/>
      <scheme val="minor"/>
    </font>
    <font>
      <b/>
      <color rgb="FF333333"/>
      <name val="Inherit"/>
    </font>
    <font>
      <sz val="10.0"/>
      <color rgb="FF000000"/>
      <name val="DINNextLTPro-Medium"/>
    </font>
    <font>
      <strike/>
      <sz val="11.0"/>
      <color rgb="FF707070"/>
      <name val="Lato"/>
    </font>
    <font>
      <b/>
      <sz val="14.0"/>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1155CC"/>
      <name val="Arial"/>
    </font>
    <font>
      <u/>
      <color rgb="FF0000FF"/>
      <name val="Arial"/>
    </font>
    <font>
      <u/>
      <color rgb="FF1155CC"/>
      <name val="Arial"/>
    </font>
    <font>
      <u/>
      <color rgb="FF0000FF"/>
    </font>
    <font>
      <u/>
      <color rgb="FF1155CC"/>
      <name val="Arial"/>
    </font>
    <font>
      <u/>
      <color rgb="FF0000FF"/>
    </font>
    <font>
      <u/>
      <color rgb="FF0000FF"/>
    </font>
    <font>
      <u/>
      <color rgb="FF0000FF"/>
    </font>
    <font>
      <b/>
      <u/>
      <sz val="18.0"/>
      <color rgb="FF0000FF"/>
    </font>
    <font>
      <b/>
      <sz val="12.0"/>
      <color theme="1"/>
      <name val="Arial"/>
      <scheme val="minor"/>
    </font>
    <font>
      <u/>
      <color theme="1"/>
      <name val="Arial"/>
      <scheme val="minor"/>
    </font>
    <font>
      <color rgb="FF202124"/>
      <name val="Roboto"/>
    </font>
    <font>
      <sz val="11.0"/>
      <color rgb="FF000000"/>
      <name val="Arial"/>
    </font>
    <font>
      <sz val="7.0"/>
      <color theme="1"/>
      <name val="Arial"/>
      <scheme val="minor"/>
    </font>
    <font>
      <sz val="11.0"/>
      <color rgb="FF1D1C1D"/>
      <name val="Arial"/>
    </font>
    <font>
      <sz val="12.0"/>
      <color rgb="FF000000"/>
      <name val="&quot;Times New Roman&quot;"/>
    </font>
    <font>
      <sz val="11.0"/>
      <color rgb="FF000000"/>
      <name val="Arial"/>
      <scheme val="minor"/>
    </font>
    <font>
      <sz val="12.0"/>
      <color rgb="FF000000"/>
      <name val="AvantGardeGothic"/>
    </font>
    <font>
      <sz val="11.0"/>
      <color rgb="FF000000"/>
      <name val="Roboto"/>
    </font>
    <font>
      <sz val="11.0"/>
      <color rgb="FF222222"/>
      <name val="Rubik"/>
    </font>
    <font>
      <color rgb="FF222222"/>
      <name val="Rubik"/>
    </font>
    <font>
      <u/>
      <color rgb="FF1155CC"/>
      <name val="Arial"/>
      <scheme val="minor"/>
    </font>
    <font>
      <sz val="11.0"/>
      <color rgb="FF404040"/>
      <name val="&quot;Maven Pro&quot;"/>
    </font>
    <font>
      <u/>
      <sz val="12.0"/>
      <color rgb="FF000000"/>
      <name val="&quot;Times New Roman&quot;"/>
    </font>
    <font>
      <sz val="14.0"/>
      <color rgb="FFFFFFFF"/>
      <name val="Arial"/>
      <scheme val="minor"/>
    </font>
    <font>
      <strike/>
      <u/>
      <color rgb="FF1155CC"/>
      <name val="Arial"/>
      <scheme val="minor"/>
    </font>
    <font>
      <strike/>
      <u/>
      <color theme="1"/>
      <name val="Arial"/>
      <scheme val="minor"/>
    </font>
    <font>
      <strike/>
      <u/>
      <color theme="1"/>
      <name val="Arial"/>
      <scheme val="minor"/>
    </font>
    <font>
      <strike/>
      <u/>
      <color theme="1"/>
      <name val="Arial"/>
      <scheme val="minor"/>
    </font>
    <font>
      <sz val="12.0"/>
      <color rgb="FF666666"/>
      <name val="Roboto"/>
    </font>
    <font>
      <u/>
      <color rgb="FF1155CC"/>
      <name val="Arial"/>
      <scheme val="minor"/>
    </font>
    <font>
      <sz val="11.0"/>
      <color rgb="FF000000"/>
      <name val="Inconsolata"/>
    </font>
    <font>
      <sz val="12.0"/>
      <color theme="1"/>
      <name val="Arial"/>
      <scheme val="minor"/>
    </font>
  </fonts>
  <fills count="48">
    <fill>
      <patternFill patternType="none"/>
    </fill>
    <fill>
      <patternFill patternType="lightGray"/>
    </fill>
    <fill>
      <patternFill patternType="solid">
        <fgColor theme="6"/>
        <bgColor theme="6"/>
      </patternFill>
    </fill>
    <fill>
      <patternFill patternType="solid">
        <fgColor rgb="FFFF0000"/>
        <bgColor rgb="FFFF0000"/>
      </patternFill>
    </fill>
    <fill>
      <patternFill patternType="solid">
        <fgColor rgb="FFD9D2E9"/>
        <bgColor rgb="FFD9D2E9"/>
      </patternFill>
    </fill>
    <fill>
      <patternFill patternType="solid">
        <fgColor theme="9"/>
        <bgColor theme="9"/>
      </patternFill>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00FF00"/>
        <bgColor rgb="FF00FF00"/>
      </patternFill>
    </fill>
    <fill>
      <patternFill patternType="solid">
        <fgColor rgb="FFB4A7D6"/>
        <bgColor rgb="FFB4A7D6"/>
      </patternFill>
    </fill>
    <fill>
      <patternFill patternType="solid">
        <fgColor rgb="FFB7B7B7"/>
        <bgColor rgb="FFB7B7B7"/>
      </patternFill>
    </fill>
    <fill>
      <patternFill patternType="solid">
        <fgColor rgb="FF38761D"/>
        <bgColor rgb="FF38761D"/>
      </patternFill>
    </fill>
    <fill>
      <patternFill patternType="solid">
        <fgColor rgb="FFD9EAD3"/>
        <bgColor rgb="FFD9EAD3"/>
      </patternFill>
    </fill>
    <fill>
      <patternFill patternType="solid">
        <fgColor rgb="FFFF9900"/>
        <bgColor rgb="FFFF9900"/>
      </patternFill>
    </fill>
    <fill>
      <patternFill patternType="solid">
        <fgColor rgb="FF980000"/>
        <bgColor rgb="FF980000"/>
      </patternFill>
    </fill>
    <fill>
      <patternFill patternType="solid">
        <fgColor rgb="FFFFE599"/>
        <bgColor rgb="FFFFE599"/>
      </patternFill>
    </fill>
    <fill>
      <patternFill patternType="solid">
        <fgColor rgb="FF6FA8DC"/>
        <bgColor rgb="FF6FA8DC"/>
      </patternFill>
    </fill>
    <fill>
      <patternFill patternType="solid">
        <fgColor theme="0"/>
        <bgColor theme="0"/>
      </patternFill>
    </fill>
    <fill>
      <patternFill patternType="solid">
        <fgColor rgb="FFE06666"/>
        <bgColor rgb="FFE06666"/>
      </patternFill>
    </fill>
    <fill>
      <patternFill patternType="solid">
        <fgColor rgb="FFFBBC04"/>
        <bgColor rgb="FFFBBC04"/>
      </patternFill>
    </fill>
    <fill>
      <patternFill patternType="solid">
        <fgColor rgb="FFFFD966"/>
        <bgColor rgb="FFFFD966"/>
      </patternFill>
    </fill>
    <fill>
      <patternFill patternType="solid">
        <fgColor rgb="FFD9D9D9"/>
        <bgColor rgb="FFD9D9D9"/>
      </patternFill>
    </fill>
    <fill>
      <patternFill patternType="solid">
        <fgColor rgb="FFFFF2CC"/>
        <bgColor rgb="FFFFF2CC"/>
      </patternFill>
    </fill>
    <fill>
      <patternFill patternType="solid">
        <fgColor rgb="FFA4C2F4"/>
        <bgColor rgb="FFA4C2F4"/>
      </patternFill>
    </fill>
    <fill>
      <patternFill patternType="solid">
        <fgColor rgb="FFB6D7A8"/>
        <bgColor rgb="FFB6D7A8"/>
      </patternFill>
    </fill>
    <fill>
      <patternFill patternType="solid">
        <fgColor rgb="FF351C75"/>
        <bgColor rgb="FF351C75"/>
      </patternFill>
    </fill>
    <fill>
      <patternFill patternType="solid">
        <fgColor rgb="FF4A86E8"/>
        <bgColor rgb="FF4A86E8"/>
      </patternFill>
    </fill>
    <fill>
      <patternFill patternType="solid">
        <fgColor rgb="FFFCE5CD"/>
        <bgColor rgb="FFFCE5CD"/>
      </patternFill>
    </fill>
    <fill>
      <patternFill patternType="solid">
        <fgColor rgb="FFEFEFEF"/>
        <bgColor rgb="FFEFEFEF"/>
      </patternFill>
    </fill>
    <fill>
      <patternFill patternType="solid">
        <fgColor rgb="FF6D9EEB"/>
        <bgColor rgb="FF6D9EEB"/>
      </patternFill>
    </fill>
    <fill>
      <patternFill patternType="solid">
        <fgColor rgb="FF93C47D"/>
        <bgColor rgb="FF93C47D"/>
      </patternFill>
    </fill>
    <fill>
      <patternFill patternType="solid">
        <fgColor rgb="FF8E7CC3"/>
        <bgColor rgb="FF8E7CC3"/>
      </patternFill>
    </fill>
    <fill>
      <patternFill patternType="solid">
        <fgColor rgb="FFF4CCCC"/>
        <bgColor rgb="FFF4CCCC"/>
      </patternFill>
    </fill>
    <fill>
      <patternFill patternType="solid">
        <fgColor rgb="FFD0E0E3"/>
        <bgColor rgb="FFD0E0E3"/>
      </patternFill>
    </fill>
    <fill>
      <patternFill patternType="solid">
        <fgColor rgb="FFEA9999"/>
        <bgColor rgb="FFEA9999"/>
      </patternFill>
    </fill>
    <fill>
      <patternFill patternType="solid">
        <fgColor rgb="FFCC0000"/>
        <bgColor rgb="FFCC0000"/>
      </patternFill>
    </fill>
    <fill>
      <patternFill patternType="solid">
        <fgColor rgb="FFFF00FF"/>
        <bgColor rgb="FFFF00FF"/>
      </patternFill>
    </fill>
    <fill>
      <patternFill patternType="solid">
        <fgColor theme="4"/>
        <bgColor theme="4"/>
      </patternFill>
    </fill>
    <fill>
      <patternFill patternType="solid">
        <fgColor rgb="FFA2C4C9"/>
        <bgColor rgb="FFA2C4C9"/>
      </patternFill>
    </fill>
    <fill>
      <patternFill patternType="solid">
        <fgColor rgb="FF999999"/>
        <bgColor rgb="FF999999"/>
      </patternFill>
    </fill>
    <fill>
      <patternFill patternType="solid">
        <fgColor rgb="FF9FC5E8"/>
        <bgColor rgb="FF9FC5E8"/>
      </patternFill>
    </fill>
    <fill>
      <patternFill patternType="solid">
        <fgColor rgb="FFD5A6BD"/>
        <bgColor rgb="FFD5A6BD"/>
      </patternFill>
    </fill>
    <fill>
      <patternFill patternType="solid">
        <fgColor rgb="FFEAD1DC"/>
        <bgColor rgb="FFEAD1DC"/>
      </patternFill>
    </fill>
    <fill>
      <patternFill patternType="solid">
        <fgColor rgb="FFDD7E6B"/>
        <bgColor rgb="FFDD7E6B"/>
      </patternFill>
    </fill>
    <fill>
      <patternFill patternType="solid">
        <fgColor rgb="FFE6B8AF"/>
        <bgColor rgb="FFE6B8AF"/>
      </patternFill>
    </fill>
    <fill>
      <patternFill patternType="solid">
        <fgColor rgb="FFF9CB9C"/>
        <bgColor rgb="FFF9CB9C"/>
      </patternFill>
    </fill>
  </fills>
  <borders count="31">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border>
    <border>
      <right style="thick">
        <color rgb="FF000000"/>
      </right>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border>
    <border>
      <right style="thin">
        <color rgb="FF000000"/>
      </right>
    </border>
    <border>
      <right style="medium">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top style="thin">
        <color rgb="FFBBBFBF"/>
      </top>
      <bottom style="thin">
        <color rgb="FFBBBFBF"/>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ck">
        <color rgb="FF000000"/>
      </right>
      <bottom style="thin">
        <color rgb="FF000000"/>
      </bottom>
    </border>
    <border>
      <left style="thin">
        <color rgb="FF000000"/>
      </left>
      <right style="thin">
        <color rgb="FF000000"/>
      </right>
      <bottom style="thick">
        <color rgb="FF000000"/>
      </bottom>
    </border>
    <border>
      <right style="thick">
        <color rgb="FF000000"/>
      </right>
      <bottom style="thick">
        <color rgb="FF000000"/>
      </bottom>
    </border>
    <border>
      <right style="thin">
        <color rgb="FF000000"/>
      </right>
      <bottom style="thick">
        <color rgb="FF000000"/>
      </bottom>
    </border>
  </borders>
  <cellStyleXfs count="1">
    <xf borderId="0" fillId="0" fontId="0" numFmtId="0" applyAlignment="1" applyFont="1"/>
  </cellStyleXfs>
  <cellXfs count="1096">
    <xf borderId="0" fillId="0" fontId="0" numFmtId="0" xfId="0" applyAlignment="1" applyFont="1">
      <alignment readingOrder="0" shrinkToFit="0" vertical="bottom" wrapText="0"/>
    </xf>
    <xf borderId="0" fillId="0" fontId="1" numFmtId="0" xfId="0" applyAlignment="1" applyFont="1">
      <alignment shrinkToFit="0" wrapText="1"/>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2" fillId="0" fontId="1" numFmtId="0" xfId="0" applyAlignment="1" applyBorder="1" applyFont="1">
      <alignment horizontal="center" readingOrder="0"/>
    </xf>
    <xf borderId="4" fillId="0" fontId="2" numFmtId="0" xfId="0" applyBorder="1" applyFont="1"/>
    <xf borderId="5" fillId="0" fontId="1" numFmtId="0" xfId="0" applyAlignment="1" applyBorder="1" applyFont="1">
      <alignment readingOrder="0" shrinkToFit="0" wrapText="1"/>
    </xf>
    <xf borderId="6" fillId="2" fontId="1" numFmtId="164" xfId="0" applyAlignment="1" applyBorder="1" applyFill="1" applyFont="1" applyNumberFormat="1">
      <alignment horizontal="center" readingOrder="0"/>
    </xf>
    <xf borderId="7" fillId="2" fontId="1" numFmtId="164" xfId="0" applyAlignment="1" applyBorder="1" applyFont="1" applyNumberFormat="1">
      <alignment horizontal="center" readingOrder="0"/>
    </xf>
    <xf borderId="4" fillId="2" fontId="1" numFmtId="164" xfId="0" applyAlignment="1" applyBorder="1" applyFont="1" applyNumberFormat="1">
      <alignment horizontal="center" readingOrder="0"/>
    </xf>
    <xf borderId="3" fillId="2" fontId="1" numFmtId="164" xfId="0" applyAlignment="1" applyBorder="1" applyFont="1" applyNumberFormat="1">
      <alignment horizontal="center" readingOrder="0"/>
    </xf>
    <xf borderId="0" fillId="0" fontId="3" numFmtId="0" xfId="0" applyAlignment="1" applyFont="1">
      <alignment readingOrder="0" shrinkToFit="0" wrapText="1"/>
    </xf>
    <xf borderId="8" fillId="0" fontId="1" numFmtId="0" xfId="0" applyBorder="1" applyFont="1"/>
    <xf borderId="8" fillId="0" fontId="1" numFmtId="0" xfId="0" applyBorder="1" applyFont="1"/>
    <xf borderId="9" fillId="0" fontId="1" numFmtId="0" xfId="0" applyBorder="1" applyFont="1"/>
    <xf borderId="0" fillId="0" fontId="1" numFmtId="0" xfId="0" applyAlignment="1" applyFont="1">
      <alignment horizontal="center"/>
    </xf>
    <xf borderId="9" fillId="0" fontId="1" numFmtId="0" xfId="0" applyAlignment="1" applyBorder="1" applyFont="1">
      <alignment horizontal="center"/>
    </xf>
    <xf borderId="0" fillId="3" fontId="1" numFmtId="0" xfId="0" applyAlignment="1" applyFill="1" applyFont="1">
      <alignment horizontal="center"/>
    </xf>
    <xf borderId="0" fillId="4" fontId="3" numFmtId="0" xfId="0" applyAlignment="1" applyFill="1" applyFont="1">
      <alignment readingOrder="0" shrinkToFit="0" wrapText="1"/>
    </xf>
    <xf borderId="0" fillId="5" fontId="1" numFmtId="0" xfId="0" applyFill="1" applyFont="1"/>
    <xf borderId="8" fillId="0" fontId="1" numFmtId="0" xfId="0" applyAlignment="1" applyBorder="1" applyFont="1">
      <alignment horizontal="center"/>
    </xf>
    <xf borderId="0" fillId="0" fontId="1" numFmtId="0" xfId="0" applyAlignment="1" applyFont="1">
      <alignment readingOrder="0" shrinkToFit="0" wrapText="1"/>
    </xf>
    <xf borderId="0" fillId="6" fontId="1" numFmtId="0" xfId="0" applyFill="1" applyFont="1"/>
    <xf borderId="8" fillId="6" fontId="1" numFmtId="0" xfId="0" applyBorder="1" applyFont="1"/>
    <xf borderId="0" fillId="0" fontId="1" numFmtId="0" xfId="0" applyAlignment="1" applyFont="1">
      <alignment horizontal="center" readingOrder="0"/>
    </xf>
    <xf borderId="0" fillId="0" fontId="4" numFmtId="0" xfId="0" applyAlignment="1" applyFont="1">
      <alignment readingOrder="0" shrinkToFit="0" vertical="bottom" wrapText="1"/>
    </xf>
    <xf borderId="8" fillId="0" fontId="4" numFmtId="0" xfId="0" applyAlignment="1" applyBorder="1" applyFont="1">
      <alignment vertical="bottom"/>
    </xf>
    <xf borderId="0" fillId="0" fontId="4" numFmtId="0" xfId="0" applyAlignment="1" applyFont="1">
      <alignment vertical="bottom"/>
    </xf>
    <xf borderId="9" fillId="0" fontId="4" numFmtId="0" xfId="0" applyAlignment="1" applyBorder="1" applyFont="1">
      <alignment vertical="bottom"/>
    </xf>
    <xf borderId="0" fillId="3" fontId="4" numFmtId="0" xfId="0" applyAlignment="1" applyFont="1">
      <alignment vertical="bottom"/>
    </xf>
    <xf borderId="8" fillId="5" fontId="1" numFmtId="0" xfId="0" applyBorder="1" applyFont="1"/>
    <xf borderId="9" fillId="5" fontId="1" numFmtId="0" xfId="0" applyBorder="1" applyFont="1"/>
    <xf borderId="0" fillId="5" fontId="1" numFmtId="0" xfId="0" applyAlignment="1" applyFont="1">
      <alignment horizontal="center"/>
    </xf>
    <xf borderId="9" fillId="5" fontId="1" numFmtId="0" xfId="0" applyAlignment="1" applyBorder="1" applyFont="1">
      <alignment horizontal="center"/>
    </xf>
    <xf borderId="9" fillId="6" fontId="1" numFmtId="0" xfId="0" applyBorder="1" applyFont="1"/>
    <xf borderId="0" fillId="4" fontId="3" numFmtId="0" xfId="0" applyAlignment="1" applyFont="1">
      <alignment readingOrder="0"/>
    </xf>
    <xf borderId="0" fillId="0" fontId="1" numFmtId="0" xfId="0" applyAlignment="1" applyFont="1">
      <alignment readingOrder="0"/>
    </xf>
    <xf borderId="0" fillId="7" fontId="1" numFmtId="0" xfId="0" applyAlignment="1" applyFill="1" applyFont="1">
      <alignment horizontal="center"/>
    </xf>
    <xf borderId="9" fillId="7" fontId="1" numFmtId="0" xfId="0" applyAlignment="1" applyBorder="1" applyFont="1">
      <alignment horizontal="center"/>
    </xf>
    <xf borderId="9" fillId="8" fontId="1" numFmtId="0" xfId="0" applyAlignment="1" applyBorder="1" applyFill="1" applyFont="1">
      <alignment horizontal="center"/>
    </xf>
    <xf borderId="0" fillId="0" fontId="5" numFmtId="0" xfId="0" applyAlignment="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3" numFmtId="0" xfId="0" applyAlignment="1" applyFill="1" applyFont="1">
      <alignment readingOrder="0"/>
    </xf>
    <xf borderId="8" fillId="12" fontId="1" numFmtId="0" xfId="0" applyAlignment="1" applyBorder="1" applyFill="1" applyFont="1">
      <alignment horizontal="center"/>
    </xf>
    <xf borderId="0" fillId="12" fontId="1" numFmtId="0" xfId="0" applyAlignment="1" applyFont="1">
      <alignment horizontal="center"/>
    </xf>
    <xf borderId="9" fillId="12" fontId="1" numFmtId="0" xfId="0" applyAlignment="1" applyBorder="1" applyFont="1">
      <alignment horizontal="center"/>
    </xf>
    <xf borderId="10" fillId="13" fontId="1" numFmtId="0" xfId="0" applyAlignment="1" applyBorder="1" applyFill="1" applyFont="1">
      <alignment horizontal="center"/>
    </xf>
    <xf borderId="11" fillId="13" fontId="1" numFmtId="0" xfId="0" applyAlignment="1" applyBorder="1" applyFont="1">
      <alignment horizontal="center"/>
    </xf>
    <xf borderId="12" fillId="13" fontId="1" numFmtId="0" xfId="0" applyAlignment="1" applyBorder="1" applyFont="1">
      <alignment horizontal="center"/>
    </xf>
    <xf borderId="0" fillId="14" fontId="1" numFmtId="0" xfId="0" applyAlignment="1" applyFill="1" applyFont="1">
      <alignment horizontal="center"/>
    </xf>
    <xf borderId="0" fillId="10" fontId="1" numFmtId="0" xfId="0" applyAlignment="1" applyFont="1">
      <alignment horizontal="center"/>
    </xf>
    <xf borderId="9" fillId="14" fontId="1" numFmtId="0" xfId="0" applyAlignment="1" applyBorder="1" applyFont="1">
      <alignment horizontal="center"/>
    </xf>
    <xf borderId="8" fillId="7" fontId="1" numFmtId="0" xfId="0" applyAlignment="1" applyBorder="1" applyFont="1">
      <alignment horizontal="center"/>
    </xf>
    <xf borderId="0" fillId="14" fontId="1" numFmtId="0" xfId="0" applyAlignment="1" applyFont="1">
      <alignment readingOrder="0"/>
    </xf>
    <xf borderId="0" fillId="14" fontId="1" numFmtId="0" xfId="0" applyFont="1"/>
    <xf borderId="8" fillId="9" fontId="1" numFmtId="0" xfId="0" applyAlignment="1" applyBorder="1" applyFont="1">
      <alignment horizontal="center"/>
    </xf>
    <xf borderId="0" fillId="9" fontId="1" numFmtId="0" xfId="0" applyFont="1"/>
    <xf borderId="9" fillId="9" fontId="1" numFmtId="0" xfId="0" applyAlignment="1" applyBorder="1" applyFont="1">
      <alignment horizontal="center"/>
    </xf>
    <xf borderId="0" fillId="9" fontId="1" numFmtId="0" xfId="0" applyAlignment="1" applyFont="1">
      <alignment horizontal="center"/>
    </xf>
    <xf borderId="8" fillId="14" fontId="1" numFmtId="0" xfId="0" applyBorder="1" applyFont="1"/>
    <xf borderId="0" fillId="14" fontId="6" numFmtId="0" xfId="0" applyFont="1"/>
    <xf borderId="8" fillId="14" fontId="1" numFmtId="0" xfId="0" applyAlignment="1" applyBorder="1" applyFont="1">
      <alignment horizontal="center"/>
    </xf>
    <xf borderId="9" fillId="15" fontId="1" numFmtId="0" xfId="0" applyAlignment="1" applyBorder="1" applyFill="1" applyFont="1">
      <alignment horizontal="center"/>
    </xf>
    <xf borderId="0" fillId="16" fontId="1" numFmtId="0" xfId="0" applyFill="1" applyFont="1"/>
    <xf borderId="9" fillId="16" fontId="1" numFmtId="0" xfId="0" applyBorder="1" applyFont="1"/>
    <xf borderId="9" fillId="17" fontId="1" numFmtId="0" xfId="0" applyAlignment="1" applyBorder="1" applyFill="1" applyFont="1">
      <alignment horizontal="center"/>
    </xf>
    <xf borderId="0" fillId="18" fontId="1" numFmtId="0" xfId="0" applyAlignment="1" applyFill="1" applyFont="1">
      <alignment horizontal="center"/>
    </xf>
    <xf borderId="0" fillId="0" fontId="4" numFmtId="0" xfId="0" applyAlignment="1" applyFont="1">
      <alignment readingOrder="0" vertical="bottom"/>
    </xf>
    <xf borderId="0" fillId="19" fontId="7" numFmtId="0" xfId="0" applyAlignment="1" applyFill="1" applyFont="1">
      <alignment readingOrder="0"/>
    </xf>
    <xf borderId="9" fillId="10" fontId="1" numFmtId="0" xfId="0" applyAlignment="1" applyBorder="1" applyFont="1">
      <alignment horizontal="center"/>
    </xf>
    <xf borderId="8" fillId="10" fontId="1" numFmtId="0" xfId="0" applyAlignment="1" applyBorder="1" applyFont="1">
      <alignment horizontal="center"/>
    </xf>
    <xf borderId="0" fillId="18" fontId="8" numFmtId="0" xfId="0" applyAlignment="1" applyFont="1">
      <alignment horizontal="center"/>
    </xf>
    <xf borderId="0" fillId="0" fontId="8" numFmtId="0" xfId="0" applyAlignment="1" applyFont="1">
      <alignment horizontal="center"/>
    </xf>
    <xf borderId="0" fillId="0" fontId="9" numFmtId="0" xfId="0" applyAlignment="1" applyFont="1">
      <alignment readingOrder="0"/>
    </xf>
    <xf borderId="0" fillId="0" fontId="10" numFmtId="0" xfId="0" applyAlignment="1" applyFont="1">
      <alignment horizontal="left" readingOrder="0" vertical="bottom"/>
    </xf>
    <xf borderId="0" fillId="0" fontId="10" numFmtId="0" xfId="0" applyAlignment="1" applyFont="1">
      <alignment horizontal="center" readingOrder="0" vertical="bottom"/>
    </xf>
    <xf borderId="13" fillId="0" fontId="10" numFmtId="0" xfId="0" applyAlignment="1" applyBorder="1" applyFont="1">
      <alignment horizontal="center" vertical="bottom"/>
    </xf>
    <xf borderId="0" fillId="0" fontId="4" numFmtId="0" xfId="0" applyAlignment="1" applyFont="1">
      <alignment horizontal="center" readingOrder="0" textRotation="90" vertical="bottom"/>
    </xf>
    <xf borderId="0" fillId="0" fontId="10" numFmtId="0" xfId="0" applyAlignment="1" applyFont="1">
      <alignment horizontal="center" vertical="bottom"/>
    </xf>
    <xf borderId="14" fillId="0" fontId="10" numFmtId="0" xfId="0" applyAlignment="1" applyBorder="1" applyFont="1">
      <alignment horizontal="center" vertical="bottom"/>
    </xf>
    <xf borderId="0" fillId="0" fontId="3" numFmtId="0" xfId="0" applyAlignment="1" applyFont="1">
      <alignment readingOrder="0"/>
    </xf>
    <xf borderId="0" fillId="0" fontId="3" numFmtId="165" xfId="0" applyAlignment="1" applyFont="1" applyNumberFormat="1">
      <alignment readingOrder="0"/>
    </xf>
    <xf borderId="14" fillId="0" fontId="1" numFmtId="0" xfId="0" applyBorder="1" applyFont="1"/>
    <xf borderId="13" fillId="0" fontId="1" numFmtId="0" xfId="0" applyBorder="1" applyFont="1"/>
    <xf borderId="0" fillId="20" fontId="11" numFmtId="0" xfId="0" applyAlignment="1" applyFill="1" applyFont="1">
      <alignment readingOrder="0" vertical="center"/>
    </xf>
    <xf borderId="0" fillId="20" fontId="12" numFmtId="0" xfId="0" applyAlignment="1" applyFont="1">
      <alignment horizontal="left" readingOrder="0" shrinkToFit="0" textRotation="0" vertical="bottom" wrapText="1"/>
    </xf>
    <xf borderId="1" fillId="0" fontId="4" numFmtId="0" xfId="0" applyAlignment="1" applyBorder="1" applyFont="1">
      <alignment horizontal="center" vertical="bottom"/>
    </xf>
    <xf borderId="2" fillId="0" fontId="4" numFmtId="0" xfId="0" applyAlignment="1" applyBorder="1" applyFont="1">
      <alignment horizontal="center" vertical="bottom"/>
    </xf>
    <xf borderId="0" fillId="0" fontId="3" numFmtId="0" xfId="0" applyAlignment="1" applyFont="1">
      <alignment readingOrder="0" vertical="center"/>
    </xf>
    <xf borderId="0" fillId="0" fontId="3" numFmtId="165" xfId="0" applyAlignment="1" applyFont="1" applyNumberFormat="1">
      <alignment readingOrder="0" vertical="center"/>
    </xf>
    <xf borderId="0" fillId="0" fontId="1" numFmtId="165" xfId="0" applyAlignment="1" applyFont="1" applyNumberFormat="1">
      <alignment readingOrder="0"/>
    </xf>
    <xf borderId="0" fillId="0" fontId="4" numFmtId="0" xfId="0" applyAlignment="1" applyFont="1">
      <alignment horizontal="left" readingOrder="0" textRotation="0" vertical="bottom"/>
    </xf>
    <xf borderId="6" fillId="21" fontId="4" numFmtId="164" xfId="0" applyAlignment="1" applyBorder="1" applyFill="1" applyFont="1" applyNumberFormat="1">
      <alignment horizontal="center" vertical="bottom"/>
    </xf>
    <xf borderId="7" fillId="21" fontId="4" numFmtId="164" xfId="0" applyAlignment="1" applyBorder="1" applyFont="1" applyNumberFormat="1">
      <alignment horizontal="center" vertical="bottom"/>
    </xf>
    <xf borderId="4" fillId="21" fontId="4" numFmtId="164" xfId="0" applyAlignment="1" applyBorder="1" applyFont="1" applyNumberFormat="1">
      <alignment horizontal="center" vertical="bottom"/>
    </xf>
    <xf borderId="3" fillId="21" fontId="4" numFmtId="164" xfId="0" applyAlignment="1" applyBorder="1" applyFont="1" applyNumberFormat="1">
      <alignment horizontal="center" vertical="bottom"/>
    </xf>
    <xf borderId="0" fillId="0" fontId="4" numFmtId="0" xfId="0" applyAlignment="1" applyFont="1">
      <alignment vertical="bottom"/>
    </xf>
    <xf borderId="9" fillId="0" fontId="4" numFmtId="0" xfId="0" applyAlignment="1" applyBorder="1" applyFont="1">
      <alignment vertical="bottom"/>
    </xf>
    <xf borderId="0" fillId="3" fontId="4" numFmtId="0" xfId="0" applyAlignment="1" applyFont="1">
      <alignment vertical="bottom"/>
    </xf>
    <xf borderId="0" fillId="0" fontId="10" numFmtId="0" xfId="0" applyAlignment="1" applyFont="1">
      <alignment readingOrder="0" vertical="bottom"/>
    </xf>
    <xf borderId="0" fillId="0" fontId="4" numFmtId="165" xfId="0" applyAlignment="1" applyFont="1" applyNumberFormat="1">
      <alignment horizontal="right" readingOrder="0" vertical="bottom"/>
    </xf>
    <xf borderId="0" fillId="22" fontId="11" numFmtId="0" xfId="0" applyAlignment="1" applyFill="1" applyFont="1">
      <alignment readingOrder="0"/>
    </xf>
    <xf borderId="0" fillId="23" fontId="3" numFmtId="0" xfId="0" applyAlignment="1" applyFill="1" applyFont="1">
      <alignment readingOrder="0" vertical="top"/>
    </xf>
    <xf borderId="0" fillId="23" fontId="3" numFmtId="165" xfId="0" applyAlignment="1" applyFont="1" applyNumberFormat="1">
      <alignment readingOrder="0" vertical="top"/>
    </xf>
    <xf borderId="0" fillId="23" fontId="10" numFmtId="0" xfId="0" applyAlignment="1" applyFont="1">
      <alignment horizontal="left" readingOrder="0" vertical="top"/>
    </xf>
    <xf borderId="0" fillId="24" fontId="10" numFmtId="0" xfId="0" applyAlignment="1" applyFill="1" applyFont="1">
      <alignment shrinkToFit="0" vertical="bottom" wrapText="1"/>
    </xf>
    <xf borderId="8" fillId="0" fontId="4" numFmtId="0" xfId="0" applyAlignment="1" applyBorder="1" applyFont="1">
      <alignment vertical="bottom"/>
    </xf>
    <xf borderId="0" fillId="0" fontId="4" numFmtId="0" xfId="0" applyAlignment="1" applyFont="1">
      <alignment shrinkToFit="0" vertical="bottom" wrapText="1"/>
    </xf>
    <xf borderId="4" fillId="2" fontId="1" numFmtId="165" xfId="0" applyAlignment="1" applyBorder="1" applyFont="1" applyNumberFormat="1">
      <alignment horizontal="center" readingOrder="0"/>
    </xf>
    <xf borderId="7" fillId="2" fontId="1" numFmtId="165" xfId="0" applyAlignment="1" applyBorder="1" applyFont="1" applyNumberFormat="1">
      <alignment horizontal="center" readingOrder="0"/>
    </xf>
    <xf borderId="0" fillId="0" fontId="1" numFmtId="0" xfId="0" applyAlignment="1" applyFont="1">
      <alignment readingOrder="0" shrinkToFit="0" vertical="top" wrapText="1"/>
    </xf>
    <xf borderId="0" fillId="6" fontId="4" numFmtId="0" xfId="0" applyAlignment="1" applyFont="1">
      <alignment vertical="bottom"/>
    </xf>
    <xf borderId="0" fillId="0" fontId="1" numFmtId="0" xfId="0" applyAlignment="1" applyFont="1">
      <alignment shrinkToFit="0" vertical="top" wrapText="1"/>
    </xf>
    <xf borderId="0" fillId="0" fontId="10" numFmtId="0" xfId="0" applyAlignment="1" applyFont="1">
      <alignment shrinkToFit="0" vertical="bottom" wrapText="1"/>
    </xf>
    <xf borderId="15" fillId="2" fontId="1" numFmtId="165" xfId="0" applyAlignment="1" applyBorder="1" applyFont="1" applyNumberFormat="1">
      <alignment horizontal="center" readingOrder="0"/>
    </xf>
    <xf borderId="3" fillId="2" fontId="1" numFmtId="165" xfId="0" applyAlignment="1" applyBorder="1" applyFont="1" applyNumberFormat="1">
      <alignment horizontal="center" readingOrder="0"/>
    </xf>
    <xf borderId="0" fillId="0" fontId="13" numFmtId="0" xfId="0" applyAlignment="1" applyFont="1">
      <alignment readingOrder="0" shrinkToFit="0" wrapText="1"/>
    </xf>
    <xf borderId="9" fillId="6" fontId="4" numFmtId="0" xfId="0" applyAlignment="1" applyBorder="1" applyFont="1">
      <alignment vertical="bottom"/>
    </xf>
    <xf borderId="0" fillId="0" fontId="3" numFmtId="165" xfId="0" applyAlignment="1" applyFont="1" applyNumberFormat="1">
      <alignment readingOrder="0" vertical="top"/>
    </xf>
    <xf borderId="0" fillId="0" fontId="4" numFmtId="165" xfId="0" applyAlignment="1" applyFont="1" applyNumberFormat="1">
      <alignment shrinkToFit="0" vertical="bottom" wrapText="1"/>
    </xf>
    <xf borderId="0" fillId="0" fontId="1" numFmtId="0" xfId="0" applyFont="1"/>
    <xf borderId="0" fillId="0" fontId="1" numFmtId="165" xfId="0" applyAlignment="1" applyFont="1" applyNumberFormat="1">
      <alignment readingOrder="0" vertical="top"/>
    </xf>
    <xf borderId="0" fillId="6" fontId="4" numFmtId="0" xfId="0" applyAlignment="1" applyFont="1">
      <alignment vertical="bottom"/>
    </xf>
    <xf borderId="9" fillId="17" fontId="4" numFmtId="0" xfId="0" applyAlignment="1" applyBorder="1" applyFont="1">
      <alignment vertical="bottom"/>
    </xf>
    <xf borderId="9" fillId="6" fontId="4" numFmtId="0" xfId="0" applyAlignment="1" applyBorder="1" applyFont="1">
      <alignment vertical="bottom"/>
    </xf>
    <xf borderId="9" fillId="22" fontId="4" numFmtId="0" xfId="0" applyAlignment="1" applyBorder="1" applyFont="1">
      <alignment vertical="bottom"/>
    </xf>
    <xf borderId="0" fillId="0" fontId="4" numFmtId="0" xfId="0" applyAlignment="1" applyFont="1">
      <alignment shrinkToFit="0" vertical="bottom" wrapText="1"/>
    </xf>
    <xf borderId="0" fillId="0" fontId="1" numFmtId="165" xfId="0" applyAlignment="1" applyFont="1" applyNumberFormat="1">
      <alignment vertical="top"/>
    </xf>
    <xf borderId="0" fillId="0" fontId="1" numFmtId="165" xfId="0" applyFont="1" applyNumberFormat="1"/>
    <xf borderId="0" fillId="0" fontId="10" numFmtId="0" xfId="0" applyAlignment="1" applyFont="1">
      <alignment shrinkToFit="0" vertical="bottom" wrapText="1"/>
    </xf>
    <xf borderId="0" fillId="0" fontId="10" numFmtId="165" xfId="0" applyAlignment="1" applyFont="1" applyNumberFormat="1">
      <alignment shrinkToFit="0" vertical="bottom" wrapText="1"/>
    </xf>
    <xf borderId="0" fillId="24" fontId="10" numFmtId="0" xfId="0" applyAlignment="1" applyFont="1">
      <alignment shrinkToFit="0" vertical="bottom" wrapText="1"/>
    </xf>
    <xf borderId="0" fillId="0" fontId="3" numFmtId="165" xfId="0" applyAlignment="1" applyFont="1" applyNumberFormat="1">
      <alignment vertical="top"/>
    </xf>
    <xf borderId="0" fillId="24" fontId="10" numFmtId="0" xfId="0" applyAlignment="1" applyFont="1">
      <alignment readingOrder="0" shrinkToFit="0" vertical="bottom" wrapText="1"/>
    </xf>
    <xf borderId="0" fillId="9" fontId="4" numFmtId="0" xfId="0" applyAlignment="1" applyFont="1">
      <alignment vertical="bottom"/>
    </xf>
    <xf borderId="0" fillId="25" fontId="4" numFmtId="0" xfId="0" applyAlignment="1" applyFill="1" applyFont="1">
      <alignment vertical="bottom"/>
    </xf>
    <xf borderId="0" fillId="11" fontId="14" numFmtId="0" xfId="0" applyAlignment="1" applyFont="1">
      <alignment vertical="bottom"/>
    </xf>
    <xf borderId="0" fillId="4" fontId="10" numFmtId="0" xfId="0" applyAlignment="1" applyFont="1">
      <alignment vertical="bottom"/>
    </xf>
    <xf borderId="0" fillId="0" fontId="10" numFmtId="0" xfId="0" applyFont="1"/>
    <xf borderId="0" fillId="0" fontId="4" numFmtId="165" xfId="0" applyAlignment="1" applyFont="1" applyNumberFormat="1">
      <alignment readingOrder="0"/>
    </xf>
    <xf borderId="0" fillId="0" fontId="4" numFmtId="165" xfId="0" applyAlignment="1" applyFont="1" applyNumberFormat="1">
      <alignment horizontal="right" readingOrder="0" vertical="top"/>
    </xf>
    <xf borderId="0" fillId="0" fontId="10" numFmtId="0" xfId="0" applyAlignment="1" applyFont="1">
      <alignment readingOrder="0"/>
    </xf>
    <xf borderId="0" fillId="0" fontId="4" numFmtId="165" xfId="0" applyFont="1" applyNumberFormat="1"/>
    <xf borderId="0" fillId="0" fontId="4" numFmtId="165" xfId="0" applyAlignment="1" applyFont="1" applyNumberFormat="1">
      <alignment horizontal="right" vertical="top"/>
    </xf>
    <xf borderId="0" fillId="4" fontId="10" numFmtId="0" xfId="0" applyAlignment="1" applyFont="1">
      <alignment readingOrder="0" vertical="bottom"/>
    </xf>
    <xf borderId="0" fillId="0" fontId="1" numFmtId="165" xfId="0" applyAlignment="1" applyFont="1" applyNumberFormat="1">
      <alignment horizontal="right" readingOrder="0"/>
    </xf>
    <xf borderId="0" fillId="0" fontId="4" numFmtId="165" xfId="0" applyAlignment="1" applyFont="1" applyNumberFormat="1">
      <alignment horizontal="right" readingOrder="0"/>
    </xf>
    <xf borderId="0" fillId="0" fontId="4" numFmtId="0" xfId="0" applyAlignment="1" applyFont="1">
      <alignment readingOrder="0"/>
    </xf>
    <xf borderId="0" fillId="0" fontId="4" numFmtId="0" xfId="0" applyFont="1"/>
    <xf borderId="0" fillId="0" fontId="4" numFmtId="165" xfId="0" applyAlignment="1" applyFont="1" applyNumberFormat="1">
      <alignment readingOrder="0" vertical="bottom"/>
    </xf>
    <xf borderId="0" fillId="0" fontId="4" numFmtId="0" xfId="0" applyFont="1"/>
    <xf borderId="0" fillId="0" fontId="4" numFmtId="165" xfId="0" applyAlignment="1" applyFont="1" applyNumberFormat="1">
      <alignment vertical="bottom"/>
    </xf>
    <xf borderId="0" fillId="26" fontId="14" numFmtId="0" xfId="0" applyAlignment="1" applyFill="1" applyFont="1">
      <alignment readingOrder="0" vertical="bottom"/>
    </xf>
    <xf borderId="0" fillId="14" fontId="10" numFmtId="0" xfId="0" applyAlignment="1" applyFont="1">
      <alignment vertical="bottom"/>
    </xf>
    <xf borderId="0" fillId="0" fontId="4" numFmtId="165" xfId="0" applyAlignment="1" applyFont="1" applyNumberFormat="1">
      <alignment readingOrder="0" vertical="top"/>
    </xf>
    <xf borderId="0" fillId="0" fontId="4" numFmtId="165" xfId="0" applyAlignment="1" applyFont="1" applyNumberFormat="1">
      <alignment vertical="top"/>
    </xf>
    <xf borderId="0" fillId="0" fontId="4" numFmtId="0" xfId="0" applyAlignment="1" applyFont="1">
      <alignment readingOrder="0" vertical="top"/>
    </xf>
    <xf borderId="0" fillId="0" fontId="10" numFmtId="0" xfId="0" applyAlignment="1" applyFont="1">
      <alignment vertical="bottom"/>
    </xf>
    <xf borderId="0" fillId="14" fontId="10" numFmtId="0" xfId="0" applyAlignment="1" applyFont="1">
      <alignment readingOrder="0" vertical="bottom"/>
    </xf>
    <xf borderId="0" fillId="0" fontId="4" numFmtId="0" xfId="0" applyAlignment="1" applyFont="1">
      <alignment horizontal="left" readingOrder="0" vertical="bottom"/>
    </xf>
    <xf borderId="0" fillId="0" fontId="4" numFmtId="0" xfId="0" applyAlignment="1" applyFont="1">
      <alignment vertical="top"/>
    </xf>
    <xf borderId="0" fillId="25" fontId="11" numFmtId="0" xfId="0" applyAlignment="1" applyFont="1">
      <alignment readingOrder="0"/>
    </xf>
    <xf borderId="0" fillId="6" fontId="15" numFmtId="0" xfId="0" applyAlignment="1" applyFont="1">
      <alignment readingOrder="0"/>
    </xf>
    <xf borderId="0" fillId="19" fontId="1" numFmtId="165" xfId="0" applyAlignment="1" applyFont="1" applyNumberFormat="1">
      <alignment horizontal="left" readingOrder="0"/>
    </xf>
    <xf borderId="0" fillId="19" fontId="1" numFmtId="0" xfId="0" applyFont="1"/>
    <xf borderId="0" fillId="19" fontId="1" numFmtId="165" xfId="0" applyAlignment="1" applyFont="1" applyNumberFormat="1">
      <alignment horizontal="left"/>
    </xf>
    <xf borderId="0" fillId="0" fontId="15" numFmtId="0" xfId="0" applyAlignment="1" applyFont="1">
      <alignment readingOrder="0"/>
    </xf>
    <xf borderId="0" fillId="0" fontId="15" numFmtId="165" xfId="0" applyAlignment="1" applyFont="1" applyNumberFormat="1">
      <alignment readingOrder="0"/>
    </xf>
    <xf borderId="0" fillId="27" fontId="16" numFmtId="0" xfId="0" applyAlignment="1" applyFill="1" applyFont="1">
      <alignment horizontal="center" readingOrder="0" vertical="bottom"/>
    </xf>
    <xf borderId="16" fillId="28" fontId="16" numFmtId="0" xfId="0" applyAlignment="1" applyBorder="1" applyFill="1" applyFont="1">
      <alignment horizontal="center" readingOrder="0" vertical="bottom"/>
    </xf>
    <xf borderId="17" fillId="0" fontId="2" numFmtId="0" xfId="0" applyBorder="1" applyFont="1"/>
    <xf borderId="18" fillId="0" fontId="2" numFmtId="0" xfId="0" applyBorder="1" applyFont="1"/>
    <xf borderId="19" fillId="15" fontId="16" numFmtId="0" xfId="0" applyAlignment="1" applyBorder="1" applyFont="1">
      <alignment horizontal="center" readingOrder="0" vertical="bottom"/>
    </xf>
    <xf borderId="13" fillId="15" fontId="16" numFmtId="0" xfId="0" applyAlignment="1" applyBorder="1" applyFont="1">
      <alignment horizontal="center" readingOrder="0" vertical="bottom"/>
    </xf>
    <xf borderId="14" fillId="0" fontId="2" numFmtId="0" xfId="0" applyBorder="1" applyFont="1"/>
    <xf borderId="0" fillId="4" fontId="10" numFmtId="0" xfId="0" applyAlignment="1" applyFont="1">
      <alignment shrinkToFit="0" vertical="bottom" wrapText="1"/>
    </xf>
    <xf borderId="0" fillId="4" fontId="10" numFmtId="0" xfId="0" applyAlignment="1" applyFont="1">
      <alignment readingOrder="0" shrinkToFit="0" vertical="bottom" wrapText="1"/>
    </xf>
    <xf borderId="0" fillId="4" fontId="10" numFmtId="166" xfId="0" applyAlignment="1" applyFont="1" applyNumberFormat="1">
      <alignment shrinkToFit="0" vertical="bottom" wrapText="1"/>
    </xf>
    <xf borderId="0" fillId="4" fontId="17" numFmtId="166" xfId="0" applyAlignment="1" applyFont="1" applyNumberFormat="1">
      <alignment readingOrder="0" shrinkToFit="0" vertical="bottom" wrapText="1"/>
    </xf>
    <xf borderId="0" fillId="4" fontId="10" numFmtId="166" xfId="0" applyAlignment="1" applyFont="1" applyNumberFormat="1">
      <alignment readingOrder="0" shrinkToFit="0" vertical="bottom" wrapText="1"/>
    </xf>
    <xf borderId="19" fillId="6" fontId="10" numFmtId="0" xfId="0" applyAlignment="1" applyBorder="1" applyFont="1">
      <alignment readingOrder="0" shrinkToFit="0" vertical="bottom" wrapText="1"/>
    </xf>
    <xf borderId="0" fillId="29" fontId="1" numFmtId="0" xfId="0" applyAlignment="1" applyFill="1" applyFont="1">
      <alignment readingOrder="0" shrinkToFit="0" vertical="top" wrapText="1"/>
    </xf>
    <xf borderId="0" fillId="29" fontId="1" numFmtId="0" xfId="0" applyAlignment="1" applyFont="1">
      <alignment readingOrder="0" shrinkToFit="0" wrapText="1"/>
    </xf>
    <xf borderId="0" fillId="29" fontId="4" numFmtId="0" xfId="0" applyAlignment="1" applyFont="1">
      <alignment shrinkToFit="0" vertical="bottom" wrapText="1"/>
    </xf>
    <xf borderId="0" fillId="30" fontId="18" numFmtId="0" xfId="0" applyAlignment="1" applyFill="1" applyFont="1">
      <alignment readingOrder="0" vertical="bottom"/>
    </xf>
    <xf borderId="0" fillId="30" fontId="18" numFmtId="0" xfId="0" applyAlignment="1" applyFont="1">
      <alignment readingOrder="0" shrinkToFit="0" vertical="bottom" wrapText="1"/>
    </xf>
    <xf borderId="0" fillId="30" fontId="18" numFmtId="166" xfId="0" applyAlignment="1" applyFont="1" applyNumberFormat="1">
      <alignment readingOrder="0" vertical="bottom"/>
    </xf>
    <xf borderId="0" fillId="30" fontId="18" numFmtId="166" xfId="0" applyAlignment="1" applyFont="1" applyNumberFormat="1">
      <alignment vertical="bottom"/>
    </xf>
    <xf borderId="0" fillId="30" fontId="18" numFmtId="0" xfId="0" applyAlignment="1" applyFont="1">
      <alignment vertical="bottom"/>
    </xf>
    <xf borderId="0" fillId="30" fontId="18" numFmtId="0" xfId="0" applyAlignment="1" applyFont="1">
      <alignment readingOrder="0" shrinkToFit="0" vertical="bottom" wrapText="0"/>
    </xf>
    <xf borderId="19" fillId="31" fontId="18" numFmtId="0" xfId="0" applyAlignment="1" applyBorder="1" applyFill="1" applyFont="1">
      <alignment readingOrder="0" vertical="bottom"/>
    </xf>
    <xf borderId="19" fillId="30" fontId="19" numFmtId="0" xfId="0" applyAlignment="1" applyBorder="1" applyFont="1">
      <alignment readingOrder="0"/>
    </xf>
    <xf borderId="0" fillId="32" fontId="19" numFmtId="0" xfId="0" applyAlignment="1" applyFill="1" applyFont="1">
      <alignment readingOrder="0"/>
    </xf>
    <xf borderId="0" fillId="32" fontId="20" numFmtId="0" xfId="0" applyAlignment="1" applyFont="1">
      <alignment readingOrder="0"/>
    </xf>
    <xf borderId="0" fillId="30" fontId="19" numFmtId="0" xfId="0" applyAlignment="1" applyFont="1">
      <alignment readingOrder="0"/>
    </xf>
    <xf borderId="0" fillId="32" fontId="18" numFmtId="0" xfId="0" applyAlignment="1" applyFont="1">
      <alignment vertical="bottom"/>
    </xf>
    <xf borderId="0" fillId="30" fontId="19" numFmtId="0" xfId="0" applyFont="1"/>
    <xf borderId="0" fillId="33" fontId="21" numFmtId="0" xfId="0" applyAlignment="1" applyFill="1" applyFont="1">
      <alignment horizontal="center" readingOrder="0" vertical="bottom"/>
    </xf>
    <xf borderId="0" fillId="33" fontId="4" numFmtId="0" xfId="0" applyAlignment="1" applyFont="1">
      <alignment readingOrder="0" vertical="bottom"/>
    </xf>
    <xf borderId="0" fillId="33" fontId="4" numFmtId="166" xfId="0" applyAlignment="1" applyFont="1" applyNumberFormat="1">
      <alignment readingOrder="0" vertical="bottom"/>
    </xf>
    <xf borderId="0" fillId="33" fontId="4" numFmtId="166" xfId="0" applyAlignment="1" applyFont="1" applyNumberFormat="1">
      <alignment vertical="bottom"/>
    </xf>
    <xf borderId="0" fillId="33" fontId="4" numFmtId="166" xfId="0" applyAlignment="1" applyFont="1" applyNumberFormat="1">
      <alignment shrinkToFit="0" vertical="bottom" wrapText="0"/>
    </xf>
    <xf borderId="0" fillId="33" fontId="4" numFmtId="0" xfId="0" applyAlignment="1" applyFont="1">
      <alignment vertical="bottom"/>
    </xf>
    <xf borderId="19" fillId="33" fontId="4" numFmtId="0" xfId="0" applyAlignment="1" applyBorder="1" applyFont="1">
      <alignment vertical="bottom"/>
    </xf>
    <xf borderId="19" fillId="33" fontId="1" numFmtId="0" xfId="0" applyBorder="1" applyFont="1"/>
    <xf borderId="0" fillId="33" fontId="1" numFmtId="0" xfId="0" applyFont="1"/>
    <xf borderId="0" fillId="33" fontId="4" numFmtId="0" xfId="0" applyAlignment="1" applyFont="1">
      <alignment vertical="bottom"/>
    </xf>
    <xf borderId="0" fillId="32" fontId="4" numFmtId="0" xfId="0" applyAlignment="1" applyFont="1">
      <alignment readingOrder="0" vertical="bottom"/>
    </xf>
    <xf borderId="0" fillId="32" fontId="1" numFmtId="0" xfId="0" applyAlignment="1" applyFont="1">
      <alignment readingOrder="0"/>
    </xf>
    <xf borderId="0" fillId="32" fontId="4" numFmtId="0" xfId="0" applyAlignment="1" applyFont="1">
      <alignment readingOrder="0" shrinkToFit="0" vertical="bottom" wrapText="1"/>
    </xf>
    <xf borderId="0" fillId="32" fontId="1" numFmtId="166" xfId="0" applyAlignment="1" applyFont="1" applyNumberFormat="1">
      <alignment readingOrder="0"/>
    </xf>
    <xf borderId="0" fillId="32" fontId="1" numFmtId="0" xfId="0" applyFont="1"/>
    <xf borderId="0" fillId="32" fontId="4" numFmtId="166" xfId="0" applyAlignment="1" applyFont="1" applyNumberFormat="1">
      <alignment readingOrder="0" vertical="bottom"/>
    </xf>
    <xf borderId="0" fillId="32" fontId="22" numFmtId="0" xfId="0" applyAlignment="1" applyFont="1">
      <alignment horizontal="left" readingOrder="0"/>
    </xf>
    <xf borderId="0" fillId="32" fontId="1" numFmtId="0" xfId="0" applyAlignment="1" applyFont="1">
      <alignment shrinkToFit="0" wrapText="0"/>
    </xf>
    <xf borderId="0" fillId="32" fontId="4" numFmtId="0" xfId="0" applyAlignment="1" applyFont="1">
      <alignment readingOrder="0" shrinkToFit="0" vertical="bottom" wrapText="0"/>
    </xf>
    <xf borderId="0" fillId="32" fontId="1" numFmtId="0" xfId="0" applyAlignment="1" applyFont="1">
      <alignment readingOrder="0" shrinkToFit="0" wrapText="1"/>
    </xf>
    <xf borderId="19" fillId="32" fontId="4" numFmtId="0" xfId="0" applyAlignment="1" applyBorder="1" applyFont="1">
      <alignment readingOrder="0" vertical="bottom"/>
    </xf>
    <xf borderId="19" fillId="32" fontId="1" numFmtId="0" xfId="0" applyAlignment="1" applyBorder="1" applyFont="1">
      <alignment readingOrder="0"/>
    </xf>
    <xf borderId="0" fillId="32" fontId="4" numFmtId="0" xfId="0" applyAlignment="1" applyFont="1">
      <alignment readingOrder="0" vertical="bottom"/>
    </xf>
    <xf borderId="0" fillId="32" fontId="1" numFmtId="167" xfId="0" applyAlignment="1" applyFont="1" applyNumberFormat="1">
      <alignment readingOrder="0"/>
    </xf>
    <xf borderId="0" fillId="0" fontId="21" numFmtId="0" xfId="0" applyAlignment="1" applyFont="1">
      <alignment horizontal="center" readingOrder="0" vertical="bottom"/>
    </xf>
    <xf borderId="0" fillId="34" fontId="10" numFmtId="0" xfId="0" applyAlignment="1" applyFill="1" applyFont="1">
      <alignment vertical="bottom"/>
    </xf>
    <xf borderId="0" fillId="34" fontId="4" numFmtId="0" xfId="0" applyAlignment="1" applyFont="1">
      <alignment vertical="bottom"/>
    </xf>
    <xf borderId="0" fillId="34" fontId="4" numFmtId="166" xfId="0" applyAlignment="1" applyFont="1" applyNumberFormat="1">
      <alignment vertical="bottom"/>
    </xf>
    <xf borderId="0" fillId="34" fontId="10" numFmtId="166" xfId="0" applyAlignment="1" applyFont="1" applyNumberFormat="1">
      <alignment horizontal="right" vertical="bottom"/>
    </xf>
    <xf borderId="0" fillId="34" fontId="1" numFmtId="0" xfId="0" applyFont="1"/>
    <xf borderId="0" fillId="34" fontId="23" numFmtId="166" xfId="0" applyAlignment="1" applyFont="1" applyNumberFormat="1">
      <alignment shrinkToFit="0" vertical="bottom" wrapText="0"/>
    </xf>
    <xf borderId="0" fillId="34" fontId="4" numFmtId="0" xfId="0" applyAlignment="1" applyFont="1">
      <alignment vertical="bottom"/>
    </xf>
    <xf borderId="19" fillId="34" fontId="4" numFmtId="0" xfId="0" applyAlignment="1" applyBorder="1" applyFont="1">
      <alignment readingOrder="0" vertical="bottom"/>
    </xf>
    <xf borderId="19" fillId="34" fontId="1" numFmtId="0" xfId="0" applyBorder="1" applyFont="1"/>
    <xf borderId="0" fillId="34" fontId="4" numFmtId="0" xfId="0" applyAlignment="1" applyFont="1">
      <alignment vertical="bottom"/>
    </xf>
    <xf borderId="0" fillId="33" fontId="24" numFmtId="166" xfId="0" applyAlignment="1" applyFont="1" applyNumberFormat="1">
      <alignment shrinkToFit="0" vertical="bottom" wrapText="0"/>
    </xf>
    <xf borderId="19" fillId="33" fontId="4" numFmtId="0" xfId="0" applyAlignment="1" applyBorder="1" applyFont="1">
      <alignment readingOrder="0" vertical="bottom"/>
    </xf>
    <xf borderId="0" fillId="32"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1" numFmtId="166" xfId="0" applyAlignment="1" applyFont="1" applyNumberFormat="1">
      <alignment readingOrder="0"/>
    </xf>
    <xf borderId="0" fillId="0" fontId="4" numFmtId="166" xfId="0" applyAlignment="1" applyFont="1" applyNumberFormat="1">
      <alignment readingOrder="0" vertical="bottom"/>
    </xf>
    <xf borderId="0" fillId="0" fontId="25" numFmtId="0" xfId="0" applyAlignment="1" applyFont="1">
      <alignment horizontal="left" readingOrder="0"/>
    </xf>
    <xf borderId="0" fillId="0" fontId="1" numFmtId="0" xfId="0" applyAlignment="1" applyFont="1">
      <alignment shrinkToFit="0" wrapText="0"/>
    </xf>
    <xf borderId="0" fillId="0" fontId="4" numFmtId="0" xfId="0" applyAlignment="1" applyFont="1">
      <alignment readingOrder="0" shrinkToFit="0" vertical="bottom" wrapText="0"/>
    </xf>
    <xf borderId="19" fillId="0" fontId="4" numFmtId="0" xfId="0" applyAlignment="1" applyBorder="1" applyFont="1">
      <alignment readingOrder="0" vertical="bottom"/>
    </xf>
    <xf borderId="19" fillId="0" fontId="1" numFmtId="0" xfId="0" applyAlignment="1" applyBorder="1" applyFont="1">
      <alignment readingOrder="0"/>
    </xf>
    <xf borderId="0" fillId="3" fontId="4" numFmtId="0" xfId="0" applyAlignment="1" applyFont="1">
      <alignment readingOrder="0" vertical="bottom"/>
    </xf>
    <xf borderId="0" fillId="3" fontId="1" numFmtId="0" xfId="0" applyAlignment="1" applyFont="1">
      <alignment readingOrder="0"/>
    </xf>
    <xf borderId="0" fillId="3" fontId="4" numFmtId="0" xfId="0" applyAlignment="1" applyFont="1">
      <alignment readingOrder="0" shrinkToFit="0" vertical="bottom" wrapText="1"/>
    </xf>
    <xf borderId="0" fillId="3" fontId="1" numFmtId="166" xfId="0" applyAlignment="1" applyFont="1" applyNumberFormat="1">
      <alignment readingOrder="0"/>
    </xf>
    <xf borderId="0" fillId="3" fontId="1" numFmtId="0" xfId="0" applyFont="1"/>
    <xf borderId="0" fillId="3" fontId="4" numFmtId="166" xfId="0" applyAlignment="1" applyFont="1" applyNumberFormat="1">
      <alignment readingOrder="0" vertical="bottom"/>
    </xf>
    <xf borderId="0" fillId="3" fontId="26" numFmtId="0" xfId="0" applyAlignment="1" applyFont="1">
      <alignment horizontal="left" readingOrder="0"/>
    </xf>
    <xf borderId="0" fillId="3" fontId="1" numFmtId="0" xfId="0" applyAlignment="1" applyFont="1">
      <alignment shrinkToFit="0" wrapText="0"/>
    </xf>
    <xf borderId="0" fillId="3" fontId="4" numFmtId="0" xfId="0" applyAlignment="1" applyFont="1">
      <alignment readingOrder="0" shrinkToFit="0" vertical="bottom" wrapText="0"/>
    </xf>
    <xf borderId="0" fillId="3" fontId="1" numFmtId="0" xfId="0" applyAlignment="1" applyFont="1">
      <alignment readingOrder="0" shrinkToFit="0" wrapText="1"/>
    </xf>
    <xf borderId="19" fillId="31" fontId="4" numFmtId="0" xfId="0" applyAlignment="1" applyBorder="1" applyFont="1">
      <alignment readingOrder="0" vertical="bottom"/>
    </xf>
    <xf borderId="19" fillId="31" fontId="1" numFmtId="0" xfId="0" applyAlignment="1" applyBorder="1" applyFont="1">
      <alignment readingOrder="0"/>
    </xf>
    <xf borderId="0" fillId="31" fontId="1" numFmtId="0" xfId="0" applyAlignment="1" applyFont="1">
      <alignment readingOrder="0"/>
    </xf>
    <xf borderId="0" fillId="31" fontId="1" numFmtId="0" xfId="0" applyFont="1"/>
    <xf borderId="0" fillId="31" fontId="4" numFmtId="0" xfId="0" applyAlignment="1" applyFont="1">
      <alignment readingOrder="0" vertical="bottom"/>
    </xf>
    <xf borderId="0" fillId="31" fontId="1" numFmtId="167" xfId="0" applyAlignment="1" applyFont="1" applyNumberFormat="1">
      <alignment readingOrder="0"/>
    </xf>
    <xf borderId="0" fillId="32" fontId="27" numFmtId="0" xfId="0" applyAlignment="1" applyFont="1">
      <alignment readingOrder="0" vertical="bottom"/>
    </xf>
    <xf borderId="0" fillId="32" fontId="4" numFmtId="0" xfId="0" applyAlignment="1" applyFont="1">
      <alignment horizontal="right" readingOrder="0" vertical="bottom"/>
    </xf>
    <xf borderId="0" fillId="32" fontId="4" numFmtId="166" xfId="0" applyAlignment="1" applyFont="1" applyNumberFormat="1">
      <alignment vertical="bottom"/>
    </xf>
    <xf borderId="0" fillId="32" fontId="4" numFmtId="0" xfId="0" applyAlignment="1" applyFont="1">
      <alignment readingOrder="0" shrinkToFit="0" vertical="bottom" wrapText="1"/>
    </xf>
    <xf borderId="0" fillId="32" fontId="28" numFmtId="0" xfId="0" applyAlignment="1" applyFont="1">
      <alignment readingOrder="0" shrinkToFit="0" vertical="bottom" wrapText="0"/>
    </xf>
    <xf borderId="0" fillId="32" fontId="4" numFmtId="166" xfId="0" applyAlignment="1" applyFont="1" applyNumberFormat="1">
      <alignment readingOrder="0" shrinkToFit="0" vertical="bottom" wrapText="0"/>
    </xf>
    <xf borderId="0" fillId="32" fontId="4" numFmtId="0" xfId="0" applyAlignment="1" applyFont="1">
      <alignment shrinkToFit="0" vertical="bottom" wrapText="0"/>
    </xf>
    <xf borderId="0" fillId="32" fontId="29" numFmtId="166" xfId="0" applyAlignment="1" applyFont="1" applyNumberFormat="1">
      <alignment readingOrder="0"/>
    </xf>
    <xf borderId="0" fillId="32" fontId="30" numFmtId="0" xfId="0" applyAlignment="1" applyFont="1">
      <alignment shrinkToFit="0" vertical="bottom" wrapText="0"/>
    </xf>
    <xf borderId="0" fillId="34" fontId="31" numFmtId="0" xfId="0" applyAlignment="1" applyFont="1">
      <alignment horizontal="left" readingOrder="0" vertical="bottom"/>
    </xf>
    <xf borderId="0" fillId="34" fontId="21" numFmtId="0" xfId="0" applyAlignment="1" applyFont="1">
      <alignment horizontal="center" readingOrder="0" vertical="bottom"/>
    </xf>
    <xf borderId="0" fillId="34" fontId="4" numFmtId="0" xfId="0" applyAlignment="1" applyFont="1">
      <alignment readingOrder="0" vertical="bottom"/>
    </xf>
    <xf borderId="0" fillId="34" fontId="10" numFmtId="166" xfId="0" applyAlignment="1" applyFont="1" applyNumberFormat="1">
      <alignment readingOrder="0" vertical="bottom"/>
    </xf>
    <xf borderId="0" fillId="32" fontId="4" numFmtId="0" xfId="0" applyAlignment="1" applyFont="1">
      <alignment readingOrder="0" shrinkToFit="0" vertical="bottom" wrapText="0"/>
    </xf>
    <xf borderId="0" fillId="32" fontId="4" numFmtId="0" xfId="0" applyAlignment="1" applyFont="1">
      <alignment readingOrder="0" shrinkToFit="0" vertical="bottom" wrapText="0"/>
    </xf>
    <xf borderId="0" fillId="32" fontId="1" numFmtId="166" xfId="0" applyAlignment="1" applyFont="1" applyNumberFormat="1">
      <alignment readingOrder="0"/>
    </xf>
    <xf borderId="0" fillId="32" fontId="1" numFmtId="166" xfId="0" applyFont="1" applyNumberFormat="1"/>
    <xf borderId="0" fillId="32" fontId="1" numFmtId="0" xfId="0" applyAlignment="1" applyFont="1">
      <alignment horizontal="left" readingOrder="0"/>
    </xf>
    <xf borderId="0" fillId="32" fontId="32" numFmtId="0" xfId="0" applyAlignment="1" applyFont="1">
      <alignment readingOrder="0" shrinkToFit="0" vertical="bottom" wrapText="0"/>
    </xf>
    <xf borderId="0" fillId="32" fontId="1" numFmtId="0" xfId="0" applyAlignment="1" applyFont="1">
      <alignment readingOrder="0" shrinkToFit="0" wrapText="0"/>
    </xf>
    <xf borderId="0" fillId="32" fontId="33" numFmtId="0" xfId="0" applyAlignment="1" applyFont="1">
      <alignment horizontal="left" readingOrder="0"/>
    </xf>
    <xf borderId="0" fillId="32" fontId="34" numFmtId="0" xfId="0" applyAlignment="1" applyFont="1">
      <alignment readingOrder="0" shrinkToFit="0" wrapText="0"/>
    </xf>
    <xf borderId="0" fillId="32" fontId="35" numFmtId="0" xfId="0" applyAlignment="1" applyFont="1">
      <alignment readingOrder="0"/>
    </xf>
    <xf borderId="0" fillId="32" fontId="35" numFmtId="0" xfId="0" applyAlignment="1" applyFont="1">
      <alignment readingOrder="0"/>
    </xf>
    <xf borderId="0" fillId="32" fontId="36" numFmtId="0" xfId="0" applyAlignment="1" applyFont="1">
      <alignment readingOrder="0" shrinkToFit="0" vertical="bottom" wrapText="0"/>
    </xf>
    <xf borderId="0" fillId="32" fontId="1" numFmtId="0" xfId="0" applyAlignment="1" applyFont="1">
      <alignment readingOrder="0" shrinkToFit="0" wrapText="0"/>
    </xf>
    <xf borderId="0" fillId="32" fontId="33" numFmtId="0" xfId="0" applyAlignment="1" applyFont="1">
      <alignment readingOrder="0"/>
    </xf>
    <xf borderId="0" fillId="32" fontId="37" numFmtId="0" xfId="0" applyAlignment="1" applyFont="1">
      <alignment readingOrder="0"/>
    </xf>
    <xf borderId="0" fillId="32" fontId="38" numFmtId="0" xfId="0" applyAlignment="1" applyFont="1">
      <alignment readingOrder="0"/>
    </xf>
    <xf borderId="0" fillId="32" fontId="4" numFmtId="0" xfId="0" applyAlignment="1" applyFont="1">
      <alignment horizontal="left" readingOrder="0" shrinkToFit="0" vertical="bottom" wrapText="1"/>
    </xf>
    <xf borderId="0" fillId="19" fontId="1" numFmtId="0" xfId="0" applyAlignment="1" applyFont="1">
      <alignment readingOrder="0"/>
    </xf>
    <xf borderId="0" fillId="19" fontId="4" numFmtId="0" xfId="0" applyAlignment="1" applyFont="1">
      <alignment vertical="bottom"/>
    </xf>
    <xf borderId="0" fillId="19" fontId="4" numFmtId="0" xfId="0" applyAlignment="1" applyFont="1">
      <alignment readingOrder="0" vertical="bottom"/>
    </xf>
    <xf borderId="0" fillId="19" fontId="1" numFmtId="167" xfId="0" applyAlignment="1" applyFont="1" applyNumberFormat="1">
      <alignment readingOrder="0"/>
    </xf>
    <xf borderId="0" fillId="35" fontId="4" numFmtId="0" xfId="0" applyAlignment="1" applyFill="1" applyFont="1">
      <alignment readingOrder="0" vertical="bottom"/>
    </xf>
    <xf borderId="0" fillId="35" fontId="27" numFmtId="0" xfId="0" applyAlignment="1" applyFont="1">
      <alignment readingOrder="0" vertical="bottom"/>
    </xf>
    <xf borderId="0" fillId="35" fontId="1" numFmtId="0" xfId="0" applyAlignment="1" applyFont="1">
      <alignment readingOrder="0"/>
    </xf>
    <xf borderId="0" fillId="35" fontId="1" numFmtId="0" xfId="0" applyAlignment="1" applyFont="1">
      <alignment readingOrder="0" shrinkToFit="0" wrapText="1"/>
    </xf>
    <xf borderId="0" fillId="35" fontId="4" numFmtId="166" xfId="0" applyAlignment="1" applyFont="1" applyNumberFormat="1">
      <alignment readingOrder="0" vertical="bottom"/>
    </xf>
    <xf borderId="0" fillId="35" fontId="1" numFmtId="166" xfId="0" applyFont="1" applyNumberFormat="1"/>
    <xf borderId="0" fillId="35" fontId="4" numFmtId="166" xfId="0" applyAlignment="1" applyFont="1" applyNumberFormat="1">
      <alignment vertical="bottom"/>
    </xf>
    <xf borderId="0" fillId="35" fontId="39" numFmtId="0" xfId="0" applyAlignment="1" applyFont="1">
      <alignment readingOrder="0" shrinkToFit="0" wrapText="0"/>
    </xf>
    <xf borderId="0" fillId="35" fontId="1" numFmtId="0" xfId="0" applyAlignment="1" applyFont="1">
      <alignment readingOrder="0" shrinkToFit="0" wrapText="0"/>
    </xf>
    <xf borderId="0" fillId="35" fontId="4" numFmtId="166" xfId="0" applyAlignment="1" applyFont="1" applyNumberFormat="1">
      <alignment readingOrder="0" shrinkToFit="0" vertical="bottom" wrapText="0"/>
    </xf>
    <xf borderId="0" fillId="26" fontId="1" numFmtId="0" xfId="0" applyFont="1"/>
    <xf borderId="0" fillId="35" fontId="40" numFmtId="0" xfId="0" applyAlignment="1" applyFont="1">
      <alignment readingOrder="0"/>
    </xf>
    <xf borderId="0" fillId="35" fontId="41" numFmtId="0" xfId="0" applyAlignment="1" applyFont="1">
      <alignment readingOrder="0" vertical="bottom"/>
    </xf>
    <xf borderId="0" fillId="35" fontId="1" numFmtId="0" xfId="0" applyAlignment="1" applyFont="1">
      <alignment readingOrder="0" shrinkToFit="0" wrapText="0"/>
    </xf>
    <xf borderId="0" fillId="35" fontId="1" numFmtId="0" xfId="0" applyFont="1"/>
    <xf borderId="0" fillId="35" fontId="1" numFmtId="0" xfId="0" applyAlignment="1" applyFont="1">
      <alignment horizontal="left" readingOrder="0"/>
    </xf>
    <xf borderId="0" fillId="35" fontId="42" numFmtId="0" xfId="0" applyAlignment="1" applyFont="1">
      <alignment readingOrder="0" shrinkToFit="0" vertical="bottom" wrapText="0"/>
    </xf>
    <xf borderId="19" fillId="3" fontId="4" numFmtId="0" xfId="0" applyAlignment="1" applyBorder="1" applyFont="1">
      <alignment readingOrder="0" vertical="bottom"/>
    </xf>
    <xf borderId="19" fillId="3" fontId="1" numFmtId="0" xfId="0" applyAlignment="1" applyBorder="1" applyFont="1">
      <alignment readingOrder="0"/>
    </xf>
    <xf borderId="0" fillId="3" fontId="4" numFmtId="0" xfId="0" applyAlignment="1" applyFont="1">
      <alignment readingOrder="0" vertical="bottom"/>
    </xf>
    <xf borderId="0" fillId="3" fontId="1" numFmtId="167" xfId="0" applyAlignment="1" applyFont="1" applyNumberFormat="1">
      <alignment readingOrder="0"/>
    </xf>
    <xf borderId="0" fillId="19" fontId="4" numFmtId="0" xfId="0" applyAlignment="1" applyFont="1">
      <alignment readingOrder="0" vertical="bottom"/>
    </xf>
    <xf borderId="0" fillId="34" fontId="31" numFmtId="0" xfId="0" applyAlignment="1" applyFont="1">
      <alignment readingOrder="0" vertical="bottom"/>
    </xf>
    <xf borderId="0" fillId="34" fontId="27" numFmtId="0" xfId="0" applyAlignment="1" applyFont="1">
      <alignment readingOrder="0" vertical="bottom"/>
    </xf>
    <xf borderId="0" fillId="34" fontId="4" numFmtId="0" xfId="0" applyAlignment="1" applyFont="1">
      <alignment readingOrder="0" vertical="bottom"/>
    </xf>
    <xf borderId="0" fillId="34" fontId="1" numFmtId="0" xfId="0" applyAlignment="1" applyFont="1">
      <alignment readingOrder="0" shrinkToFit="0" wrapText="1"/>
    </xf>
    <xf borderId="0" fillId="34" fontId="4" numFmtId="0" xfId="0" applyAlignment="1" applyFont="1">
      <alignment horizontal="right" readingOrder="0" vertical="bottom"/>
    </xf>
    <xf borderId="0" fillId="34" fontId="1" numFmtId="0" xfId="0" applyAlignment="1" applyFont="1">
      <alignment readingOrder="0"/>
    </xf>
    <xf borderId="0" fillId="34" fontId="4" numFmtId="166" xfId="0" applyAlignment="1" applyFont="1" applyNumberFormat="1">
      <alignment readingOrder="0" vertical="bottom"/>
    </xf>
    <xf borderId="0" fillId="34" fontId="4" numFmtId="0" xfId="0" applyAlignment="1" applyFont="1">
      <alignment readingOrder="0" shrinkToFit="0" vertical="bottom" wrapText="1"/>
    </xf>
    <xf borderId="0" fillId="34" fontId="4" numFmtId="0" xfId="0" applyAlignment="1" applyFont="1">
      <alignment readingOrder="0" shrinkToFit="0" vertical="bottom" wrapText="0"/>
    </xf>
    <xf borderId="0" fillId="34" fontId="4" numFmtId="166" xfId="0" applyAlignment="1" applyFont="1" applyNumberFormat="1">
      <alignment readingOrder="0" shrinkToFit="0" vertical="bottom" wrapText="0"/>
    </xf>
    <xf borderId="0" fillId="34" fontId="4" numFmtId="0" xfId="0" applyAlignment="1" applyFont="1">
      <alignment shrinkToFit="0" vertical="bottom" wrapText="0"/>
    </xf>
    <xf borderId="19" fillId="34" fontId="1" numFmtId="0" xfId="0" applyAlignment="1" applyBorder="1" applyFont="1">
      <alignment readingOrder="0"/>
    </xf>
    <xf borderId="0" fillId="32" fontId="43" numFmtId="0" xfId="0" applyAlignment="1" applyFont="1">
      <alignment readingOrder="0"/>
    </xf>
    <xf borderId="0" fillId="32" fontId="44" numFmtId="0" xfId="0" applyAlignment="1" applyFont="1">
      <alignment readingOrder="0"/>
    </xf>
    <xf borderId="0" fillId="32" fontId="45" numFmtId="0" xfId="0" applyAlignment="1" applyFont="1">
      <alignment readingOrder="0"/>
    </xf>
    <xf borderId="0" fillId="32" fontId="46" numFmtId="0" xfId="0" applyAlignment="1" applyFont="1">
      <alignment readingOrder="0"/>
    </xf>
    <xf borderId="0" fillId="35" fontId="47" numFmtId="0" xfId="0" applyAlignment="1" applyFont="1">
      <alignment readingOrder="0" shrinkToFit="0" wrapText="1"/>
    </xf>
    <xf borderId="0" fillId="35" fontId="1" numFmtId="166" xfId="0" applyAlignment="1" applyFont="1" applyNumberFormat="1">
      <alignment readingOrder="0"/>
    </xf>
    <xf borderId="0" fillId="35" fontId="1" numFmtId="166" xfId="0" applyAlignment="1" applyFont="1" applyNumberFormat="1">
      <alignment readingOrder="0"/>
    </xf>
    <xf borderId="0" fillId="35" fontId="1" numFmtId="0" xfId="0" applyAlignment="1" applyFont="1">
      <alignment shrinkToFit="0" wrapText="0"/>
    </xf>
    <xf borderId="19" fillId="8" fontId="4" numFmtId="0" xfId="0" applyAlignment="1" applyBorder="1" applyFont="1">
      <alignment readingOrder="0" vertical="bottom"/>
    </xf>
    <xf borderId="19" fillId="8" fontId="1" numFmtId="0" xfId="0" applyAlignment="1" applyBorder="1" applyFont="1">
      <alignment readingOrder="0"/>
    </xf>
    <xf borderId="0" fillId="8" fontId="1" numFmtId="0" xfId="0" applyAlignment="1" applyFont="1">
      <alignment readingOrder="0"/>
    </xf>
    <xf borderId="0" fillId="8" fontId="1" numFmtId="0" xfId="0" applyFont="1"/>
    <xf borderId="0" fillId="8" fontId="4" numFmtId="0" xfId="0" applyAlignment="1" applyFont="1">
      <alignment vertical="bottom"/>
    </xf>
    <xf borderId="0" fillId="32" fontId="43" numFmtId="166" xfId="0" applyAlignment="1" applyFont="1" applyNumberFormat="1">
      <alignment readingOrder="0"/>
    </xf>
    <xf borderId="0" fillId="32" fontId="48" numFmtId="0" xfId="0" applyAlignment="1" applyFont="1">
      <alignment readingOrder="0"/>
    </xf>
    <xf borderId="0" fillId="32" fontId="49" numFmtId="0" xfId="0" applyAlignment="1" applyFont="1">
      <alignment readingOrder="0"/>
    </xf>
    <xf borderId="0" fillId="32" fontId="50" numFmtId="0" xfId="0" applyAlignment="1" applyFont="1">
      <alignment readingOrder="0" shrinkToFit="0" wrapText="0"/>
    </xf>
    <xf borderId="0" fillId="32" fontId="51" numFmtId="0" xfId="0" applyAlignment="1" applyFont="1">
      <alignment readingOrder="0" shrinkToFit="0" wrapText="0"/>
    </xf>
    <xf borderId="0" fillId="32" fontId="1" numFmtId="0" xfId="0" applyAlignment="1" applyFont="1">
      <alignment readingOrder="0" shrinkToFit="0" wrapText="0"/>
    </xf>
    <xf borderId="0" fillId="32" fontId="3" numFmtId="0" xfId="0" applyAlignment="1" applyFont="1">
      <alignment readingOrder="0"/>
    </xf>
    <xf borderId="0" fillId="32" fontId="4" numFmtId="0" xfId="0" applyAlignment="1" applyFont="1">
      <alignment horizontal="right" vertical="bottom"/>
    </xf>
    <xf borderId="0" fillId="32" fontId="4" numFmtId="49" xfId="0" applyAlignment="1" applyFont="1" applyNumberFormat="1">
      <alignment horizontal="right" readingOrder="0" vertical="bottom"/>
    </xf>
    <xf borderId="0" fillId="32" fontId="4" numFmtId="166" xfId="0" applyAlignment="1" applyFont="1" applyNumberFormat="1">
      <alignment horizontal="right" readingOrder="0" vertical="bottom"/>
    </xf>
    <xf borderId="0" fillId="0" fontId="4" numFmtId="166" xfId="0" applyAlignment="1" applyFont="1" applyNumberFormat="1">
      <alignment vertical="bottom"/>
    </xf>
    <xf borderId="0" fillId="34" fontId="10" numFmtId="166" xfId="0" applyAlignment="1" applyFont="1" applyNumberFormat="1">
      <alignment readingOrder="0" vertical="bottom"/>
    </xf>
    <xf borderId="0" fillId="34" fontId="4" numFmtId="166" xfId="0" applyAlignment="1" applyFont="1" applyNumberFormat="1">
      <alignment vertical="bottom"/>
    </xf>
    <xf borderId="0" fillId="34" fontId="10" numFmtId="166" xfId="0" applyAlignment="1" applyFont="1" applyNumberFormat="1">
      <alignment vertical="bottom"/>
    </xf>
    <xf borderId="19" fillId="34" fontId="4" numFmtId="0" xfId="0" applyAlignment="1" applyBorder="1" applyFont="1">
      <alignment vertical="bottom"/>
    </xf>
    <xf borderId="0" fillId="33" fontId="4" numFmtId="0" xfId="0" applyAlignment="1" applyFont="1">
      <alignment vertical="bottom"/>
    </xf>
    <xf borderId="0" fillId="33" fontId="4" numFmtId="166" xfId="0" applyAlignment="1" applyFont="1" applyNumberFormat="1">
      <alignment vertical="bottom"/>
    </xf>
    <xf borderId="19" fillId="33" fontId="4" numFmtId="0" xfId="0" applyAlignment="1" applyBorder="1" applyFont="1">
      <alignment vertical="bottom"/>
    </xf>
    <xf borderId="0" fillId="32" fontId="4" numFmtId="166" xfId="0" applyAlignment="1" applyFont="1" applyNumberFormat="1">
      <alignment horizontal="right" readingOrder="0" vertical="bottom"/>
    </xf>
    <xf borderId="0" fillId="32" fontId="4" numFmtId="166" xfId="0" applyAlignment="1" applyFont="1" applyNumberFormat="1">
      <alignment vertical="bottom"/>
    </xf>
    <xf borderId="0" fillId="32" fontId="4" numFmtId="166" xfId="0" applyAlignment="1" applyFont="1" applyNumberFormat="1">
      <alignment vertical="bottom"/>
    </xf>
    <xf borderId="0" fillId="32" fontId="4" numFmtId="166" xfId="0" applyAlignment="1" applyFont="1" applyNumberFormat="1">
      <alignment horizontal="right" vertical="bottom"/>
    </xf>
    <xf borderId="0" fillId="32" fontId="52" numFmtId="166" xfId="0" applyAlignment="1" applyFont="1" applyNumberFormat="1">
      <alignment readingOrder="0" vertical="bottom"/>
    </xf>
    <xf borderId="0" fillId="32" fontId="4" numFmtId="0" xfId="0" applyAlignment="1" applyFont="1">
      <alignment vertical="bottom"/>
    </xf>
    <xf borderId="0" fillId="32" fontId="53" numFmtId="0" xfId="0" applyAlignment="1" applyFont="1">
      <alignment vertical="bottom"/>
    </xf>
    <xf borderId="0" fillId="32" fontId="4" numFmtId="0" xfId="0" applyAlignment="1" applyFont="1">
      <alignment vertical="bottom"/>
    </xf>
    <xf borderId="0" fillId="32" fontId="4" numFmtId="0" xfId="0" applyAlignment="1" applyFont="1">
      <alignment readingOrder="0" vertical="bottom"/>
    </xf>
    <xf borderId="0" fillId="32" fontId="4" numFmtId="0" xfId="0" applyAlignment="1" applyFont="1">
      <alignment horizontal="right" vertical="bottom"/>
    </xf>
    <xf borderId="0" fillId="32" fontId="4" numFmtId="166" xfId="0" applyAlignment="1" applyFont="1" applyNumberFormat="1">
      <alignment horizontal="right" vertical="bottom"/>
    </xf>
    <xf borderId="0" fillId="32" fontId="4" numFmtId="0" xfId="0" applyAlignment="1" applyFont="1">
      <alignment shrinkToFit="0" vertical="bottom" wrapText="1"/>
    </xf>
    <xf borderId="0" fillId="32" fontId="54" numFmtId="0" xfId="0" applyAlignment="1" applyFont="1">
      <alignment readingOrder="0" shrinkToFit="0" vertical="bottom" wrapText="0"/>
    </xf>
    <xf borderId="0" fillId="32" fontId="4" numFmtId="166" xfId="0" applyAlignment="1" applyFont="1" applyNumberFormat="1">
      <alignment shrinkToFit="0" vertical="bottom" wrapText="0"/>
    </xf>
    <xf borderId="0" fillId="32" fontId="55" numFmtId="0" xfId="0" applyAlignment="1" applyFont="1">
      <alignment readingOrder="0" vertical="bottom"/>
    </xf>
    <xf borderId="19" fillId="32" fontId="4" numFmtId="0" xfId="0" applyAlignment="1" applyBorder="1" applyFont="1">
      <alignment readingOrder="0" vertical="bottom"/>
    </xf>
    <xf borderId="19" fillId="32" fontId="4" numFmtId="0" xfId="0" applyAlignment="1" applyBorder="1" applyFont="1">
      <alignment readingOrder="0" vertical="bottom"/>
    </xf>
    <xf borderId="0" fillId="32" fontId="56" numFmtId="166" xfId="0" applyAlignment="1" applyFont="1" applyNumberFormat="1">
      <alignment horizontal="right" vertical="bottom"/>
    </xf>
    <xf borderId="0" fillId="32" fontId="56" numFmtId="0" xfId="0" applyAlignment="1" applyFont="1">
      <alignment vertical="bottom"/>
    </xf>
    <xf borderId="0" fillId="32" fontId="57" numFmtId="0" xfId="0" applyAlignment="1" applyFont="1">
      <alignment shrinkToFit="0" vertical="bottom" wrapText="0"/>
    </xf>
    <xf borderId="19" fillId="32" fontId="4" numFmtId="0" xfId="0" applyAlignment="1" applyBorder="1" applyFont="1">
      <alignment readingOrder="0" shrinkToFit="0" vertical="bottom" wrapText="0"/>
    </xf>
    <xf borderId="0" fillId="7" fontId="4" numFmtId="0" xfId="0" applyAlignment="1" applyFont="1">
      <alignment vertical="bottom"/>
    </xf>
    <xf borderId="0" fillId="34" fontId="10" numFmtId="0" xfId="0" applyAlignment="1" applyFont="1">
      <alignment readingOrder="0" vertical="bottom"/>
    </xf>
    <xf borderId="0" fillId="34" fontId="4" numFmtId="3" xfId="0" applyAlignment="1" applyFont="1" applyNumberFormat="1">
      <alignment vertical="bottom"/>
    </xf>
    <xf borderId="0" fillId="36" fontId="10" numFmtId="0" xfId="0" applyAlignment="1" applyFill="1" applyFont="1">
      <alignment readingOrder="0" vertical="bottom"/>
    </xf>
    <xf borderId="0" fillId="36" fontId="4" numFmtId="0" xfId="0" applyAlignment="1" applyFont="1">
      <alignment vertical="bottom"/>
    </xf>
    <xf borderId="0" fillId="36" fontId="4" numFmtId="0" xfId="0" applyAlignment="1" applyFont="1">
      <alignment horizontal="right" vertical="bottom"/>
    </xf>
    <xf borderId="0" fillId="36" fontId="4" numFmtId="3" xfId="0" applyAlignment="1" applyFont="1" applyNumberFormat="1">
      <alignment vertical="bottom"/>
    </xf>
    <xf borderId="0" fillId="36" fontId="4" numFmtId="0" xfId="0" applyAlignment="1" applyFont="1">
      <alignment horizontal="right" vertical="bottom"/>
    </xf>
    <xf borderId="0" fillId="36" fontId="4" numFmtId="166" xfId="0" applyAlignment="1" applyFont="1" applyNumberFormat="1">
      <alignment horizontal="right" vertical="bottom"/>
    </xf>
    <xf borderId="0" fillId="36" fontId="10" numFmtId="166" xfId="0" applyAlignment="1" applyFont="1" applyNumberFormat="1">
      <alignment horizontal="right" vertical="bottom"/>
    </xf>
    <xf borderId="0" fillId="36" fontId="58" numFmtId="0" xfId="0" applyAlignment="1" applyFont="1">
      <alignment vertical="bottom"/>
    </xf>
    <xf borderId="0" fillId="36" fontId="4" numFmtId="0" xfId="0" applyAlignment="1" applyFont="1">
      <alignment shrinkToFit="0" vertical="bottom" wrapText="1"/>
    </xf>
    <xf borderId="19" fillId="36" fontId="1" numFmtId="0" xfId="0" applyBorder="1" applyFont="1"/>
    <xf borderId="0" fillId="36" fontId="1" numFmtId="0" xfId="0" applyFont="1"/>
    <xf borderId="0" fillId="36" fontId="4" numFmtId="164" xfId="0" applyAlignment="1" applyFont="1" applyNumberFormat="1">
      <alignment horizontal="right" vertical="bottom"/>
    </xf>
    <xf borderId="0" fillId="27" fontId="16" numFmtId="0" xfId="0" applyAlignment="1" applyFont="1">
      <alignment horizontal="center" readingOrder="0" shrinkToFit="0" vertical="bottom" wrapText="0"/>
    </xf>
    <xf borderId="13" fillId="28" fontId="16" numFmtId="0" xfId="0" applyAlignment="1" applyBorder="1" applyFont="1">
      <alignment horizontal="center" readingOrder="0" shrinkToFit="0" vertical="bottom" wrapText="0"/>
    </xf>
    <xf borderId="13" fillId="15" fontId="16" numFmtId="0" xfId="0" applyAlignment="1" applyBorder="1" applyFont="1">
      <alignment horizontal="center" readingOrder="0" shrinkToFit="0" vertical="bottom" wrapText="0"/>
    </xf>
    <xf borderId="0" fillId="4" fontId="10" numFmtId="0" xfId="0" applyAlignment="1" applyFont="1">
      <alignment shrinkToFit="0" vertical="top" wrapText="1"/>
    </xf>
    <xf borderId="0" fillId="4" fontId="10" numFmtId="0" xfId="0" applyAlignment="1" applyFont="1">
      <alignment readingOrder="0" shrinkToFit="0" vertical="top" wrapText="1"/>
    </xf>
    <xf borderId="0" fillId="4" fontId="10" numFmtId="166" xfId="0" applyAlignment="1" applyFont="1" applyNumberFormat="1">
      <alignment shrinkToFit="0" vertical="top" wrapText="1"/>
    </xf>
    <xf borderId="0" fillId="4" fontId="59" numFmtId="166" xfId="0" applyAlignment="1" applyFont="1" applyNumberFormat="1">
      <alignment readingOrder="0" shrinkToFit="0" vertical="top" wrapText="1"/>
    </xf>
    <xf borderId="0" fillId="4" fontId="10" numFmtId="166" xfId="0" applyAlignment="1" applyFont="1" applyNumberFormat="1">
      <alignment readingOrder="0" shrinkToFit="0" vertical="top" wrapText="1"/>
    </xf>
    <xf borderId="13" fillId="6" fontId="10" numFmtId="0" xfId="0" applyAlignment="1" applyBorder="1" applyFont="1">
      <alignment readingOrder="0" shrinkToFit="0" vertical="top" wrapText="1"/>
    </xf>
    <xf borderId="0" fillId="6" fontId="10" numFmtId="0" xfId="0" applyAlignment="1" applyFont="1">
      <alignment readingOrder="0" shrinkToFit="0" vertical="top" wrapText="1"/>
    </xf>
    <xf borderId="14" fillId="6" fontId="10" numFmtId="0" xfId="0" applyAlignment="1" applyBorder="1" applyFont="1">
      <alignment readingOrder="0" shrinkToFit="0" vertical="top" wrapText="1"/>
    </xf>
    <xf borderId="0" fillId="29" fontId="4" numFmtId="0" xfId="0" applyAlignment="1" applyFont="1">
      <alignment shrinkToFit="0" vertical="top" wrapText="1"/>
    </xf>
    <xf borderId="0" fillId="30" fontId="18" numFmtId="166" xfId="0" applyAlignment="1" applyFont="1" applyNumberFormat="1">
      <alignment readingOrder="0" shrinkToFit="0" vertical="bottom" wrapText="0"/>
    </xf>
    <xf borderId="0" fillId="30" fontId="18" numFmtId="166" xfId="0" applyAlignment="1" applyFont="1" applyNumberFormat="1">
      <alignment shrinkToFit="0" vertical="bottom" wrapText="0"/>
    </xf>
    <xf borderId="0" fillId="0" fontId="18" numFmtId="0" xfId="0" applyAlignment="1" applyFont="1">
      <alignment readingOrder="0" shrinkToFit="0" vertical="bottom" wrapText="0"/>
    </xf>
    <xf borderId="0" fillId="30" fontId="18" numFmtId="0" xfId="0" applyAlignment="1" applyFont="1">
      <alignment shrinkToFit="0" vertical="bottom" wrapText="0"/>
    </xf>
    <xf borderId="14" fillId="30" fontId="19" numFmtId="0" xfId="0" applyAlignment="1" applyBorder="1" applyFont="1">
      <alignment readingOrder="0" shrinkToFit="0" wrapText="0"/>
    </xf>
    <xf borderId="0" fillId="32" fontId="19" numFmtId="0" xfId="0" applyAlignment="1" applyFont="1">
      <alignment readingOrder="0" shrinkToFit="0" wrapText="0"/>
    </xf>
    <xf borderId="0" fillId="32" fontId="60" numFmtId="0" xfId="0" applyAlignment="1" applyFont="1">
      <alignment readingOrder="0" shrinkToFit="0" wrapText="0"/>
    </xf>
    <xf borderId="0" fillId="30" fontId="19" numFmtId="0" xfId="0" applyAlignment="1" applyFont="1">
      <alignment readingOrder="0" shrinkToFit="0" wrapText="0"/>
    </xf>
    <xf borderId="0" fillId="32" fontId="18" numFmtId="0" xfId="0" applyAlignment="1" applyFont="1">
      <alignment shrinkToFit="0" vertical="bottom" wrapText="0"/>
    </xf>
    <xf borderId="0" fillId="33" fontId="21" numFmtId="0" xfId="0" applyAlignment="1" applyFont="1">
      <alignment horizontal="center" readingOrder="0" shrinkToFit="0" vertical="bottom" wrapText="0"/>
    </xf>
    <xf borderId="0" fillId="33" fontId="4" numFmtId="0" xfId="0" applyAlignment="1" applyFont="1">
      <alignment readingOrder="0" shrinkToFit="0" vertical="bottom" wrapText="0"/>
    </xf>
    <xf borderId="0" fillId="33" fontId="4" numFmtId="166" xfId="0" applyAlignment="1" applyFont="1" applyNumberFormat="1">
      <alignment readingOrder="0" shrinkToFit="0" vertical="bottom" wrapText="0"/>
    </xf>
    <xf borderId="0" fillId="33" fontId="4" numFmtId="0" xfId="0" applyAlignment="1" applyFont="1">
      <alignment shrinkToFit="0" vertical="bottom" wrapText="0"/>
    </xf>
    <xf borderId="13" fillId="33" fontId="4" numFmtId="0" xfId="0" applyAlignment="1" applyBorder="1" applyFont="1">
      <alignment readingOrder="0" shrinkToFit="0" vertical="bottom" wrapText="0"/>
    </xf>
    <xf borderId="14" fillId="33" fontId="1" numFmtId="0" xfId="0" applyAlignment="1" applyBorder="1" applyFont="1">
      <alignment shrinkToFit="0" wrapText="0"/>
    </xf>
    <xf borderId="0" fillId="33" fontId="1" numFmtId="0" xfId="0" applyAlignment="1" applyFont="1">
      <alignment shrinkToFit="0" wrapText="0"/>
    </xf>
    <xf borderId="0" fillId="33" fontId="4" numFmtId="0" xfId="0" applyAlignment="1" applyFont="1">
      <alignment shrinkToFit="0" vertical="bottom" wrapText="0"/>
    </xf>
    <xf borderId="0" fillId="37" fontId="61" numFmtId="0" xfId="0" applyAlignment="1" applyFill="1" applyFont="1">
      <alignment readingOrder="0"/>
    </xf>
    <xf borderId="0" fillId="37" fontId="61" numFmtId="0" xfId="0" applyFont="1"/>
    <xf borderId="0" fillId="37" fontId="61" numFmtId="166" xfId="0" applyAlignment="1" applyFont="1" applyNumberFormat="1">
      <alignment readingOrder="0"/>
    </xf>
    <xf borderId="0" fillId="37" fontId="61" numFmtId="166" xfId="0" applyFont="1" applyNumberFormat="1"/>
    <xf borderId="0" fillId="37" fontId="62" numFmtId="0" xfId="0" applyAlignment="1" applyFont="1">
      <alignment readingOrder="0"/>
    </xf>
    <xf borderId="0" fillId="37" fontId="63" numFmtId="0" xfId="0" applyAlignment="1" applyFont="1">
      <alignment readingOrder="0"/>
    </xf>
    <xf borderId="0" fillId="37" fontId="61" numFmtId="0" xfId="0" applyFont="1"/>
    <xf borderId="0" fillId="37" fontId="61" numFmtId="167" xfId="0" applyFont="1" applyNumberFormat="1"/>
    <xf borderId="0" fillId="32" fontId="4" numFmtId="0" xfId="0" applyAlignment="1" applyFont="1">
      <alignment shrinkToFit="0" vertical="bottom" wrapText="0"/>
    </xf>
    <xf borderId="0" fillId="32" fontId="4" numFmtId="0" xfId="0" applyAlignment="1" applyFont="1">
      <alignment horizontal="right" shrinkToFit="0" vertical="bottom" wrapText="0"/>
    </xf>
    <xf borderId="0" fillId="32" fontId="1" numFmtId="0" xfId="0" applyFont="1"/>
    <xf borderId="0" fillId="32" fontId="4" numFmtId="166" xfId="0" applyAlignment="1" applyFont="1" applyNumberFormat="1">
      <alignment horizontal="right" shrinkToFit="0" vertical="bottom" wrapText="0"/>
    </xf>
    <xf borderId="0" fillId="32" fontId="49" numFmtId="0" xfId="0" applyAlignment="1" applyFont="1">
      <alignment shrinkToFit="0" vertical="bottom" wrapText="0"/>
    </xf>
    <xf borderId="0" fillId="32" fontId="64" numFmtId="0" xfId="0" applyAlignment="1" applyFont="1">
      <alignment shrinkToFit="0" vertical="bottom" wrapText="0"/>
    </xf>
    <xf borderId="0" fillId="32" fontId="1" numFmtId="167" xfId="0" applyFont="1" applyNumberFormat="1"/>
    <xf borderId="0" fillId="15" fontId="1" numFmtId="0" xfId="0" applyAlignment="1" applyFont="1">
      <alignment readingOrder="0"/>
    </xf>
    <xf borderId="0" fillId="15" fontId="1" numFmtId="0" xfId="0" applyFont="1"/>
    <xf borderId="0" fillId="15" fontId="1" numFmtId="166" xfId="0" applyAlignment="1" applyFont="1" applyNumberFormat="1">
      <alignment readingOrder="0"/>
    </xf>
    <xf borderId="0" fillId="15" fontId="1" numFmtId="166" xfId="0" applyFont="1" applyNumberFormat="1"/>
    <xf borderId="0" fillId="15" fontId="65" numFmtId="0" xfId="0" applyAlignment="1" applyFont="1">
      <alignment readingOrder="0"/>
    </xf>
    <xf borderId="0" fillId="15" fontId="4" numFmtId="0" xfId="0" applyAlignment="1" applyFont="1">
      <alignment shrinkToFit="0" vertical="bottom" wrapText="0"/>
    </xf>
    <xf borderId="0" fillId="15" fontId="1" numFmtId="0" xfId="0" applyFont="1"/>
    <xf borderId="0" fillId="15" fontId="66" numFmtId="0" xfId="0" applyAlignment="1" applyFont="1">
      <alignment readingOrder="0"/>
    </xf>
    <xf borderId="0" fillId="15" fontId="1" numFmtId="167" xfId="0" applyFont="1" applyNumberFormat="1"/>
    <xf borderId="0" fillId="33" fontId="4" numFmtId="166" xfId="0" applyAlignment="1" applyFont="1" applyNumberFormat="1">
      <alignment shrinkToFit="0" vertical="bottom" wrapText="1"/>
    </xf>
    <xf borderId="0" fillId="33" fontId="4" numFmtId="0" xfId="0" applyAlignment="1" applyFont="1">
      <alignment shrinkToFit="0" vertical="bottom" wrapText="1"/>
    </xf>
    <xf borderId="0" fillId="38" fontId="1" numFmtId="0" xfId="0" applyAlignment="1" applyFill="1" applyFont="1">
      <alignment readingOrder="0"/>
    </xf>
    <xf borderId="0" fillId="9" fontId="1" numFmtId="0" xfId="0" applyFont="1"/>
    <xf borderId="0" fillId="38" fontId="1" numFmtId="0" xfId="0" applyFont="1"/>
    <xf borderId="0" fillId="38" fontId="1" numFmtId="0" xfId="0" applyFont="1"/>
    <xf borderId="0" fillId="9" fontId="1" numFmtId="166" xfId="0" applyAlignment="1" applyFont="1" applyNumberFormat="1">
      <alignment readingOrder="0"/>
    </xf>
    <xf borderId="0" fillId="9" fontId="1" numFmtId="166" xfId="0" applyFont="1" applyNumberFormat="1"/>
    <xf borderId="0" fillId="9" fontId="67" numFmtId="0" xfId="0" applyAlignment="1" applyFont="1">
      <alignment readingOrder="0"/>
    </xf>
    <xf borderId="0" fillId="9" fontId="4" numFmtId="0" xfId="0" applyAlignment="1" applyFont="1">
      <alignment shrinkToFit="0" vertical="bottom" wrapText="0"/>
    </xf>
    <xf borderId="0" fillId="0" fontId="1" numFmtId="166" xfId="0" applyFont="1" applyNumberFormat="1"/>
    <xf borderId="0" fillId="0" fontId="3" numFmtId="166" xfId="0" applyFont="1" applyNumberFormat="1"/>
    <xf borderId="0" fillId="0" fontId="1" numFmtId="167" xfId="0" applyFont="1" applyNumberFormat="1"/>
    <xf borderId="13" fillId="33" fontId="4" numFmtId="0" xfId="0" applyAlignment="1" applyBorder="1" applyFont="1">
      <alignment vertical="bottom"/>
    </xf>
    <xf borderId="14" fillId="33" fontId="1" numFmtId="0" xfId="0" applyBorder="1" applyFont="1"/>
    <xf borderId="0" fillId="32" fontId="68" numFmtId="0" xfId="0" applyAlignment="1" applyFont="1">
      <alignment readingOrder="0" shrinkToFit="0" wrapText="1"/>
    </xf>
    <xf borderId="0" fillId="0" fontId="1" numFmtId="0" xfId="0" applyFont="1"/>
    <xf borderId="0" fillId="33" fontId="4" numFmtId="0" xfId="0" applyAlignment="1" applyFont="1">
      <alignment shrinkToFit="0" vertical="bottom" wrapText="1"/>
    </xf>
    <xf borderId="0" fillId="33" fontId="4" numFmtId="166" xfId="0" applyAlignment="1" applyFont="1" applyNumberFormat="1">
      <alignment shrinkToFit="0" vertical="bottom" wrapText="1"/>
    </xf>
    <xf borderId="0" fillId="33" fontId="4" numFmtId="166" xfId="0" applyAlignment="1" applyFont="1" applyNumberFormat="1">
      <alignment shrinkToFit="0" vertical="bottom" wrapText="0"/>
    </xf>
    <xf borderId="13" fillId="33" fontId="4" numFmtId="0" xfId="0" applyAlignment="1" applyBorder="1" applyFont="1">
      <alignment readingOrder="0" vertical="bottom"/>
    </xf>
    <xf borderId="0" fillId="32" fontId="1" numFmtId="168" xfId="0" applyAlignment="1" applyFont="1" applyNumberFormat="1">
      <alignment readingOrder="0"/>
    </xf>
    <xf borderId="0" fillId="32" fontId="69" numFmtId="166" xfId="0" applyAlignment="1" applyFont="1" applyNumberFormat="1">
      <alignment readingOrder="0"/>
    </xf>
    <xf borderId="0" fillId="8" fontId="4" numFmtId="0" xfId="0" applyAlignment="1" applyFont="1">
      <alignment vertical="bottom"/>
    </xf>
    <xf borderId="0" fillId="8" fontId="4" numFmtId="0" xfId="0" applyAlignment="1" applyFont="1">
      <alignment vertical="bottom"/>
    </xf>
    <xf borderId="0" fillId="8" fontId="4" numFmtId="0" xfId="0" applyAlignment="1" applyFont="1">
      <alignment horizontal="right" readingOrder="0" vertical="bottom"/>
    </xf>
    <xf borderId="0" fillId="8" fontId="4" numFmtId="0" xfId="0" applyAlignment="1" applyFont="1">
      <alignment horizontal="right" vertical="bottom"/>
    </xf>
    <xf borderId="0" fillId="8" fontId="4" numFmtId="166" xfId="0" applyAlignment="1" applyFont="1" applyNumberFormat="1">
      <alignment horizontal="right" vertical="bottom"/>
    </xf>
    <xf borderId="0" fillId="8" fontId="4" numFmtId="166" xfId="0" applyAlignment="1" applyFont="1" applyNumberFormat="1">
      <alignment vertical="bottom"/>
    </xf>
    <xf borderId="0" fillId="8" fontId="4" numFmtId="166" xfId="0" applyAlignment="1" applyFont="1" applyNumberFormat="1">
      <alignment readingOrder="0" vertical="bottom"/>
    </xf>
    <xf borderId="0" fillId="8" fontId="4" numFmtId="166" xfId="0" applyAlignment="1" applyFont="1" applyNumberFormat="1">
      <alignment horizontal="right" shrinkToFit="0" vertical="bottom" wrapText="1"/>
    </xf>
    <xf borderId="0" fillId="8" fontId="4" numFmtId="0" xfId="0" applyAlignment="1" applyFont="1">
      <alignment horizontal="left" vertical="bottom"/>
    </xf>
    <xf borderId="0" fillId="8" fontId="1" numFmtId="166" xfId="0" applyFont="1" applyNumberFormat="1"/>
    <xf borderId="0" fillId="8" fontId="1" numFmtId="0" xfId="0" applyFont="1"/>
    <xf borderId="0" fillId="35" fontId="4" numFmtId="0" xfId="0" applyAlignment="1" applyFont="1">
      <alignment readingOrder="0" vertical="bottom"/>
    </xf>
    <xf borderId="0" fillId="35" fontId="4" numFmtId="0" xfId="0" applyAlignment="1" applyFont="1">
      <alignment vertical="bottom"/>
    </xf>
    <xf borderId="0" fillId="35" fontId="70" numFmtId="166" xfId="0" applyAlignment="1" applyFont="1" applyNumberFormat="1">
      <alignment readingOrder="0"/>
    </xf>
    <xf borderId="0" fillId="35" fontId="71" numFmtId="166" xfId="0" applyAlignment="1" applyFont="1" applyNumberFormat="1">
      <alignment readingOrder="0"/>
    </xf>
    <xf borderId="0" fillId="35" fontId="72" numFmtId="0" xfId="0" applyAlignment="1" applyFont="1">
      <alignment readingOrder="0"/>
    </xf>
    <xf borderId="0" fillId="25" fontId="1" numFmtId="0" xfId="0" applyAlignment="1" applyFont="1">
      <alignment readingOrder="0"/>
    </xf>
    <xf borderId="0" fillId="25" fontId="1" numFmtId="0" xfId="0" applyFont="1"/>
    <xf borderId="0" fillId="34" fontId="3" numFmtId="0" xfId="0" applyAlignment="1" applyFont="1">
      <alignment readingOrder="0"/>
    </xf>
    <xf borderId="0" fillId="34" fontId="73" numFmtId="0" xfId="0" applyAlignment="1" applyFont="1">
      <alignment readingOrder="0"/>
    </xf>
    <xf borderId="0" fillId="34" fontId="1" numFmtId="166" xfId="0" applyFont="1" applyNumberFormat="1"/>
    <xf borderId="0" fillId="34" fontId="3" numFmtId="166" xfId="0" applyFont="1" applyNumberFormat="1"/>
    <xf borderId="0" fillId="33" fontId="1" numFmtId="0" xfId="0" applyAlignment="1" applyFont="1">
      <alignment shrinkToFit="0" wrapText="1"/>
    </xf>
    <xf borderId="0" fillId="34" fontId="4" numFmtId="0" xfId="0" applyAlignment="1" applyFont="1">
      <alignment readingOrder="0" shrinkToFit="0" vertical="bottom" wrapText="0"/>
    </xf>
    <xf borderId="0" fillId="0" fontId="4" numFmtId="0" xfId="0" applyAlignment="1" applyFont="1">
      <alignment horizontal="right" readingOrder="0" vertical="bottom"/>
    </xf>
    <xf borderId="0" fillId="0" fontId="4" numFmtId="166" xfId="0" applyAlignment="1" applyFont="1" applyNumberFormat="1">
      <alignment horizontal="right" readingOrder="0" vertical="bottom"/>
    </xf>
    <xf borderId="0" fillId="0" fontId="4" numFmtId="166" xfId="0" applyAlignment="1" applyFont="1" applyNumberFormat="1">
      <alignment vertical="bottom"/>
    </xf>
    <xf borderId="0" fillId="0" fontId="4" numFmtId="166" xfId="0" applyAlignment="1" applyFont="1" applyNumberFormat="1">
      <alignment horizontal="right" vertical="bottom"/>
    </xf>
    <xf borderId="0" fillId="0" fontId="74" numFmtId="0" xfId="0" applyAlignment="1" applyFont="1">
      <alignment readingOrder="0" vertical="bottom"/>
    </xf>
    <xf borderId="0" fillId="0" fontId="4" numFmtId="0" xfId="0" applyAlignment="1" applyFont="1">
      <alignment readingOrder="0" shrinkToFit="0" vertical="bottom" wrapText="1"/>
    </xf>
    <xf borderId="14" fillId="0" fontId="4" numFmtId="0" xfId="0" applyAlignment="1" applyBorder="1" applyFont="1">
      <alignment shrinkToFit="0" vertical="bottom" wrapText="1"/>
    </xf>
    <xf borderId="13" fillId="0" fontId="4" numFmtId="0" xfId="0" applyAlignment="1" applyBorder="1" applyFont="1">
      <alignment readingOrder="0" vertical="bottom"/>
    </xf>
    <xf borderId="14" fillId="0" fontId="1" numFmtId="0" xfId="0" applyAlignment="1" applyBorder="1" applyFont="1">
      <alignment readingOrder="0"/>
    </xf>
    <xf borderId="0" fillId="0" fontId="75" numFmtId="166" xfId="0" applyAlignment="1" applyFont="1" applyNumberFormat="1">
      <alignment horizontal="right" readingOrder="0" vertical="bottom"/>
    </xf>
    <xf borderId="0" fillId="0" fontId="4" numFmtId="166" xfId="0" applyAlignment="1" applyFont="1" applyNumberFormat="1">
      <alignment readingOrder="0" vertical="bottom"/>
    </xf>
    <xf borderId="0" fillId="0" fontId="29" numFmtId="166" xfId="0" applyFont="1" applyNumberFormat="1"/>
    <xf borderId="0" fillId="0" fontId="76" numFmtId="0" xfId="0" applyAlignment="1" applyFont="1">
      <alignment vertical="bottom"/>
    </xf>
    <xf borderId="14" fillId="0" fontId="4" numFmtId="0" xfId="0" applyAlignment="1" applyBorder="1" applyFont="1">
      <alignment vertical="bottom"/>
    </xf>
    <xf borderId="0" fillId="0" fontId="77" numFmtId="166" xfId="0" applyFont="1" applyNumberFormat="1"/>
    <xf borderId="0" fillId="0" fontId="18" numFmtId="167" xfId="0" applyAlignment="1" applyFont="1" applyNumberFormat="1">
      <alignment horizontal="right" shrinkToFit="0" vertical="bottom" wrapText="0"/>
    </xf>
    <xf borderId="0" fillId="0" fontId="78" numFmtId="166" xfId="0" applyAlignment="1" applyFont="1" applyNumberFormat="1">
      <alignment horizontal="center" readingOrder="0"/>
    </xf>
    <xf borderId="0" fillId="0" fontId="78" numFmtId="166" xfId="0" applyAlignment="1" applyFont="1" applyNumberFormat="1">
      <alignment readingOrder="0"/>
    </xf>
    <xf borderId="0" fillId="0" fontId="79" numFmtId="0" xfId="0" applyAlignment="1" applyFont="1">
      <alignment horizontal="center" readingOrder="0"/>
    </xf>
    <xf borderId="0" fillId="0" fontId="76" numFmtId="0" xfId="0" applyAlignment="1" applyFont="1">
      <alignment readingOrder="0" vertical="bottom"/>
    </xf>
    <xf borderId="0" fillId="32" fontId="56" numFmtId="166" xfId="0" applyAlignment="1" applyFont="1" applyNumberFormat="1">
      <alignment horizontal="right" readingOrder="0"/>
    </xf>
    <xf borderId="0" fillId="32" fontId="1" numFmtId="166" xfId="0" applyFont="1" applyNumberFormat="1"/>
    <xf borderId="0" fillId="32" fontId="80" numFmtId="0" xfId="0" applyAlignment="1" applyFont="1">
      <alignment readingOrder="0"/>
    </xf>
    <xf borderId="0" fillId="32" fontId="81" numFmtId="0" xfId="0" applyAlignment="1" applyFont="1">
      <alignment readingOrder="0"/>
    </xf>
    <xf borderId="0" fillId="32" fontId="1" numFmtId="0" xfId="0" applyAlignment="1" applyFont="1">
      <alignment readingOrder="0"/>
    </xf>
    <xf borderId="0" fillId="0" fontId="1" numFmtId="166" xfId="0" applyFont="1" applyNumberFormat="1"/>
    <xf borderId="0" fillId="0" fontId="1" numFmtId="168" xfId="0" applyAlignment="1" applyFont="1" applyNumberFormat="1">
      <alignment readingOrder="0"/>
    </xf>
    <xf borderId="0" fillId="34" fontId="82" numFmtId="0" xfId="0" applyAlignment="1" applyFont="1">
      <alignment readingOrder="0"/>
    </xf>
    <xf borderId="0" fillId="34" fontId="4" numFmtId="166" xfId="0" applyAlignment="1" applyFont="1" applyNumberFormat="1">
      <alignment horizontal="right" readingOrder="0" vertical="bottom"/>
    </xf>
    <xf borderId="0" fillId="34" fontId="10" numFmtId="166" xfId="0" applyAlignment="1" applyFont="1" applyNumberFormat="1">
      <alignment horizontal="right" readingOrder="0" vertical="bottom"/>
    </xf>
    <xf borderId="0" fillId="34" fontId="4" numFmtId="0" xfId="0" applyAlignment="1" applyFont="1">
      <alignment readingOrder="0" vertical="bottom"/>
    </xf>
    <xf borderId="0" fillId="34" fontId="83" numFmtId="0" xfId="0" applyAlignment="1" applyFont="1">
      <alignment horizontal="right" readingOrder="0" vertical="bottom"/>
    </xf>
    <xf borderId="0" fillId="34" fontId="4" numFmtId="0" xfId="0" applyAlignment="1" applyFont="1">
      <alignment readingOrder="0" shrinkToFit="0" vertical="bottom" wrapText="1"/>
    </xf>
    <xf borderId="0" fillId="34" fontId="83" numFmtId="0" xfId="0" applyAlignment="1" applyFont="1">
      <alignment shrinkToFit="0" vertical="bottom" wrapText="0"/>
    </xf>
    <xf borderId="0" fillId="34" fontId="84" numFmtId="0" xfId="0" applyAlignment="1" applyFont="1">
      <alignment readingOrder="0" shrinkToFit="0" wrapText="1"/>
    </xf>
    <xf borderId="13" fillId="34" fontId="18" numFmtId="0" xfId="0" applyAlignment="1" applyBorder="1" applyFont="1">
      <alignment readingOrder="0" vertical="bottom"/>
    </xf>
    <xf borderId="0" fillId="34" fontId="18" numFmtId="0" xfId="0" applyAlignment="1" applyFont="1">
      <alignment readingOrder="0" vertical="bottom"/>
    </xf>
    <xf borderId="14" fillId="34" fontId="19" numFmtId="0" xfId="0" applyAlignment="1" applyBorder="1" applyFont="1">
      <alignment readingOrder="0"/>
    </xf>
    <xf borderId="0" fillId="31" fontId="1" numFmtId="166" xfId="0" applyAlignment="1" applyFont="1" applyNumberFormat="1">
      <alignment readingOrder="0"/>
    </xf>
    <xf borderId="0" fillId="31" fontId="85" numFmtId="0" xfId="0" applyAlignment="1" applyFont="1">
      <alignment readingOrder="0" shrinkToFit="0" wrapText="1"/>
    </xf>
    <xf borderId="0" fillId="31" fontId="1" numFmtId="0" xfId="0" applyFont="1"/>
    <xf borderId="0" fillId="31" fontId="86" numFmtId="0" xfId="0" applyAlignment="1" applyFont="1">
      <alignment readingOrder="0" shrinkToFit="0" wrapText="1"/>
    </xf>
    <xf borderId="0" fillId="31" fontId="1" numFmtId="0" xfId="0" applyAlignment="1" applyFont="1">
      <alignment readingOrder="0" shrinkToFit="0" wrapText="1"/>
    </xf>
    <xf borderId="0" fillId="34" fontId="1" numFmtId="166" xfId="0" applyAlignment="1" applyFont="1" applyNumberFormat="1">
      <alignment readingOrder="0"/>
    </xf>
    <xf borderId="0" fillId="34" fontId="3" numFmtId="166" xfId="0" applyAlignment="1" applyFont="1" applyNumberFormat="1">
      <alignment readingOrder="0"/>
    </xf>
    <xf borderId="0" fillId="34" fontId="1" numFmtId="0" xfId="0" applyAlignment="1" applyFont="1">
      <alignment readingOrder="0" shrinkToFit="0" wrapText="1"/>
    </xf>
    <xf borderId="0" fillId="34" fontId="1" numFmtId="0" xfId="0" applyFont="1"/>
    <xf borderId="0" fillId="37" fontId="63" numFmtId="49" xfId="0" applyAlignment="1" applyFont="1" applyNumberFormat="1">
      <alignment horizontal="right" readingOrder="0"/>
    </xf>
    <xf borderId="0" fillId="37" fontId="63" numFmtId="166" xfId="0" applyAlignment="1" applyFont="1" applyNumberFormat="1">
      <alignment readingOrder="0"/>
    </xf>
    <xf borderId="0" fillId="37" fontId="87" numFmtId="166" xfId="0" applyAlignment="1" applyFont="1" applyNumberFormat="1">
      <alignment readingOrder="0"/>
    </xf>
    <xf borderId="0" fillId="37" fontId="88" numFmtId="0" xfId="0" applyAlignment="1" applyFont="1">
      <alignment readingOrder="0"/>
    </xf>
    <xf borderId="0" fillId="32" fontId="1" numFmtId="49" xfId="0" applyAlignment="1" applyFont="1" applyNumberFormat="1">
      <alignment horizontal="right" readingOrder="0"/>
    </xf>
    <xf borderId="0" fillId="32" fontId="0" numFmtId="0" xfId="0" applyAlignment="1" applyFont="1">
      <alignment readingOrder="0"/>
    </xf>
    <xf borderId="0" fillId="9" fontId="0" numFmtId="0" xfId="0" applyAlignment="1" applyFont="1">
      <alignment readingOrder="0"/>
    </xf>
    <xf borderId="0" fillId="9" fontId="1" numFmtId="49" xfId="0" applyAlignment="1" applyFont="1" applyNumberFormat="1">
      <alignment horizontal="right" readingOrder="0"/>
    </xf>
    <xf borderId="0" fillId="9" fontId="1" numFmtId="166" xfId="0" applyAlignment="1" applyFont="1" applyNumberFormat="1">
      <alignment horizontal="right" readingOrder="0"/>
    </xf>
    <xf borderId="0" fillId="9" fontId="89" numFmtId="0" xfId="0" applyAlignment="1" applyFont="1">
      <alignment readingOrder="0"/>
    </xf>
    <xf borderId="0" fillId="32" fontId="56" numFmtId="0" xfId="0" applyAlignment="1" applyFont="1">
      <alignment readingOrder="0"/>
    </xf>
    <xf borderId="0" fillId="0" fontId="1" numFmtId="49" xfId="0" applyFont="1" applyNumberFormat="1"/>
    <xf borderId="0" fillId="34" fontId="1" numFmtId="166" xfId="0" applyFont="1" applyNumberFormat="1"/>
    <xf borderId="0" fillId="34" fontId="3" numFmtId="166" xfId="0" applyFont="1" applyNumberFormat="1"/>
    <xf borderId="0" fillId="34" fontId="1" numFmtId="167" xfId="0" applyFont="1" applyNumberFormat="1"/>
    <xf borderId="0" fillId="33" fontId="21" numFmtId="0" xfId="0" applyAlignment="1" applyFont="1">
      <alignment horizontal="center" readingOrder="0" vertical="bottom"/>
    </xf>
    <xf borderId="0" fillId="33" fontId="4" numFmtId="166" xfId="0" applyAlignment="1" applyFont="1" applyNumberFormat="1">
      <alignment vertical="bottom"/>
    </xf>
    <xf borderId="14" fillId="33" fontId="4" numFmtId="0" xfId="0" applyAlignment="1" applyBorder="1" applyFont="1">
      <alignment vertical="bottom"/>
    </xf>
    <xf borderId="0" fillId="31" fontId="4" numFmtId="0" xfId="0" applyAlignment="1" applyFont="1">
      <alignment vertical="bottom"/>
    </xf>
    <xf borderId="0" fillId="31" fontId="7" numFmtId="0" xfId="0" applyAlignment="1" applyFont="1">
      <alignment vertical="bottom"/>
    </xf>
    <xf borderId="0" fillId="31" fontId="4" numFmtId="0" xfId="0" applyAlignment="1" applyFont="1">
      <alignment horizontal="right" vertical="bottom"/>
    </xf>
    <xf borderId="0" fillId="31" fontId="4" numFmtId="0" xfId="0" applyAlignment="1" applyFont="1">
      <alignment horizontal="right" vertical="bottom"/>
    </xf>
    <xf borderId="0" fillId="31" fontId="4" numFmtId="166" xfId="0" applyAlignment="1" applyFont="1" applyNumberFormat="1">
      <alignment horizontal="right" readingOrder="0" vertical="bottom"/>
    </xf>
    <xf borderId="0" fillId="31" fontId="4" numFmtId="166" xfId="0" applyAlignment="1" applyFont="1" applyNumberFormat="1">
      <alignment vertical="bottom"/>
    </xf>
    <xf borderId="0" fillId="31" fontId="4" numFmtId="166" xfId="0" applyAlignment="1" applyFont="1" applyNumberFormat="1">
      <alignment horizontal="right" vertical="bottom"/>
    </xf>
    <xf borderId="0" fillId="31" fontId="90" numFmtId="0" xfId="0" applyAlignment="1" applyFont="1">
      <alignment vertical="bottom"/>
    </xf>
    <xf borderId="0" fillId="32" fontId="7" numFmtId="0" xfId="0" applyAlignment="1" applyFont="1">
      <alignment vertical="bottom"/>
    </xf>
    <xf borderId="0" fillId="32" fontId="4" numFmtId="166" xfId="0" applyAlignment="1" applyFont="1" applyNumberFormat="1">
      <alignment horizontal="right" vertical="bottom"/>
    </xf>
    <xf borderId="0" fillId="32" fontId="91" numFmtId="0" xfId="0" applyAlignment="1" applyFont="1">
      <alignment readingOrder="0"/>
    </xf>
    <xf borderId="0" fillId="32" fontId="7" numFmtId="0" xfId="0" applyAlignment="1" applyFont="1">
      <alignment readingOrder="0"/>
    </xf>
    <xf borderId="0" fillId="31" fontId="7" numFmtId="0" xfId="0" applyFont="1"/>
    <xf borderId="0" fillId="31" fontId="1" numFmtId="166" xfId="0" applyFont="1" applyNumberFormat="1"/>
    <xf borderId="0" fillId="31" fontId="7" numFmtId="0" xfId="0" applyFont="1"/>
    <xf borderId="0" fillId="32" fontId="7" numFmtId="0" xfId="0" applyAlignment="1" applyFont="1">
      <alignment readingOrder="0" shrinkToFit="0" wrapText="0"/>
    </xf>
    <xf borderId="0" fillId="32" fontId="91" numFmtId="166" xfId="0" applyAlignment="1" applyFont="1" applyNumberFormat="1">
      <alignment horizontal="right" readingOrder="0"/>
    </xf>
    <xf borderId="0" fillId="31" fontId="69" numFmtId="0" xfId="0" applyAlignment="1" applyFont="1">
      <alignment readingOrder="0"/>
    </xf>
    <xf borderId="0" fillId="31" fontId="1" numFmtId="166" xfId="0" applyAlignment="1" applyFont="1" applyNumberFormat="1">
      <alignment readingOrder="0"/>
    </xf>
    <xf borderId="0" fillId="31" fontId="92" numFmtId="0" xfId="0" applyAlignment="1" applyFont="1">
      <alignment readingOrder="0"/>
    </xf>
    <xf borderId="0" fillId="34" fontId="3" numFmtId="0" xfId="0" applyFont="1"/>
    <xf borderId="0" fillId="34" fontId="3" numFmtId="0" xfId="0" applyFont="1"/>
    <xf borderId="0" fillId="34" fontId="3" numFmtId="166" xfId="0" applyAlignment="1" applyFont="1" applyNumberFormat="1">
      <alignment readingOrder="0"/>
    </xf>
    <xf borderId="0" fillId="33" fontId="1" numFmtId="166" xfId="0" applyFont="1" applyNumberFormat="1"/>
    <xf borderId="13" fillId="33" fontId="1" numFmtId="0" xfId="0" applyBorder="1" applyFont="1"/>
    <xf borderId="0" fillId="26" fontId="1" numFmtId="0" xfId="0" applyAlignment="1" applyFont="1">
      <alignment readingOrder="0"/>
    </xf>
    <xf borderId="0" fillId="26" fontId="1" numFmtId="0" xfId="0" applyFont="1"/>
    <xf borderId="0" fillId="26" fontId="1" numFmtId="166" xfId="0" applyAlignment="1" applyFont="1" applyNumberFormat="1">
      <alignment readingOrder="0"/>
    </xf>
    <xf borderId="0" fillId="26" fontId="1" numFmtId="166" xfId="0" applyFont="1" applyNumberFormat="1"/>
    <xf borderId="0" fillId="26" fontId="93" numFmtId="0" xfId="0" applyAlignment="1" applyFont="1">
      <alignment readingOrder="0"/>
    </xf>
    <xf borderId="0" fillId="26" fontId="4" numFmtId="0" xfId="0" applyAlignment="1" applyFont="1">
      <alignment vertical="bottom"/>
    </xf>
    <xf borderId="0" fillId="26" fontId="94" numFmtId="0" xfId="0" applyAlignment="1" applyFont="1">
      <alignment readingOrder="0"/>
    </xf>
    <xf borderId="0" fillId="35" fontId="3" numFmtId="166" xfId="0" applyAlignment="1" applyFont="1" applyNumberFormat="1">
      <alignment readingOrder="0"/>
    </xf>
    <xf borderId="0" fillId="35" fontId="95" numFmtId="0" xfId="0" applyAlignment="1" applyFont="1">
      <alignment readingOrder="0"/>
    </xf>
    <xf borderId="0" fillId="34" fontId="1" numFmtId="166" xfId="0" applyAlignment="1" applyFont="1" applyNumberFormat="1">
      <alignment readingOrder="0"/>
    </xf>
    <xf borderId="0" fillId="34" fontId="96" numFmtId="0" xfId="0" applyAlignment="1" applyFont="1">
      <alignment readingOrder="0"/>
    </xf>
    <xf borderId="0" fillId="36" fontId="3" numFmtId="0" xfId="0" applyAlignment="1" applyFont="1">
      <alignment readingOrder="0"/>
    </xf>
    <xf borderId="0" fillId="36" fontId="1" numFmtId="0" xfId="0" applyAlignment="1" applyFont="1">
      <alignment readingOrder="0"/>
    </xf>
    <xf borderId="0" fillId="36" fontId="1" numFmtId="166" xfId="0" applyAlignment="1" applyFont="1" applyNumberFormat="1">
      <alignment readingOrder="0"/>
    </xf>
    <xf borderId="0" fillId="36" fontId="1" numFmtId="166" xfId="0" applyFont="1" applyNumberFormat="1"/>
    <xf borderId="0" fillId="36" fontId="3" numFmtId="166" xfId="0" applyFont="1" applyNumberFormat="1"/>
    <xf borderId="13" fillId="28" fontId="16" numFmtId="0" xfId="0" applyAlignment="1" applyBorder="1" applyFont="1">
      <alignment horizontal="center" readingOrder="0" vertical="bottom"/>
    </xf>
    <xf borderId="0" fillId="4" fontId="10" numFmtId="0" xfId="0" applyAlignment="1" applyFont="1">
      <alignment horizontal="left" shrinkToFit="0" vertical="top" wrapText="1"/>
    </xf>
    <xf borderId="0" fillId="4" fontId="10" numFmtId="0" xfId="0" applyAlignment="1" applyFont="1">
      <alignment shrinkToFit="0" vertical="top" wrapText="0"/>
    </xf>
    <xf borderId="0" fillId="30" fontId="97" numFmtId="0" xfId="0" applyAlignment="1" applyFont="1">
      <alignment readingOrder="0" vertical="bottom"/>
    </xf>
    <xf borderId="0" fillId="30" fontId="18" numFmtId="0" xfId="0" applyAlignment="1" applyFont="1">
      <alignment horizontal="left" readingOrder="0" shrinkToFit="0" vertical="bottom" wrapText="1"/>
    </xf>
    <xf borderId="14" fillId="30" fontId="19" numFmtId="0" xfId="0" applyAlignment="1" applyBorder="1" applyFont="1">
      <alignment readingOrder="0"/>
    </xf>
    <xf borderId="13" fillId="33" fontId="4" numFmtId="0" xfId="0" applyAlignment="1" applyBorder="1" applyFont="1">
      <alignment vertical="bottom"/>
    </xf>
    <xf borderId="0" fillId="32" fontId="1" numFmtId="0" xfId="0" applyAlignment="1" applyFont="1">
      <alignment shrinkToFit="0" wrapText="1"/>
    </xf>
    <xf borderId="0" fillId="2" fontId="4" numFmtId="0" xfId="0" applyAlignment="1" applyFont="1">
      <alignment readingOrder="0" shrinkToFit="0" vertical="bottom" wrapText="0"/>
    </xf>
    <xf borderId="14" fillId="2" fontId="1" numFmtId="0" xfId="0" applyAlignment="1" applyBorder="1" applyFont="1">
      <alignment readingOrder="0"/>
    </xf>
    <xf borderId="0" fillId="26" fontId="1" numFmtId="0" xfId="0" applyAlignment="1" applyFont="1">
      <alignment readingOrder="0" shrinkToFit="0" wrapText="1"/>
    </xf>
    <xf borderId="0" fillId="26" fontId="4" numFmtId="0" xfId="0" applyAlignment="1" applyFont="1">
      <alignment readingOrder="0" shrinkToFit="0" vertical="bottom" wrapText="0"/>
    </xf>
    <xf borderId="14" fillId="26" fontId="1" numFmtId="0" xfId="0" applyAlignment="1" applyBorder="1" applyFont="1">
      <alignment readingOrder="0"/>
    </xf>
    <xf borderId="0" fillId="26" fontId="4" numFmtId="0" xfId="0" applyAlignment="1" applyFont="1">
      <alignment readingOrder="0" vertical="bottom"/>
    </xf>
    <xf borderId="0" fillId="26" fontId="4" numFmtId="0" xfId="0" applyAlignment="1" applyFont="1">
      <alignment horizontal="left" readingOrder="0" shrinkToFit="0" vertical="bottom" wrapText="1"/>
    </xf>
    <xf borderId="0" fillId="26" fontId="4" numFmtId="0" xfId="0" applyAlignment="1" applyFont="1">
      <alignment readingOrder="0" shrinkToFit="0" vertical="bottom" wrapText="1"/>
    </xf>
    <xf borderId="0" fillId="26" fontId="4" numFmtId="0" xfId="0" applyAlignment="1" applyFont="1">
      <alignment horizontal="right" readingOrder="0" vertical="bottom"/>
    </xf>
    <xf borderId="0" fillId="26" fontId="4" numFmtId="166" xfId="0" applyAlignment="1" applyFont="1" applyNumberFormat="1">
      <alignment readingOrder="0" vertical="bottom"/>
    </xf>
    <xf borderId="0" fillId="26" fontId="4" numFmtId="166" xfId="0" applyAlignment="1" applyFont="1" applyNumberFormat="1">
      <alignment vertical="bottom"/>
    </xf>
    <xf borderId="0" fillId="26" fontId="98" numFmtId="166" xfId="0" applyAlignment="1" applyFont="1" applyNumberFormat="1">
      <alignment readingOrder="0" shrinkToFit="0" vertical="bottom" wrapText="0"/>
    </xf>
    <xf borderId="0" fillId="26" fontId="4" numFmtId="0" xfId="0" applyAlignment="1" applyFont="1">
      <alignment shrinkToFit="0" vertical="bottom" wrapText="0"/>
    </xf>
    <xf borderId="0" fillId="26" fontId="4" numFmtId="0" xfId="0" applyAlignment="1" applyFont="1">
      <alignment vertical="bottom"/>
    </xf>
    <xf borderId="0" fillId="26" fontId="3" numFmtId="0" xfId="0" applyAlignment="1" applyFont="1">
      <alignment readingOrder="0"/>
    </xf>
    <xf borderId="0" fillId="0" fontId="21" numFmtId="0" xfId="0" applyAlignment="1" applyFont="1">
      <alignment horizontal="center" vertical="bottom"/>
    </xf>
    <xf borderId="14" fillId="0" fontId="4" numFmtId="0" xfId="0" applyAlignment="1" applyBorder="1" applyFont="1">
      <alignment vertical="bottom"/>
    </xf>
    <xf borderId="0" fillId="33" fontId="21" numFmtId="0" xfId="0" applyAlignment="1" applyFont="1">
      <alignment horizontal="center" vertical="bottom"/>
    </xf>
    <xf borderId="0" fillId="32" fontId="4" numFmtId="0" xfId="0" applyAlignment="1" applyFont="1">
      <alignment horizontal="left" readingOrder="0" shrinkToFit="0" vertical="bottom" wrapText="1"/>
    </xf>
    <xf borderId="0" fillId="32" fontId="99" numFmtId="166" xfId="0" applyAlignment="1" applyFont="1" applyNumberFormat="1">
      <alignment horizontal="right" readingOrder="0"/>
    </xf>
    <xf borderId="0" fillId="32" fontId="100" numFmtId="0" xfId="0" applyAlignment="1" applyFont="1">
      <alignment horizontal="left" readingOrder="0"/>
    </xf>
    <xf borderId="0" fillId="32" fontId="101" numFmtId="166" xfId="0" applyAlignment="1" applyFont="1" applyNumberFormat="1">
      <alignment readingOrder="0" shrinkToFit="0" vertical="bottom" wrapText="0"/>
    </xf>
    <xf borderId="0" fillId="32" fontId="4" numFmtId="0" xfId="0" applyAlignment="1" applyFont="1">
      <alignment vertical="bottom"/>
    </xf>
    <xf borderId="13" fillId="32" fontId="4" numFmtId="0" xfId="0" applyAlignment="1" applyBorder="1" applyFont="1">
      <alignment readingOrder="0" vertical="bottom"/>
    </xf>
    <xf borderId="14" fillId="32" fontId="1" numFmtId="0" xfId="0" applyAlignment="1" applyBorder="1" applyFont="1">
      <alignment readingOrder="0"/>
    </xf>
    <xf borderId="0" fillId="32" fontId="18" numFmtId="167" xfId="0" applyAlignment="1" applyFont="1" applyNumberFormat="1">
      <alignment readingOrder="0" shrinkToFit="0" vertical="bottom" wrapText="0"/>
    </xf>
    <xf borderId="0" fillId="32" fontId="100" numFmtId="0" xfId="0" applyAlignment="1" applyFont="1">
      <alignment horizontal="left" readingOrder="0"/>
    </xf>
    <xf borderId="0" fillId="32" fontId="4" numFmtId="166" xfId="0" applyAlignment="1" applyFont="1" applyNumberFormat="1">
      <alignment horizontal="right" readingOrder="0" vertical="bottom"/>
    </xf>
    <xf borderId="0" fillId="32" fontId="102" numFmtId="0" xfId="0" applyAlignment="1" applyFont="1">
      <alignment readingOrder="0"/>
    </xf>
    <xf borderId="0" fillId="32" fontId="4" numFmtId="166" xfId="0" applyAlignment="1" applyFont="1" applyNumberFormat="1">
      <alignment readingOrder="0" shrinkToFit="0" vertical="bottom" wrapText="1"/>
    </xf>
    <xf borderId="0" fillId="32" fontId="4" numFmtId="0" xfId="0" applyAlignment="1" applyFont="1">
      <alignment horizontal="right" readingOrder="0" vertical="bottom"/>
    </xf>
    <xf borderId="0" fillId="32" fontId="103" numFmtId="166" xfId="0" applyAlignment="1" applyFont="1" applyNumberFormat="1">
      <alignment readingOrder="0" shrinkToFit="0" vertical="bottom" wrapText="0"/>
    </xf>
    <xf borderId="0" fillId="32" fontId="4" numFmtId="0" xfId="0" applyAlignment="1" applyFont="1">
      <alignment shrinkToFit="0" vertical="bottom" wrapText="0"/>
    </xf>
    <xf borderId="0" fillId="39" fontId="1" numFmtId="0" xfId="0" applyFill="1" applyFont="1"/>
    <xf borderId="0" fillId="39" fontId="3" numFmtId="0" xfId="0" applyAlignment="1" applyFont="1">
      <alignment readingOrder="0"/>
    </xf>
    <xf borderId="0" fillId="26" fontId="1" numFmtId="0" xfId="0" applyAlignment="1" applyFont="1">
      <alignment horizontal="left" readingOrder="0"/>
    </xf>
    <xf borderId="0" fillId="26" fontId="4" numFmtId="0" xfId="0" applyAlignment="1" applyFont="1">
      <alignment vertical="bottom"/>
    </xf>
    <xf borderId="0" fillId="26" fontId="4" numFmtId="166" xfId="0" applyAlignment="1" applyFont="1" applyNumberFormat="1">
      <alignment shrinkToFit="0" vertical="bottom" wrapText="0"/>
    </xf>
    <xf borderId="0" fillId="0" fontId="4" numFmtId="166" xfId="0" applyAlignment="1" applyFont="1" applyNumberFormat="1">
      <alignment shrinkToFit="0" vertical="bottom" wrapText="1"/>
    </xf>
    <xf borderId="13" fillId="0" fontId="4" numFmtId="0" xfId="0" applyAlignment="1" applyBorder="1" applyFont="1">
      <alignment vertical="bottom"/>
    </xf>
    <xf borderId="13" fillId="33" fontId="4" numFmtId="0" xfId="0" applyAlignment="1" applyBorder="1" applyFont="1">
      <alignment vertical="bottom"/>
    </xf>
    <xf borderId="0" fillId="26" fontId="1" numFmtId="0" xfId="0" applyAlignment="1" applyFont="1">
      <alignment shrinkToFit="0" wrapText="1"/>
    </xf>
    <xf borderId="0" fillId="26" fontId="104" numFmtId="0" xfId="0" applyFont="1"/>
    <xf borderId="0" fillId="26" fontId="105" numFmtId="166" xfId="0" applyAlignment="1" applyFont="1" applyNumberFormat="1">
      <alignment readingOrder="0"/>
    </xf>
    <xf borderId="0" fillId="26" fontId="1" numFmtId="166" xfId="0" applyAlignment="1" applyFont="1" applyNumberFormat="1">
      <alignment shrinkToFit="0" wrapText="1"/>
    </xf>
    <xf borderId="0" fillId="26" fontId="1" numFmtId="167" xfId="0" applyFont="1" applyNumberFormat="1"/>
    <xf borderId="0" fillId="26" fontId="4" numFmtId="0" xfId="0" applyAlignment="1" applyFont="1">
      <alignment horizontal="left" readingOrder="0" shrinkToFit="0" vertical="bottom" wrapText="1"/>
    </xf>
    <xf borderId="0" fillId="26" fontId="4" numFmtId="0" xfId="0" applyAlignment="1" applyFont="1">
      <alignment horizontal="right" readingOrder="0" vertical="bottom"/>
    </xf>
    <xf borderId="0" fillId="26" fontId="4" numFmtId="166" xfId="0" applyAlignment="1" applyFont="1" applyNumberFormat="1">
      <alignment horizontal="right" readingOrder="0" vertical="bottom"/>
    </xf>
    <xf borderId="0" fillId="26" fontId="4" numFmtId="0" xfId="0" applyAlignment="1" applyFont="1">
      <alignment readingOrder="0" vertical="bottom"/>
    </xf>
    <xf borderId="0" fillId="26" fontId="4" numFmtId="166" xfId="0" applyAlignment="1" applyFont="1" applyNumberFormat="1">
      <alignment readingOrder="0" shrinkToFit="0" vertical="bottom" wrapText="1"/>
    </xf>
    <xf borderId="0" fillId="26" fontId="4" numFmtId="166" xfId="0" applyAlignment="1" applyFont="1" applyNumberFormat="1">
      <alignment readingOrder="0" shrinkToFit="0" vertical="bottom" wrapText="0"/>
    </xf>
    <xf borderId="0" fillId="26" fontId="4" numFmtId="0" xfId="0" applyAlignment="1" applyFont="1">
      <alignment vertical="bottom"/>
    </xf>
    <xf borderId="0" fillId="26" fontId="18" numFmtId="167" xfId="0" applyAlignment="1" applyFont="1" applyNumberFormat="1">
      <alignment readingOrder="0" shrinkToFit="0" vertical="bottom" wrapText="0"/>
    </xf>
    <xf borderId="0" fillId="26" fontId="106" numFmtId="166" xfId="0" applyAlignment="1" applyFont="1" applyNumberFormat="1">
      <alignment readingOrder="0" shrinkToFit="0" vertical="bottom" wrapText="0"/>
    </xf>
    <xf borderId="0" fillId="26" fontId="4" numFmtId="0" xfId="0" applyAlignment="1" applyFont="1">
      <alignment readingOrder="0" vertical="bottom"/>
    </xf>
    <xf borderId="0" fillId="26" fontId="4" numFmtId="0" xfId="0" applyAlignment="1" applyFont="1">
      <alignment horizontal="left" readingOrder="0" vertical="bottom"/>
    </xf>
    <xf borderId="0" fillId="26" fontId="4" numFmtId="0" xfId="0" applyAlignment="1" applyFont="1">
      <alignment horizontal="left" readingOrder="0" shrinkToFit="0" vertical="bottom" wrapText="1"/>
    </xf>
    <xf borderId="0" fillId="26" fontId="4" numFmtId="0" xfId="0" applyAlignment="1" applyFont="1">
      <alignment readingOrder="0" shrinkToFit="0" vertical="bottom" wrapText="1"/>
    </xf>
    <xf borderId="0" fillId="26" fontId="4" numFmtId="0" xfId="0" applyAlignment="1" applyFont="1">
      <alignment horizontal="right" readingOrder="0" vertical="bottom"/>
    </xf>
    <xf borderId="0" fillId="26" fontId="4" numFmtId="166" xfId="0" applyAlignment="1" applyFont="1" applyNumberFormat="1">
      <alignment horizontal="right" readingOrder="0" vertical="bottom"/>
    </xf>
    <xf borderId="0" fillId="26" fontId="4" numFmtId="166" xfId="0" applyAlignment="1" applyFont="1" applyNumberFormat="1">
      <alignment vertical="bottom"/>
    </xf>
    <xf borderId="0" fillId="26" fontId="4" numFmtId="166" xfId="0" applyAlignment="1" applyFont="1" applyNumberFormat="1">
      <alignment shrinkToFit="0" vertical="bottom" wrapText="1"/>
    </xf>
    <xf borderId="0" fillId="26" fontId="4" numFmtId="166" xfId="0" applyAlignment="1" applyFont="1" applyNumberFormat="1">
      <alignment readingOrder="0" shrinkToFit="0" vertical="bottom" wrapText="0"/>
    </xf>
    <xf borderId="0" fillId="26" fontId="107" numFmtId="166" xfId="0" applyAlignment="1" applyFont="1" applyNumberFormat="1">
      <alignment shrinkToFit="0" vertical="bottom" wrapText="0"/>
    </xf>
    <xf borderId="13" fillId="26" fontId="4" numFmtId="0" xfId="0" applyAlignment="1" applyBorder="1" applyFont="1">
      <alignment readingOrder="0" vertical="bottom"/>
    </xf>
    <xf borderId="0" fillId="26" fontId="4" numFmtId="166" xfId="0" applyAlignment="1" applyFont="1" applyNumberFormat="1">
      <alignment readingOrder="0" vertical="bottom"/>
    </xf>
    <xf borderId="0" fillId="26" fontId="108" numFmtId="166" xfId="0" applyAlignment="1" applyFont="1" applyNumberFormat="1">
      <alignment readingOrder="0" shrinkToFit="0" vertical="bottom" wrapText="0"/>
    </xf>
    <xf borderId="0" fillId="9" fontId="4" numFmtId="0" xfId="0" applyAlignment="1" applyFont="1">
      <alignment readingOrder="0" vertical="bottom"/>
    </xf>
    <xf borderId="0" fillId="9" fontId="4" numFmtId="0" xfId="0" applyAlignment="1" applyFont="1">
      <alignment horizontal="left" readingOrder="0" vertical="bottom"/>
    </xf>
    <xf borderId="0" fillId="9" fontId="4" numFmtId="0" xfId="0" applyAlignment="1" applyFont="1">
      <alignment horizontal="left" readingOrder="0" shrinkToFit="0" vertical="bottom" wrapText="1"/>
    </xf>
    <xf borderId="0" fillId="9" fontId="4" numFmtId="0" xfId="0" applyAlignment="1" applyFont="1">
      <alignment readingOrder="0" shrinkToFit="0" vertical="bottom" wrapText="1"/>
    </xf>
    <xf borderId="0" fillId="9" fontId="4" numFmtId="0" xfId="0" applyAlignment="1" applyFont="1">
      <alignment horizontal="right" readingOrder="0" vertical="bottom"/>
    </xf>
    <xf borderId="0" fillId="9" fontId="4" numFmtId="0" xfId="0" applyAlignment="1" applyFont="1">
      <alignment horizontal="right" readingOrder="0" vertical="bottom"/>
    </xf>
    <xf borderId="0" fillId="9" fontId="4" numFmtId="166" xfId="0" applyAlignment="1" applyFont="1" applyNumberFormat="1">
      <alignment horizontal="right" readingOrder="0" vertical="bottom"/>
    </xf>
    <xf borderId="0" fillId="9" fontId="4" numFmtId="166" xfId="0" applyAlignment="1" applyFont="1" applyNumberFormat="1">
      <alignment readingOrder="0" vertical="bottom"/>
    </xf>
    <xf borderId="0" fillId="9" fontId="4" numFmtId="166" xfId="0" applyAlignment="1" applyFont="1" applyNumberFormat="1">
      <alignment vertical="bottom"/>
    </xf>
    <xf borderId="0" fillId="9" fontId="4" numFmtId="166" xfId="0" applyAlignment="1" applyFont="1" applyNumberFormat="1">
      <alignment readingOrder="0" vertical="bottom"/>
    </xf>
    <xf borderId="0" fillId="9" fontId="4" numFmtId="0" xfId="0" applyAlignment="1" applyFont="1">
      <alignment readingOrder="0" vertical="bottom"/>
    </xf>
    <xf borderId="0" fillId="9" fontId="109" numFmtId="166" xfId="0" applyAlignment="1" applyFont="1" applyNumberFormat="1">
      <alignment readingOrder="0" shrinkToFit="0" vertical="bottom" wrapText="0"/>
    </xf>
    <xf borderId="0" fillId="9" fontId="4" numFmtId="166" xfId="0" applyAlignment="1" applyFont="1" applyNumberFormat="1">
      <alignment shrinkToFit="0" vertical="bottom" wrapText="1"/>
    </xf>
    <xf borderId="0" fillId="9" fontId="4" numFmtId="166" xfId="0" applyAlignment="1" applyFont="1" applyNumberFormat="1">
      <alignment readingOrder="0" shrinkToFit="0" vertical="bottom" wrapText="0"/>
    </xf>
    <xf borderId="0" fillId="9" fontId="110" numFmtId="166" xfId="0" applyAlignment="1" applyFont="1" applyNumberFormat="1">
      <alignment shrinkToFit="0" vertical="bottom" wrapText="0"/>
    </xf>
    <xf borderId="0" fillId="9" fontId="4" numFmtId="0" xfId="0" applyAlignment="1" applyFont="1">
      <alignment vertical="bottom"/>
    </xf>
    <xf borderId="13" fillId="9" fontId="4" numFmtId="0" xfId="0" applyAlignment="1" applyBorder="1" applyFont="1">
      <alignment readingOrder="0" vertical="bottom"/>
    </xf>
    <xf borderId="0" fillId="9" fontId="4" numFmtId="0" xfId="0" applyAlignment="1" applyFont="1">
      <alignment readingOrder="0" shrinkToFit="0" vertical="bottom" wrapText="0"/>
    </xf>
    <xf borderId="14" fillId="9" fontId="1" numFmtId="0" xfId="0" applyAlignment="1" applyBorder="1" applyFont="1">
      <alignment readingOrder="0"/>
    </xf>
    <xf borderId="0" fillId="9" fontId="4" numFmtId="166" xfId="0" applyAlignment="1" applyFont="1" applyNumberFormat="1">
      <alignment vertical="bottom"/>
    </xf>
    <xf borderId="0" fillId="9" fontId="111" numFmtId="166" xfId="0" applyAlignment="1" applyFont="1" applyNumberFormat="1">
      <alignment readingOrder="0" shrinkToFit="0" vertical="bottom" wrapText="0"/>
    </xf>
    <xf borderId="0" fillId="0" fontId="21" numFmtId="0" xfId="0" applyAlignment="1" applyFont="1">
      <alignment horizontal="center" readingOrder="0" vertical="bottom"/>
    </xf>
    <xf borderId="0" fillId="32" fontId="4" numFmtId="166" xfId="0" applyAlignment="1" applyFont="1" applyNumberFormat="1">
      <alignment horizontal="right" readingOrder="0" vertical="bottom"/>
    </xf>
    <xf borderId="0" fillId="32" fontId="4" numFmtId="166" xfId="0" applyAlignment="1" applyFont="1" applyNumberFormat="1">
      <alignment vertical="bottom"/>
    </xf>
    <xf borderId="20" fillId="32" fontId="112" numFmtId="0" xfId="0" applyAlignment="1" applyBorder="1" applyFont="1">
      <alignment readingOrder="0" vertical="top"/>
    </xf>
    <xf borderId="0" fillId="32" fontId="113" numFmtId="166" xfId="0" applyAlignment="1" applyFont="1" applyNumberFormat="1">
      <alignment readingOrder="0" shrinkToFit="0" vertical="bottom" wrapText="0"/>
    </xf>
    <xf borderId="0" fillId="32" fontId="4" numFmtId="166" xfId="0" applyAlignment="1" applyFont="1" applyNumberFormat="1">
      <alignment shrinkToFit="0" vertical="bottom" wrapText="1"/>
    </xf>
    <xf borderId="0" fillId="32" fontId="4" numFmtId="166" xfId="0" applyAlignment="1" applyFont="1" applyNumberFormat="1">
      <alignment shrinkToFit="0" vertical="bottom" wrapText="0"/>
    </xf>
    <xf borderId="0" fillId="32" fontId="114" numFmtId="0" xfId="0" applyAlignment="1" applyFont="1">
      <alignment horizontal="left" readingOrder="0"/>
    </xf>
    <xf borderId="0" fillId="32" fontId="115" numFmtId="0" xfId="0" applyAlignment="1" applyFont="1">
      <alignment readingOrder="0" vertical="bottom"/>
    </xf>
    <xf borderId="13" fillId="20" fontId="4" numFmtId="0" xfId="0" applyAlignment="1" applyBorder="1" applyFont="1">
      <alignment readingOrder="0" vertical="bottom"/>
    </xf>
    <xf borderId="14" fillId="31" fontId="1" numFmtId="0" xfId="0" applyAlignment="1" applyBorder="1" applyFont="1">
      <alignment readingOrder="0"/>
    </xf>
    <xf borderId="0" fillId="20" fontId="1" numFmtId="0" xfId="0" applyAlignment="1" applyFont="1">
      <alignment readingOrder="0"/>
    </xf>
    <xf borderId="0" fillId="20" fontId="1" numFmtId="0" xfId="0" applyFont="1"/>
    <xf borderId="0" fillId="20" fontId="4" numFmtId="0" xfId="0" applyAlignment="1" applyFont="1">
      <alignment vertical="bottom"/>
    </xf>
    <xf borderId="0" fillId="26" fontId="116" numFmtId="0" xfId="0" applyAlignment="1" applyFont="1">
      <alignment readingOrder="0" vertical="bottom"/>
    </xf>
    <xf borderId="0" fillId="32" fontId="4" numFmtId="166" xfId="0" applyAlignment="1" applyFont="1" applyNumberFormat="1">
      <alignment readingOrder="0" shrinkToFit="0" vertical="bottom" wrapText="0"/>
    </xf>
    <xf borderId="0" fillId="32" fontId="117" numFmtId="166" xfId="0" applyAlignment="1" applyFont="1" applyNumberFormat="1">
      <alignment horizontal="right" readingOrder="0"/>
    </xf>
    <xf borderId="0" fillId="32" fontId="4" numFmtId="166" xfId="0" applyAlignment="1" applyFont="1" applyNumberFormat="1">
      <alignment readingOrder="0" shrinkToFit="0" vertical="bottom" wrapText="0"/>
    </xf>
    <xf borderId="0" fillId="26" fontId="1" numFmtId="166" xfId="0" applyAlignment="1" applyFont="1" applyNumberFormat="1">
      <alignment readingOrder="0"/>
    </xf>
    <xf borderId="0" fillId="26" fontId="118" numFmtId="166" xfId="0" applyAlignment="1" applyFont="1" applyNumberFormat="1">
      <alignment readingOrder="0"/>
    </xf>
    <xf borderId="0" fillId="26" fontId="4" numFmtId="0" xfId="0" applyAlignment="1" applyFont="1">
      <alignment horizontal="left" readingOrder="0" vertical="bottom"/>
    </xf>
    <xf borderId="0" fillId="26" fontId="119" numFmtId="0" xfId="0" applyAlignment="1" applyFont="1">
      <alignment readingOrder="0" shrinkToFit="0" vertical="bottom" wrapText="0"/>
    </xf>
    <xf borderId="0" fillId="26" fontId="4" numFmtId="166" xfId="0" applyAlignment="1" applyFont="1" applyNumberFormat="1">
      <alignment readingOrder="0" shrinkToFit="0" vertical="bottom" wrapText="0"/>
    </xf>
    <xf borderId="0" fillId="9" fontId="4" numFmtId="0" xfId="0" applyAlignment="1" applyFont="1">
      <alignment readingOrder="0" vertical="bottom"/>
    </xf>
    <xf borderId="0" fillId="9" fontId="4" numFmtId="0" xfId="0" applyAlignment="1" applyFont="1">
      <alignment horizontal="left" readingOrder="0" shrinkToFit="0" vertical="bottom" wrapText="1"/>
    </xf>
    <xf borderId="0" fillId="9" fontId="1" numFmtId="0" xfId="0" applyAlignment="1" applyFont="1">
      <alignment readingOrder="0" shrinkToFit="0" wrapText="1"/>
    </xf>
    <xf borderId="0" fillId="9" fontId="100" numFmtId="166" xfId="0" applyAlignment="1" applyFont="1" applyNumberFormat="1">
      <alignment horizontal="right" readingOrder="0"/>
    </xf>
    <xf borderId="0" fillId="9" fontId="120" numFmtId="166" xfId="0" applyAlignment="1" applyFont="1" applyNumberFormat="1">
      <alignment horizontal="right" readingOrder="0"/>
    </xf>
    <xf borderId="0" fillId="9" fontId="4" numFmtId="166" xfId="0" applyAlignment="1" applyFont="1" applyNumberFormat="1">
      <alignment readingOrder="0" shrinkToFit="0" vertical="bottom" wrapText="1"/>
    </xf>
    <xf borderId="0" fillId="9" fontId="4" numFmtId="166" xfId="0" applyAlignment="1" applyFont="1" applyNumberFormat="1">
      <alignment readingOrder="0" shrinkToFit="0" vertical="bottom" wrapText="0"/>
    </xf>
    <xf borderId="0" fillId="9" fontId="18" numFmtId="167" xfId="0" applyAlignment="1" applyFont="1" applyNumberFormat="1">
      <alignment readingOrder="0" shrinkToFit="0" vertical="bottom" wrapText="0"/>
    </xf>
    <xf borderId="0" fillId="26" fontId="1" numFmtId="0" xfId="0" applyAlignment="1" applyFont="1">
      <alignment shrinkToFit="0" wrapText="1"/>
    </xf>
    <xf borderId="0" fillId="26" fontId="1" numFmtId="167" xfId="0" applyAlignment="1" applyFont="1" applyNumberFormat="1">
      <alignment readingOrder="0"/>
    </xf>
    <xf borderId="0" fillId="26" fontId="4" numFmtId="166" xfId="0" applyAlignment="1" applyFont="1" applyNumberFormat="1">
      <alignment readingOrder="0" shrinkToFit="0" vertical="bottom" wrapText="1"/>
    </xf>
    <xf borderId="0" fillId="9" fontId="4" numFmtId="166" xfId="0" applyAlignment="1" applyFont="1" applyNumberFormat="1">
      <alignment readingOrder="0" shrinkToFit="0" vertical="bottom" wrapText="1"/>
    </xf>
    <xf borderId="0" fillId="9" fontId="1" numFmtId="167" xfId="0" applyAlignment="1" applyFont="1" applyNumberFormat="1">
      <alignment readingOrder="0"/>
    </xf>
    <xf borderId="0" fillId="9" fontId="44" numFmtId="0" xfId="0" applyAlignment="1" applyFont="1">
      <alignment readingOrder="0"/>
    </xf>
    <xf borderId="0" fillId="9" fontId="1" numFmtId="0" xfId="0" applyAlignment="1" applyFont="1">
      <alignment readingOrder="0"/>
    </xf>
    <xf borderId="0" fillId="7" fontId="4" numFmtId="0" xfId="0" applyAlignment="1" applyFont="1">
      <alignment readingOrder="0" vertical="bottom"/>
    </xf>
    <xf borderId="0" fillId="7" fontId="4" numFmtId="0" xfId="0" applyAlignment="1" applyFont="1">
      <alignment horizontal="left" readingOrder="0" vertical="bottom"/>
    </xf>
    <xf borderId="0" fillId="7" fontId="4" numFmtId="0" xfId="0" applyAlignment="1" applyFont="1">
      <alignment horizontal="left" readingOrder="0" shrinkToFit="0" wrapText="1"/>
    </xf>
    <xf borderId="0" fillId="7" fontId="4" numFmtId="0" xfId="0" applyAlignment="1" applyFont="1">
      <alignment readingOrder="0" shrinkToFit="0" vertical="bottom" wrapText="1"/>
    </xf>
    <xf borderId="0" fillId="7" fontId="4" numFmtId="0" xfId="0" applyAlignment="1" applyFont="1">
      <alignment horizontal="right" readingOrder="0" vertical="bottom"/>
    </xf>
    <xf borderId="0" fillId="7" fontId="4" numFmtId="0" xfId="0" applyAlignment="1" applyFont="1">
      <alignment horizontal="right" readingOrder="0" vertical="bottom"/>
    </xf>
    <xf borderId="0" fillId="7" fontId="4" numFmtId="0" xfId="0" applyAlignment="1" applyFont="1">
      <alignment readingOrder="0" vertical="bottom"/>
    </xf>
    <xf borderId="0" fillId="7" fontId="1" numFmtId="0" xfId="0" applyAlignment="1" applyFont="1">
      <alignment readingOrder="0"/>
    </xf>
    <xf borderId="0" fillId="7" fontId="4" numFmtId="166" xfId="0" applyAlignment="1" applyFont="1" applyNumberFormat="1">
      <alignment vertical="bottom"/>
    </xf>
    <xf borderId="0" fillId="7" fontId="4" numFmtId="166" xfId="0" applyAlignment="1" applyFont="1" applyNumberFormat="1">
      <alignment horizontal="right" readingOrder="0" vertical="bottom"/>
    </xf>
    <xf borderId="0" fillId="7" fontId="96" numFmtId="0" xfId="0" applyAlignment="1" applyFont="1">
      <alignment readingOrder="0"/>
    </xf>
    <xf borderId="0" fillId="7" fontId="121" numFmtId="166" xfId="0" applyAlignment="1" applyFont="1" applyNumberFormat="1">
      <alignment readingOrder="0" shrinkToFit="0" vertical="bottom" wrapText="0"/>
    </xf>
    <xf borderId="0" fillId="7" fontId="4" numFmtId="166" xfId="0" applyAlignment="1" applyFont="1" applyNumberFormat="1">
      <alignment readingOrder="0" shrinkToFit="0" vertical="bottom" wrapText="1"/>
    </xf>
    <xf borderId="0" fillId="7" fontId="4" numFmtId="166" xfId="0" applyAlignment="1" applyFont="1" applyNumberFormat="1">
      <alignment readingOrder="0" shrinkToFit="0" vertical="bottom" wrapText="0"/>
    </xf>
    <xf borderId="0" fillId="7" fontId="122" numFmtId="166" xfId="0" applyAlignment="1" applyFont="1" applyNumberFormat="1">
      <alignment shrinkToFit="0" vertical="bottom" wrapText="0"/>
    </xf>
    <xf borderId="0" fillId="7" fontId="4" numFmtId="0" xfId="0" applyAlignment="1" applyFont="1">
      <alignment vertical="bottom"/>
    </xf>
    <xf borderId="13" fillId="7" fontId="4" numFmtId="0" xfId="0" applyAlignment="1" applyBorder="1" applyFont="1">
      <alignment readingOrder="0" vertical="bottom"/>
    </xf>
    <xf borderId="0" fillId="7" fontId="4" numFmtId="0" xfId="0" applyAlignment="1" applyFont="1">
      <alignment readingOrder="0" shrinkToFit="0" vertical="bottom" wrapText="0"/>
    </xf>
    <xf borderId="14" fillId="7" fontId="1" numFmtId="0" xfId="0" applyAlignment="1" applyBorder="1" applyFont="1">
      <alignment readingOrder="0"/>
    </xf>
    <xf borderId="0" fillId="7" fontId="1" numFmtId="0" xfId="0" applyFont="1"/>
    <xf borderId="0" fillId="7" fontId="4" numFmtId="0" xfId="0" applyAlignment="1" applyFont="1">
      <alignment readingOrder="0" vertical="bottom"/>
    </xf>
    <xf borderId="0" fillId="7" fontId="1" numFmtId="167" xfId="0" applyAlignment="1" applyFont="1" applyNumberFormat="1">
      <alignment readingOrder="0"/>
    </xf>
    <xf borderId="0" fillId="26" fontId="4" numFmtId="166" xfId="0" applyAlignment="1" applyFont="1" applyNumberFormat="1">
      <alignment horizontal="right" vertical="bottom"/>
    </xf>
    <xf borderId="0" fillId="26" fontId="4" numFmtId="166" xfId="0" applyAlignment="1" applyFont="1" applyNumberFormat="1">
      <alignment readingOrder="0" vertical="bottom"/>
    </xf>
    <xf borderId="20" fillId="26" fontId="112" numFmtId="0" xfId="0" applyAlignment="1" applyBorder="1" applyFont="1">
      <alignment readingOrder="0" vertical="top"/>
    </xf>
    <xf borderId="0" fillId="7" fontId="4" numFmtId="0" xfId="0" applyAlignment="1" applyFont="1">
      <alignment vertical="bottom"/>
    </xf>
    <xf borderId="0" fillId="7" fontId="4" numFmtId="0" xfId="0" applyAlignment="1" applyFont="1">
      <alignment horizontal="left" shrinkToFit="0" vertical="bottom" wrapText="1"/>
    </xf>
    <xf borderId="0" fillId="7" fontId="4" numFmtId="0" xfId="0" applyAlignment="1" applyFont="1">
      <alignment shrinkToFit="0" vertical="bottom" wrapText="1"/>
    </xf>
    <xf borderId="0" fillId="7" fontId="4" numFmtId="0" xfId="0" applyAlignment="1" applyFont="1">
      <alignment shrinkToFit="0" vertical="bottom" wrapText="1"/>
    </xf>
    <xf borderId="0" fillId="7" fontId="4" numFmtId="166" xfId="0" applyAlignment="1" applyFont="1" applyNumberFormat="1">
      <alignment horizontal="right" vertical="bottom"/>
    </xf>
    <xf borderId="0" fillId="7" fontId="4" numFmtId="166" xfId="0" applyAlignment="1" applyFont="1" applyNumberFormat="1">
      <alignment vertical="bottom"/>
    </xf>
    <xf borderId="20" fillId="7" fontId="112" numFmtId="0" xfId="0" applyAlignment="1" applyBorder="1" applyFont="1">
      <alignment readingOrder="0" vertical="top"/>
    </xf>
    <xf borderId="0" fillId="7" fontId="4" numFmtId="166" xfId="0" applyAlignment="1" applyFont="1" applyNumberFormat="1">
      <alignment shrinkToFit="0" vertical="bottom" wrapText="1"/>
    </xf>
    <xf borderId="0" fillId="7" fontId="4" numFmtId="166" xfId="0" applyAlignment="1" applyFont="1" applyNumberFormat="1">
      <alignment shrinkToFit="0" vertical="bottom" wrapText="0"/>
    </xf>
    <xf borderId="0" fillId="7" fontId="4" numFmtId="0" xfId="0" applyAlignment="1" applyFont="1">
      <alignment vertical="bottom"/>
    </xf>
    <xf borderId="0" fillId="33" fontId="123" numFmtId="166" xfId="0" applyAlignment="1" applyFont="1" applyNumberFormat="1">
      <alignment shrinkToFit="0" vertical="bottom" wrapText="1"/>
    </xf>
    <xf borderId="0" fillId="26" fontId="4" numFmtId="0" xfId="0" applyAlignment="1" applyFont="1">
      <alignment horizontal="left" readingOrder="0" shrinkToFit="0" vertical="bottom" wrapText="1"/>
    </xf>
    <xf borderId="0" fillId="26" fontId="27" numFmtId="0" xfId="0" applyAlignment="1" applyFont="1">
      <alignment readingOrder="0" shrinkToFit="0" wrapText="1"/>
    </xf>
    <xf borderId="0" fillId="26" fontId="4" numFmtId="0" xfId="0" applyAlignment="1" applyFont="1">
      <alignment readingOrder="0" shrinkToFit="0" vertical="bottom" wrapText="1"/>
    </xf>
    <xf borderId="0" fillId="26" fontId="27" numFmtId="0" xfId="0" applyAlignment="1" applyFont="1">
      <alignment readingOrder="0"/>
    </xf>
    <xf borderId="0" fillId="7" fontId="4" numFmtId="0" xfId="0" applyAlignment="1" applyFont="1">
      <alignment horizontal="left" readingOrder="0" shrinkToFit="0" vertical="bottom" wrapText="1"/>
    </xf>
    <xf borderId="0" fillId="7" fontId="27" numFmtId="0" xfId="0" applyAlignment="1" applyFont="1">
      <alignment readingOrder="0" shrinkToFit="0" wrapText="1"/>
    </xf>
    <xf borderId="0" fillId="7" fontId="4" numFmtId="0" xfId="0" applyAlignment="1" applyFont="1">
      <alignment readingOrder="0" shrinkToFit="0" vertical="bottom" wrapText="1"/>
    </xf>
    <xf borderId="0" fillId="7" fontId="4" numFmtId="166" xfId="0" applyAlignment="1" applyFont="1" applyNumberFormat="1">
      <alignment readingOrder="0" vertical="bottom"/>
    </xf>
    <xf borderId="0" fillId="7" fontId="27" numFmtId="0" xfId="0" applyAlignment="1" applyFont="1">
      <alignment readingOrder="0"/>
    </xf>
    <xf borderId="0" fillId="7" fontId="4" numFmtId="0" xfId="0" applyAlignment="1" applyFont="1">
      <alignment readingOrder="0" shrinkToFit="0" vertical="bottom" wrapText="0"/>
    </xf>
    <xf borderId="0" fillId="7" fontId="4" numFmtId="0" xfId="0" applyAlignment="1" applyFont="1">
      <alignment shrinkToFit="0" vertical="bottom" wrapText="1"/>
    </xf>
    <xf borderId="0" fillId="9" fontId="4" numFmtId="0" xfId="0" applyAlignment="1" applyFont="1">
      <alignment horizontal="left" readingOrder="0" shrinkToFit="0" vertical="bottom" wrapText="1"/>
    </xf>
    <xf borderId="0" fillId="9" fontId="27" numFmtId="0" xfId="0" applyAlignment="1" applyFont="1">
      <alignment readingOrder="0" shrinkToFit="0" wrapText="1"/>
    </xf>
    <xf borderId="0" fillId="9" fontId="4" numFmtId="0" xfId="0" applyAlignment="1" applyFont="1">
      <alignment readingOrder="0" shrinkToFit="0" vertical="bottom" wrapText="1"/>
    </xf>
    <xf borderId="0" fillId="9" fontId="4" numFmtId="166" xfId="0" applyAlignment="1" applyFont="1" applyNumberFormat="1">
      <alignment horizontal="right" vertical="bottom"/>
    </xf>
    <xf borderId="0" fillId="9" fontId="27" numFmtId="0" xfId="0" applyAlignment="1" applyFont="1">
      <alignment readingOrder="0"/>
    </xf>
    <xf borderId="0" fillId="9" fontId="124" numFmtId="0" xfId="0" applyAlignment="1" applyFont="1">
      <alignment readingOrder="0" shrinkToFit="0" vertical="bottom" wrapText="0"/>
    </xf>
    <xf borderId="0" fillId="9" fontId="4" numFmtId="0" xfId="0" applyAlignment="1" applyFont="1">
      <alignment shrinkToFit="0" vertical="bottom" wrapText="1"/>
    </xf>
    <xf borderId="0" fillId="0" fontId="4" numFmtId="0" xfId="0" applyAlignment="1" applyFont="1">
      <alignment horizontal="left" readingOrder="0" shrinkToFit="0" vertical="bottom" wrapText="1"/>
    </xf>
    <xf borderId="0" fillId="0" fontId="4" numFmtId="0" xfId="0" applyAlignment="1" applyFont="1">
      <alignment horizontal="right" vertical="bottom"/>
    </xf>
    <xf borderId="0" fillId="0" fontId="4" numFmtId="166" xfId="0" applyAlignment="1" applyFont="1" applyNumberFormat="1">
      <alignment vertical="bottom"/>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32" fontId="4" numFmtId="166" xfId="0" applyAlignment="1" applyFont="1" applyNumberFormat="1">
      <alignment readingOrder="0" vertical="bottom"/>
    </xf>
    <xf borderId="0" fillId="32" fontId="27" numFmtId="0" xfId="0" applyAlignment="1" applyFont="1">
      <alignment horizontal="left" readingOrder="0" vertical="bottom"/>
    </xf>
    <xf borderId="0" fillId="32" fontId="4" numFmtId="0" xfId="0" applyAlignment="1" applyFont="1">
      <alignment shrinkToFit="0" vertical="bottom" wrapText="1"/>
    </xf>
    <xf borderId="14" fillId="32" fontId="4" numFmtId="0" xfId="0" applyAlignment="1" applyBorder="1" applyFont="1">
      <alignment readingOrder="0" vertical="bottom"/>
    </xf>
    <xf borderId="0" fillId="0" fontId="125" numFmtId="166" xfId="0" applyAlignment="1" applyFont="1" applyNumberFormat="1">
      <alignment shrinkToFit="0" vertical="bottom" wrapText="0"/>
    </xf>
    <xf borderId="0" fillId="0" fontId="126" numFmtId="166" xfId="0" applyAlignment="1" applyFont="1" applyNumberFormat="1">
      <alignment shrinkToFit="0" vertical="bottom" wrapText="1"/>
    </xf>
    <xf borderId="0" fillId="0" fontId="4" numFmtId="0" xfId="0" applyAlignment="1" applyFont="1">
      <alignment vertical="bottom"/>
    </xf>
    <xf borderId="0" fillId="40" fontId="1" numFmtId="0" xfId="0" applyAlignment="1" applyFill="1" applyFont="1">
      <alignment readingOrder="0"/>
    </xf>
    <xf borderId="0" fillId="40" fontId="1" numFmtId="0" xfId="0" applyAlignment="1" applyFont="1">
      <alignment readingOrder="0" shrinkToFit="0" wrapText="1"/>
    </xf>
    <xf borderId="0" fillId="40" fontId="1" numFmtId="166" xfId="0" applyAlignment="1" applyFont="1" applyNumberFormat="1">
      <alignment readingOrder="0"/>
    </xf>
    <xf borderId="0" fillId="40" fontId="1" numFmtId="166" xfId="0" applyFont="1" applyNumberFormat="1"/>
    <xf borderId="0" fillId="40" fontId="127" numFmtId="0" xfId="0" applyAlignment="1" applyFont="1">
      <alignment readingOrder="0"/>
    </xf>
    <xf borderId="0" fillId="40" fontId="1" numFmtId="0" xfId="0" applyFont="1"/>
    <xf borderId="0" fillId="40" fontId="1" numFmtId="0" xfId="0" applyFont="1"/>
    <xf borderId="0" fillId="31" fontId="128" numFmtId="166" xfId="0" applyAlignment="1" applyFont="1" applyNumberFormat="1">
      <alignment horizontal="right" readingOrder="0" shrinkToFit="0" wrapText="0"/>
    </xf>
    <xf borderId="0" fillId="31" fontId="4" numFmtId="0" xfId="0" applyAlignment="1" applyFont="1">
      <alignment vertical="bottom"/>
    </xf>
    <xf borderId="0" fillId="31" fontId="1" numFmtId="0" xfId="0" applyAlignment="1" applyFont="1">
      <alignment shrinkToFit="0" wrapText="1"/>
    </xf>
    <xf borderId="0" fillId="9" fontId="1" numFmtId="166" xfId="0" applyAlignment="1" applyFont="1" applyNumberFormat="1">
      <alignment readingOrder="0"/>
    </xf>
    <xf borderId="0" fillId="9" fontId="129" numFmtId="0" xfId="0" applyAlignment="1" applyFont="1">
      <alignment readingOrder="0"/>
    </xf>
    <xf borderId="0" fillId="9" fontId="1" numFmtId="0" xfId="0" applyAlignment="1" applyFont="1">
      <alignment shrinkToFit="0" wrapText="1"/>
    </xf>
    <xf borderId="0" fillId="0" fontId="1" numFmtId="166" xfId="0" applyAlignment="1" applyFont="1" applyNumberFormat="1">
      <alignment readingOrder="0"/>
    </xf>
    <xf borderId="0" fillId="0" fontId="130" numFmtId="0" xfId="0" applyAlignment="1" applyFont="1">
      <alignment readingOrder="0"/>
    </xf>
    <xf borderId="0" fillId="0" fontId="1" numFmtId="0" xfId="0" applyAlignment="1" applyFont="1">
      <alignment shrinkToFit="0" wrapText="1"/>
    </xf>
    <xf borderId="0" fillId="9" fontId="131" numFmtId="0" xfId="0" applyAlignment="1" applyFont="1">
      <alignment readingOrder="0"/>
    </xf>
    <xf borderId="0" fillId="9" fontId="132" numFmtId="0" xfId="0" applyAlignment="1" applyFont="1">
      <alignment readingOrder="0" shrinkToFit="0" wrapText="1"/>
    </xf>
    <xf borderId="0" fillId="31" fontId="43" numFmtId="0" xfId="0" applyAlignment="1" applyFont="1">
      <alignment readingOrder="0"/>
    </xf>
    <xf borderId="0" fillId="31" fontId="1" numFmtId="166" xfId="0" applyFont="1" applyNumberFormat="1"/>
    <xf borderId="0" fillId="31" fontId="133" numFmtId="0" xfId="0" applyAlignment="1" applyFont="1">
      <alignment readingOrder="0"/>
    </xf>
    <xf borderId="0" fillId="31" fontId="44" numFmtId="0" xfId="0" applyAlignment="1" applyFont="1">
      <alignment readingOrder="0"/>
    </xf>
    <xf borderId="0" fillId="31" fontId="1" numFmtId="0" xfId="0" applyAlignment="1" applyFont="1">
      <alignment readingOrder="0"/>
    </xf>
    <xf borderId="0" fillId="0" fontId="43" numFmtId="0" xfId="0" applyAlignment="1" applyFont="1">
      <alignment readingOrder="0"/>
    </xf>
    <xf borderId="0" fillId="0" fontId="1" numFmtId="0" xfId="0" applyAlignment="1" applyFont="1">
      <alignment readingOrder="0"/>
    </xf>
    <xf borderId="0" fillId="32" fontId="134" numFmtId="166" xfId="0" applyAlignment="1" applyFont="1" applyNumberFormat="1">
      <alignment readingOrder="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21" fillId="0" fontId="84" numFmtId="0" xfId="0" applyAlignment="1" applyBorder="1" applyFont="1">
      <alignment horizontal="center" shrinkToFit="0" vertical="center" wrapText="0"/>
    </xf>
    <xf borderId="21" fillId="0" fontId="84" numFmtId="0" xfId="0" applyAlignment="1" applyBorder="1" applyFont="1">
      <alignment horizontal="center" readingOrder="0" shrinkToFit="0" vertical="center" wrapText="0"/>
    </xf>
    <xf borderId="21" fillId="0" fontId="84" numFmtId="0" xfId="0" applyAlignment="1" applyBorder="1" applyFont="1">
      <alignment horizontal="center" shrinkToFit="0" vertical="center" wrapText="0"/>
    </xf>
    <xf borderId="21" fillId="0" fontId="1" numFmtId="0" xfId="0" applyAlignment="1" applyBorder="1" applyFont="1">
      <alignment horizontal="center" shrinkToFit="0" vertical="center" wrapText="0"/>
    </xf>
    <xf borderId="0" fillId="0" fontId="19" numFmtId="0" xfId="0" applyAlignment="1" applyFont="1">
      <alignment readingOrder="0"/>
    </xf>
    <xf borderId="21" fillId="0" fontId="84" numFmtId="0" xfId="0" applyAlignment="1" applyBorder="1" applyFont="1">
      <alignment horizontal="center" readingOrder="0" shrinkToFit="0" vertical="center" wrapText="0"/>
    </xf>
    <xf borderId="0" fillId="0" fontId="84" numFmtId="0" xfId="0" applyAlignment="1" applyFont="1">
      <alignment horizontal="center" readingOrder="0" shrinkToFit="0" vertical="center" wrapText="0"/>
    </xf>
    <xf borderId="21" fillId="0" fontId="1" numFmtId="0" xfId="0" applyAlignment="1" applyBorder="1" applyFont="1">
      <alignment horizontal="center" readingOrder="0" shrinkToFit="0" vertical="center" wrapText="0"/>
    </xf>
    <xf borderId="21" fillId="0" fontId="1" numFmtId="0" xfId="0" applyAlignment="1" applyBorder="1" applyFont="1">
      <alignment horizontal="center" readingOrder="0" shrinkToFit="0" vertical="center" wrapText="0"/>
    </xf>
    <xf borderId="21" fillId="0" fontId="1" numFmtId="0" xfId="0" applyAlignment="1" applyBorder="1" applyFont="1">
      <alignment horizontal="center"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21" fillId="0" fontId="1" numFmtId="0" xfId="0" applyAlignment="1" applyBorder="1" applyFont="1">
      <alignment readingOrder="0" shrinkToFit="0" vertical="center" wrapText="0"/>
    </xf>
    <xf borderId="21" fillId="0" fontId="1" numFmtId="0" xfId="0" applyAlignment="1" applyBorder="1" applyFont="1">
      <alignment shrinkToFit="0" vertical="center" wrapText="0"/>
    </xf>
    <xf borderId="21" fillId="0" fontId="1" numFmtId="0" xfId="0" applyAlignment="1" applyBorder="1" applyFont="1">
      <alignment horizontal="right" readingOrder="0" shrinkToFit="0" vertical="center" wrapText="0"/>
    </xf>
    <xf borderId="21" fillId="0" fontId="1" numFmtId="0" xfId="0" applyAlignment="1" applyBorder="1" applyFont="1">
      <alignment readingOrder="0" shrinkToFit="0" vertical="center" wrapText="0"/>
    </xf>
    <xf borderId="21" fillId="0" fontId="1" numFmtId="0" xfId="0" applyAlignment="1" applyBorder="1" applyFont="1">
      <alignment shrinkToFit="0" vertical="center" wrapText="0"/>
    </xf>
    <xf borderId="21" fillId="0" fontId="84" numFmtId="0" xfId="0" applyAlignment="1" applyBorder="1" applyFont="1">
      <alignment readingOrder="0" shrinkToFit="0" vertical="center" wrapText="0"/>
    </xf>
    <xf borderId="21" fillId="0" fontId="84" numFmtId="0" xfId="0" applyAlignment="1" applyBorder="1" applyFont="1">
      <alignment shrinkToFit="0" vertical="center" wrapText="0"/>
    </xf>
    <xf borderId="21" fillId="0" fontId="84" numFmtId="0" xfId="0" applyAlignment="1" applyBorder="1" applyFont="1">
      <alignment readingOrder="0" shrinkToFit="0" vertical="center" wrapText="0"/>
    </xf>
    <xf borderId="0" fillId="0" fontId="1" numFmtId="0" xfId="0" applyAlignment="1" applyFont="1">
      <alignment horizontal="center" readingOrder="0" shrinkToFit="0" vertical="center" wrapText="0"/>
    </xf>
    <xf borderId="22" fillId="0" fontId="1" numFmtId="0" xfId="0" applyAlignment="1" applyBorder="1" applyFont="1">
      <alignment horizontal="center" readingOrder="0" shrinkToFit="0" vertical="center" wrapText="0"/>
    </xf>
    <xf borderId="23" fillId="0" fontId="1" numFmtId="0" xfId="0" applyAlignment="1" applyBorder="1" applyFont="1">
      <alignment horizontal="center" shrinkToFit="0" vertical="center" wrapText="0"/>
    </xf>
    <xf borderId="23" fillId="0" fontId="1" numFmtId="0" xfId="0" applyAlignment="1" applyBorder="1" applyFont="1">
      <alignment horizontal="center" readingOrder="0" shrinkToFit="0" vertical="center" wrapText="0"/>
    </xf>
    <xf borderId="23" fillId="0" fontId="1" numFmtId="0" xfId="0" applyAlignment="1" applyBorder="1" applyFont="1">
      <alignment horizontal="center" readingOrder="0" shrinkToFit="0" vertical="center" wrapText="0"/>
    </xf>
    <xf borderId="23" fillId="0" fontId="1" numFmtId="0" xfId="0" applyAlignment="1" applyBorder="1" applyFont="1">
      <alignment horizontal="center" shrinkToFit="0" vertical="center" wrapText="0"/>
    </xf>
    <xf borderId="22" fillId="0" fontId="1" numFmtId="0" xfId="0" applyAlignment="1" applyBorder="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13" fillId="6" fontId="10" numFmtId="0" xfId="0" applyAlignment="1" applyBorder="1" applyFont="1">
      <alignment readingOrder="0" shrinkToFit="0" vertical="bottom" wrapText="1"/>
    </xf>
    <xf borderId="0" fillId="6" fontId="10" numFmtId="0" xfId="0" applyAlignment="1" applyFont="1">
      <alignment readingOrder="0" shrinkToFit="0" vertical="bottom" wrapText="1"/>
    </xf>
    <xf borderId="14" fillId="6" fontId="10" numFmtId="0" xfId="0" applyAlignment="1" applyBorder="1" applyFont="1">
      <alignment readingOrder="0" shrinkToFit="0" vertical="bottom" wrapText="1"/>
    </xf>
    <xf borderId="13" fillId="32" fontId="18" numFmtId="0" xfId="0" applyAlignment="1" applyBorder="1" applyFont="1">
      <alignment shrinkToFit="0" vertical="bottom" wrapText="0"/>
    </xf>
    <xf borderId="0" fillId="33" fontId="83" numFmtId="0" xfId="0" applyAlignment="1" applyFont="1">
      <alignment readingOrder="0" vertical="bottom"/>
    </xf>
    <xf borderId="0" fillId="33" fontId="83" numFmtId="166" xfId="0" applyAlignment="1" applyFont="1" applyNumberFormat="1">
      <alignment readingOrder="0" vertical="bottom"/>
    </xf>
    <xf borderId="0" fillId="33" fontId="83" numFmtId="166" xfId="0" applyAlignment="1" applyFont="1" applyNumberFormat="1">
      <alignment vertical="bottom"/>
    </xf>
    <xf borderId="0" fillId="0" fontId="4" numFmtId="166" xfId="0" applyAlignment="1" applyFont="1" applyNumberFormat="1">
      <alignment horizontal="right" readingOrder="0" vertical="bottom"/>
    </xf>
    <xf borderId="0" fillId="0" fontId="135" numFmtId="0" xfId="0" applyAlignment="1" applyFont="1">
      <alignment readingOrder="0" shrinkToFit="0" vertical="bottom" wrapText="0"/>
    </xf>
    <xf borderId="0" fillId="0" fontId="4" numFmtId="166" xfId="0" applyAlignment="1" applyFont="1" applyNumberFormat="1">
      <alignment readingOrder="0" shrinkToFit="0" vertical="bottom" wrapText="0"/>
    </xf>
    <xf borderId="0" fillId="0" fontId="136" numFmtId="0" xfId="0" applyAlignment="1" applyFont="1">
      <alignment readingOrder="0"/>
    </xf>
    <xf borderId="0" fillId="0" fontId="137" numFmtId="166" xfId="0" applyAlignment="1" applyFont="1" applyNumberFormat="1">
      <alignment readingOrder="0" shrinkToFit="0" vertical="bottom" wrapText="0"/>
    </xf>
    <xf borderId="0" fillId="0" fontId="138" numFmtId="0" xfId="0" applyAlignment="1" applyFont="1">
      <alignment readingOrder="0" shrinkToFit="0" vertical="bottom" wrapText="0"/>
    </xf>
    <xf borderId="0" fillId="0" fontId="4" numFmtId="0" xfId="0" applyAlignment="1" applyFont="1">
      <alignment readingOrder="0" shrinkToFit="0" vertical="bottom" wrapText="0"/>
    </xf>
    <xf borderId="0" fillId="0" fontId="139" numFmtId="0" xfId="0" applyAlignment="1" applyFont="1">
      <alignment shrinkToFit="0" vertical="bottom" wrapText="0"/>
    </xf>
    <xf borderId="13" fillId="3" fontId="4" numFmtId="0" xfId="0" applyAlignment="1" applyBorder="1" applyFont="1">
      <alignment readingOrder="0" vertical="bottom"/>
    </xf>
    <xf borderId="0" fillId="7" fontId="4" numFmtId="0" xfId="0" applyAlignment="1" applyFont="1">
      <alignment horizontal="right" readingOrder="0" shrinkToFit="0" vertical="bottom" wrapText="1"/>
    </xf>
    <xf borderId="21" fillId="7" fontId="140" numFmtId="166" xfId="0" applyAlignment="1" applyBorder="1" applyFont="1" applyNumberFormat="1">
      <alignment horizontal="right" readingOrder="0" shrinkToFit="0" wrapText="0"/>
    </xf>
    <xf borderId="0" fillId="7" fontId="140" numFmtId="0" xfId="0" applyAlignment="1" applyFont="1">
      <alignment horizontal="right" readingOrder="0" shrinkToFit="0" wrapText="0"/>
    </xf>
    <xf borderId="0" fillId="7" fontId="138" numFmtId="0" xfId="0" applyAlignment="1" applyFont="1">
      <alignment readingOrder="0" shrinkToFit="0" vertical="bottom" wrapText="0"/>
    </xf>
    <xf borderId="0" fillId="7" fontId="4" numFmtId="0" xfId="0" applyAlignment="1" applyFont="1">
      <alignment readingOrder="0" shrinkToFit="0" vertical="bottom" wrapText="0"/>
    </xf>
    <xf borderId="0" fillId="7" fontId="4" numFmtId="0" xfId="0" applyAlignment="1" applyFont="1">
      <alignment readingOrder="0" shrinkToFit="0" vertical="bottom" wrapText="0"/>
    </xf>
    <xf borderId="0" fillId="7" fontId="4" numFmtId="0" xfId="0" applyAlignment="1" applyFont="1">
      <alignment horizontal="right" readingOrder="0" shrinkToFit="0" vertical="bottom" wrapText="0"/>
    </xf>
    <xf borderId="0" fillId="7" fontId="4" numFmtId="0" xfId="0" applyAlignment="1" applyFont="1">
      <alignment vertical="bottom"/>
    </xf>
    <xf borderId="0" fillId="7" fontId="138" numFmtId="0" xfId="0" applyAlignment="1" applyFont="1">
      <alignment readingOrder="0" shrinkToFit="0" vertical="bottom" wrapText="0"/>
    </xf>
    <xf borderId="0" fillId="7" fontId="141" numFmtId="0" xfId="0" applyAlignment="1" applyFont="1">
      <alignment shrinkToFit="0" vertical="bottom" wrapText="0"/>
    </xf>
    <xf borderId="0" fillId="7" fontId="4" numFmtId="0" xfId="0" applyAlignment="1" applyFont="1">
      <alignment horizontal="right" shrinkToFit="0" vertical="bottom" wrapText="1"/>
    </xf>
    <xf borderId="21" fillId="7" fontId="140" numFmtId="166" xfId="0" applyAlignment="1" applyBorder="1" applyFont="1" applyNumberFormat="1">
      <alignment horizontal="right" shrinkToFit="0" wrapText="0"/>
    </xf>
    <xf borderId="0" fillId="7" fontId="4" numFmtId="0" xfId="0" applyAlignment="1" applyFont="1">
      <alignment shrinkToFit="0" vertical="bottom" wrapText="0"/>
    </xf>
    <xf borderId="0" fillId="7" fontId="4" numFmtId="0" xfId="0" applyAlignment="1" applyFont="1">
      <alignment horizontal="right" shrinkToFit="0" vertical="bottom" wrapText="1"/>
    </xf>
    <xf borderId="0" fillId="7" fontId="142" numFmtId="0" xfId="0" applyAlignment="1" applyFont="1">
      <alignment readingOrder="0" shrinkToFit="0" vertical="bottom" wrapText="0"/>
    </xf>
    <xf borderId="0" fillId="7" fontId="1" numFmtId="0" xfId="0" applyFont="1"/>
    <xf borderId="0" fillId="7" fontId="1" numFmtId="0" xfId="0" applyAlignment="1" applyFont="1">
      <alignment readingOrder="0" shrinkToFit="0" wrapText="1"/>
    </xf>
    <xf borderId="0" fillId="7" fontId="4" numFmtId="0" xfId="0" applyAlignment="1" applyFont="1">
      <alignment shrinkToFit="0" vertical="bottom" wrapText="1"/>
    </xf>
    <xf borderId="0" fillId="7" fontId="84" numFmtId="0" xfId="0" applyAlignment="1" applyFont="1">
      <alignment readingOrder="0"/>
    </xf>
    <xf borderId="0" fillId="7" fontId="140" numFmtId="0" xfId="0" applyAlignment="1" applyFont="1">
      <alignment horizontal="right" readingOrder="0" shrinkToFit="0" vertical="bottom" wrapText="0"/>
    </xf>
    <xf borderId="0" fillId="7" fontId="143" numFmtId="0" xfId="0" applyAlignment="1" applyFont="1">
      <alignment readingOrder="0" shrinkToFit="0" wrapText="0"/>
    </xf>
    <xf borderId="0" fillId="7" fontId="1" numFmtId="0" xfId="0" applyAlignment="1" applyFont="1">
      <alignment readingOrder="0" shrinkToFit="0" wrapText="0"/>
    </xf>
    <xf borderId="0" fillId="0" fontId="140" numFmtId="166" xfId="0" applyAlignment="1" applyFont="1" applyNumberFormat="1">
      <alignment horizontal="right" shrinkToFit="0" vertical="bottom" wrapText="0"/>
    </xf>
    <xf borderId="0" fillId="0" fontId="140" numFmtId="0" xfId="0" applyAlignment="1" applyFont="1">
      <alignment horizontal="right" readingOrder="0" shrinkToFit="0" vertical="bottom" wrapText="0"/>
    </xf>
    <xf borderId="0" fillId="0" fontId="1" numFmtId="166" xfId="0" applyAlignment="1" applyFont="1" applyNumberFormat="1">
      <alignment readingOrder="0" shrinkToFit="0" wrapText="1"/>
    </xf>
    <xf borderId="0" fillId="0" fontId="144" numFmtId="0" xfId="0" applyAlignment="1" applyFont="1">
      <alignment readingOrder="0"/>
    </xf>
    <xf borderId="0" fillId="0" fontId="1" numFmtId="0" xfId="0" applyAlignment="1" applyFont="1">
      <alignment readingOrder="0" shrinkToFit="0" wrapText="0"/>
    </xf>
    <xf borderId="13" fillId="0" fontId="1" numFmtId="0" xfId="0" applyAlignment="1" applyBorder="1" applyFont="1">
      <alignment shrinkToFit="0" wrapText="0"/>
    </xf>
    <xf borderId="0" fillId="0" fontId="1" numFmtId="0" xfId="0" applyAlignment="1" applyFont="1">
      <alignment readingOrder="0"/>
    </xf>
    <xf borderId="0" fillId="0" fontId="4" numFmtId="0" xfId="0" applyAlignment="1" applyFont="1">
      <alignment shrinkToFit="0" vertical="bottom" wrapText="1"/>
    </xf>
    <xf borderId="0" fillId="0" fontId="4" numFmtId="166" xfId="0" applyAlignment="1" applyFont="1" applyNumberFormat="1">
      <alignment horizontal="right" vertical="bottom"/>
    </xf>
    <xf borderId="0" fillId="0" fontId="1" numFmtId="0" xfId="0" applyAlignment="1" applyFont="1">
      <alignment readingOrder="0" shrinkToFit="0" wrapText="1"/>
    </xf>
    <xf borderId="0" fillId="0" fontId="4" numFmtId="166" xfId="0" applyAlignment="1" applyFont="1" applyNumberFormat="1">
      <alignment horizontal="right" vertical="bottom"/>
    </xf>
    <xf borderId="0" fillId="0" fontId="4" numFmtId="3" xfId="0" applyAlignment="1" applyFont="1" applyNumberFormat="1">
      <alignment horizontal="right" vertical="bottom"/>
    </xf>
    <xf borderId="0" fillId="0" fontId="49" numFmtId="0" xfId="0" applyAlignment="1" applyFont="1">
      <alignment readingOrder="0"/>
    </xf>
    <xf borderId="0" fillId="0" fontId="145" numFmtId="0" xfId="0" applyAlignment="1" applyFont="1">
      <alignment readingOrder="0" shrinkToFit="0" wrapText="0"/>
    </xf>
    <xf borderId="0" fillId="0" fontId="146" numFmtId="0" xfId="0" applyAlignment="1" applyFont="1">
      <alignment vertical="bottom"/>
    </xf>
    <xf borderId="0" fillId="0" fontId="4" numFmtId="0" xfId="0" applyAlignment="1" applyFont="1">
      <alignment horizontal="center" vertical="bottom"/>
    </xf>
    <xf borderId="0" fillId="0" fontId="4" numFmtId="4" xfId="0" applyAlignment="1" applyFont="1" applyNumberFormat="1">
      <alignment vertical="bottom"/>
    </xf>
    <xf borderId="0" fillId="0" fontId="147" numFmtId="0" xfId="0" applyAlignment="1" applyFont="1">
      <alignment readingOrder="0"/>
    </xf>
    <xf borderId="13" fillId="0" fontId="1" numFmtId="0" xfId="0" applyAlignment="1" applyBorder="1" applyFont="1">
      <alignment readingOrder="0"/>
    </xf>
    <xf borderId="0" fillId="0" fontId="4" numFmtId="0" xfId="0" applyAlignment="1" applyFont="1">
      <alignment readingOrder="0" vertical="bottom"/>
    </xf>
    <xf borderId="0" fillId="0" fontId="148" numFmtId="166" xfId="0" applyAlignment="1" applyFont="1" applyNumberFormat="1">
      <alignment vertical="bottom"/>
    </xf>
    <xf borderId="0" fillId="0" fontId="1" numFmtId="0" xfId="0" applyAlignment="1" applyFont="1">
      <alignment horizontal="left" readingOrder="0"/>
    </xf>
    <xf borderId="0" fillId="0" fontId="49" numFmtId="0" xfId="0" applyAlignment="1" applyFont="1">
      <alignment horizontal="left" readingOrder="0"/>
    </xf>
    <xf borderId="0" fillId="0" fontId="49" numFmtId="0" xfId="0" applyAlignment="1" applyFont="1">
      <alignment horizontal="left" readingOrder="0" vertical="top"/>
    </xf>
    <xf borderId="0" fillId="0" fontId="4" numFmtId="0" xfId="0" applyAlignment="1" applyFont="1">
      <alignment vertical="bottom"/>
    </xf>
    <xf borderId="0" fillId="0" fontId="4" numFmtId="0" xfId="0" applyAlignment="1" applyFont="1">
      <alignment horizontal="left" readingOrder="0"/>
    </xf>
    <xf borderId="0" fillId="0" fontId="4" numFmtId="0" xfId="0" applyAlignment="1" applyFont="1">
      <alignment horizontal="right" readingOrder="0" vertical="bottom"/>
    </xf>
    <xf borderId="0" fillId="0" fontId="149" numFmtId="0" xfId="0" applyAlignment="1" applyFont="1">
      <alignment readingOrder="0"/>
    </xf>
    <xf borderId="13" fillId="0" fontId="4" numFmtId="0" xfId="0" applyAlignment="1" applyBorder="1" applyFont="1">
      <alignment readingOrder="0" vertical="bottom"/>
    </xf>
    <xf borderId="14" fillId="0" fontId="4" numFmtId="0" xfId="0" applyAlignment="1" applyBorder="1" applyFont="1">
      <alignment readingOrder="0"/>
    </xf>
    <xf borderId="0" fillId="7" fontId="150" numFmtId="0" xfId="0" applyAlignment="1" applyFont="1">
      <alignment readingOrder="0"/>
    </xf>
    <xf borderId="0" fillId="7" fontId="4" numFmtId="0" xfId="0" applyAlignment="1" applyFont="1">
      <alignment horizontal="right" readingOrder="0" vertical="bottom"/>
    </xf>
    <xf borderId="0" fillId="7" fontId="4" numFmtId="166" xfId="0" applyAlignment="1" applyFont="1" applyNumberFormat="1">
      <alignment vertical="bottom"/>
    </xf>
    <xf borderId="0" fillId="7" fontId="4" numFmtId="0" xfId="0" applyAlignment="1" applyFont="1">
      <alignment shrinkToFit="0" vertical="bottom" wrapText="0"/>
    </xf>
    <xf borderId="0" fillId="7" fontId="151" numFmtId="0" xfId="0" applyAlignment="1" applyFont="1">
      <alignment readingOrder="0"/>
    </xf>
    <xf borderId="0" fillId="7" fontId="40" numFmtId="0" xfId="0" applyAlignment="1" applyFont="1">
      <alignment readingOrder="0"/>
    </xf>
    <xf borderId="0" fillId="7" fontId="152" numFmtId="0" xfId="0" applyAlignment="1" applyFont="1">
      <alignment horizontal="left" readingOrder="0"/>
    </xf>
    <xf borderId="0" fillId="7" fontId="56" numFmtId="0" xfId="0" applyAlignment="1" applyFont="1">
      <alignment readingOrder="0"/>
    </xf>
    <xf borderId="0" fillId="7" fontId="112" numFmtId="0" xfId="0" applyAlignment="1" applyFont="1">
      <alignment readingOrder="0"/>
    </xf>
    <xf borderId="0" fillId="7" fontId="21" numFmtId="0" xfId="0" applyAlignment="1" applyFont="1">
      <alignment horizontal="center" readingOrder="0" vertical="bottom"/>
    </xf>
    <xf borderId="0" fillId="7" fontId="83" numFmtId="0" xfId="0" applyAlignment="1" applyFont="1">
      <alignment readingOrder="0" vertical="bottom"/>
    </xf>
    <xf borderId="0" fillId="7" fontId="83" numFmtId="0" xfId="0" applyAlignment="1" applyFont="1">
      <alignment readingOrder="0" shrinkToFit="0" vertical="bottom" wrapText="1"/>
    </xf>
    <xf borderId="0" fillId="7" fontId="83" numFmtId="0" xfId="0" applyAlignment="1" applyFont="1">
      <alignment horizontal="right" readingOrder="0" vertical="bottom"/>
    </xf>
    <xf borderId="0" fillId="7" fontId="83" numFmtId="166" xfId="0" applyAlignment="1" applyFont="1" applyNumberFormat="1">
      <alignment readingOrder="0" vertical="bottom"/>
    </xf>
    <xf borderId="0" fillId="7" fontId="83" numFmtId="166" xfId="0" applyAlignment="1" applyFont="1" applyNumberFormat="1">
      <alignment vertical="bottom"/>
    </xf>
    <xf borderId="0" fillId="7" fontId="83" numFmtId="0" xfId="0" applyAlignment="1" applyFont="1">
      <alignment readingOrder="0" shrinkToFit="0" vertical="bottom" wrapText="0"/>
    </xf>
    <xf borderId="0" fillId="7" fontId="83" numFmtId="0" xfId="0" applyAlignment="1" applyFont="1">
      <alignment shrinkToFit="0" vertical="bottom" wrapText="0"/>
    </xf>
    <xf borderId="13" fillId="7" fontId="83" numFmtId="0" xfId="0" applyAlignment="1" applyBorder="1" applyFont="1">
      <alignment readingOrder="0" vertical="bottom"/>
    </xf>
    <xf borderId="14" fillId="7" fontId="84" numFmtId="0" xfId="0" applyAlignment="1" applyBorder="1" applyFont="1">
      <alignment readingOrder="0"/>
    </xf>
    <xf borderId="0" fillId="7" fontId="84" numFmtId="0" xfId="0" applyFont="1"/>
    <xf borderId="0" fillId="7" fontId="83" numFmtId="0" xfId="0" applyAlignment="1" applyFont="1">
      <alignment vertical="bottom"/>
    </xf>
    <xf borderId="0" fillId="41" fontId="84" numFmtId="0" xfId="0" applyFill="1" applyFont="1"/>
    <xf borderId="0" fillId="7" fontId="153" numFmtId="0" xfId="0" applyAlignment="1" applyFont="1">
      <alignment readingOrder="0"/>
    </xf>
    <xf borderId="0" fillId="0" fontId="4" numFmtId="0" xfId="0" applyAlignment="1" applyFont="1">
      <alignment horizontal="right" readingOrder="0" vertical="bottom"/>
    </xf>
    <xf borderId="0" fillId="0" fontId="4" numFmtId="0" xfId="0" applyAlignment="1" applyFont="1">
      <alignment shrinkToFit="0" vertical="bottom" wrapText="0"/>
    </xf>
    <xf borderId="0" fillId="0" fontId="4" numFmtId="166" xfId="0" applyAlignment="1" applyFont="1" applyNumberFormat="1">
      <alignment readingOrder="0" shrinkToFit="0" vertical="bottom" wrapText="0"/>
    </xf>
    <xf borderId="0" fillId="0" fontId="4" numFmtId="166" xfId="0" applyAlignment="1" applyFont="1" applyNumberFormat="1">
      <alignment shrinkToFit="0" vertical="bottom" wrapText="0"/>
    </xf>
    <xf borderId="0" fillId="31" fontId="154" numFmtId="0" xfId="0" applyAlignment="1" applyFont="1">
      <alignment horizontal="center" readingOrder="0" vertical="center"/>
    </xf>
    <xf borderId="0" fillId="25" fontId="3"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42" fontId="154" numFmtId="0" xfId="0" applyAlignment="1" applyFill="1" applyFont="1">
      <alignment horizontal="center" readingOrder="0" vertical="center"/>
    </xf>
    <xf borderId="0" fillId="8" fontId="3" numFmtId="0" xfId="0" applyAlignment="1" applyFont="1">
      <alignment horizontal="center" readingOrder="0" shrinkToFit="0" vertical="center" wrapText="1"/>
    </xf>
    <xf borderId="0" fillId="11" fontId="154" numFmtId="0" xfId="0" applyAlignment="1" applyFont="1">
      <alignment horizontal="center" readingOrder="0" vertical="center"/>
    </xf>
    <xf borderId="0" fillId="4" fontId="3" numFmtId="0" xfId="0" applyAlignment="1" applyFont="1">
      <alignment horizontal="center" readingOrder="0" shrinkToFit="0" vertical="center" wrapText="1"/>
    </xf>
    <xf borderId="0" fillId="43" fontId="154" numFmtId="0" xfId="0" applyAlignment="1" applyFill="1" applyFont="1">
      <alignment horizontal="center" readingOrder="0" vertical="center"/>
    </xf>
    <xf borderId="0" fillId="44" fontId="3" numFmtId="0" xfId="0" applyAlignment="1" applyFill="1" applyFont="1">
      <alignment horizontal="center" readingOrder="0" shrinkToFit="0" vertical="center" wrapText="1"/>
    </xf>
    <xf borderId="0" fillId="14" fontId="1" numFmtId="0" xfId="0" applyAlignment="1" applyFont="1">
      <alignment horizontal="center" readingOrder="0" vertical="center"/>
    </xf>
    <xf borderId="0" fillId="14" fontId="155" numFmtId="0" xfId="0" applyAlignment="1" applyFont="1">
      <alignment horizontal="center" readingOrder="0" vertical="center"/>
    </xf>
    <xf borderId="0" fillId="6" fontId="1" numFmtId="0" xfId="0" applyAlignment="1" applyFont="1">
      <alignment horizontal="center" readingOrder="0" vertical="center"/>
    </xf>
    <xf borderId="0" fillId="6" fontId="156" numFmtId="0" xfId="0" applyAlignment="1" applyFont="1">
      <alignment horizontal="center" readingOrder="0" vertical="center"/>
    </xf>
    <xf borderId="0" fillId="45" fontId="154" numFmtId="0" xfId="0" applyAlignment="1" applyFill="1" applyFont="1">
      <alignment horizontal="center" readingOrder="0" vertical="center"/>
    </xf>
    <xf borderId="0" fillId="46" fontId="3" numFmtId="0" xfId="0" applyAlignment="1" applyFill="1" applyFont="1">
      <alignment horizontal="center" readingOrder="0" shrinkToFit="0" vertical="center" wrapText="1"/>
    </xf>
    <xf borderId="0" fillId="9" fontId="1" numFmtId="0" xfId="0" applyAlignment="1" applyFont="1">
      <alignment horizontal="center" readingOrder="0" vertical="center"/>
    </xf>
    <xf borderId="0" fillId="9" fontId="157" numFmtId="0" xfId="0" applyAlignment="1" applyFont="1">
      <alignment horizontal="center" readingOrder="0" vertical="center"/>
    </xf>
    <xf borderId="0" fillId="36" fontId="154" numFmtId="0" xfId="0" applyAlignment="1" applyFont="1">
      <alignment horizontal="center" readingOrder="0" vertical="center"/>
    </xf>
    <xf borderId="0" fillId="34" fontId="3" numFmtId="0" xfId="0" applyAlignment="1" applyFont="1">
      <alignment horizontal="center" readingOrder="0" shrinkToFit="0" vertical="center" wrapText="1"/>
    </xf>
    <xf borderId="0" fillId="26" fontId="1" numFmtId="0" xfId="0" applyAlignment="1" applyFont="1">
      <alignment horizontal="center" readingOrder="0" vertical="center"/>
    </xf>
    <xf borderId="0" fillId="26" fontId="158" numFmtId="0" xfId="0" applyAlignment="1" applyFont="1">
      <alignment horizontal="center" readingOrder="0" vertical="center"/>
    </xf>
    <xf borderId="0" fillId="15" fontId="1" numFmtId="0" xfId="0" applyAlignment="1" applyFont="1">
      <alignment horizontal="center" readingOrder="0" vertical="center"/>
    </xf>
    <xf borderId="0" fillId="15" fontId="159" numFmtId="0" xfId="0" applyAlignment="1" applyFont="1">
      <alignment horizontal="center" readingOrder="0" vertical="center"/>
    </xf>
    <xf borderId="0" fillId="15" fontId="1" numFmtId="0" xfId="0" applyAlignment="1" applyFont="1">
      <alignment horizontal="center" vertical="center"/>
    </xf>
    <xf borderId="0" fillId="6" fontId="160" numFmtId="0" xfId="0" applyAlignment="1" applyFont="1">
      <alignment horizontal="center" readingOrder="0" vertical="center"/>
    </xf>
    <xf borderId="0" fillId="6" fontId="1" numFmtId="0" xfId="0" applyAlignment="1" applyFont="1">
      <alignment horizontal="center" vertical="center"/>
    </xf>
    <xf borderId="0" fillId="26" fontId="1" numFmtId="0" xfId="0" applyAlignment="1" applyFont="1">
      <alignment horizontal="center" vertical="center"/>
    </xf>
    <xf borderId="0" fillId="6" fontId="1" numFmtId="0" xfId="0" applyAlignment="1" applyFont="1">
      <alignment horizontal="center" readingOrder="0"/>
    </xf>
    <xf borderId="0" fillId="6" fontId="1" numFmtId="0" xfId="0" applyAlignment="1" applyFont="1">
      <alignment horizontal="center"/>
    </xf>
    <xf borderId="0" fillId="6" fontId="161" numFmtId="0" xfId="0" applyAlignment="1" applyFont="1">
      <alignment horizontal="center" readingOrder="0"/>
    </xf>
    <xf borderId="0" fillId="26" fontId="1" numFmtId="0" xfId="0" applyAlignment="1" applyFont="1">
      <alignment horizontal="center" readingOrder="0"/>
    </xf>
    <xf borderId="0" fillId="26" fontId="1" numFmtId="0" xfId="0" applyAlignment="1" applyFont="1">
      <alignment horizontal="center"/>
    </xf>
    <xf borderId="0" fillId="26" fontId="162" numFmtId="0" xfId="0" applyAlignment="1" applyFont="1">
      <alignment horizontal="center" readingOrder="0"/>
    </xf>
    <xf borderId="0" fillId="26" fontId="4" numFmtId="0" xfId="0" applyAlignment="1" applyFont="1">
      <alignment horizontal="center" vertical="bottom"/>
    </xf>
    <xf borderId="0" fillId="26" fontId="4" numFmtId="0" xfId="0" applyAlignment="1" applyFont="1">
      <alignment horizontal="center" vertical="bottom"/>
    </xf>
    <xf borderId="0" fillId="26" fontId="4" numFmtId="0" xfId="0" applyAlignment="1" applyFont="1">
      <alignment horizontal="center" readingOrder="0" vertical="bottom"/>
    </xf>
    <xf borderId="0" fillId="26" fontId="163" numFmtId="0" xfId="0" applyAlignment="1" applyFont="1">
      <alignment horizontal="center" vertical="bottom"/>
    </xf>
    <xf borderId="0" fillId="0" fontId="164" numFmtId="0" xfId="0" applyAlignment="1" applyFont="1">
      <alignment readingOrder="0" vertical="bottom"/>
    </xf>
    <xf borderId="0" fillId="26" fontId="165" numFmtId="0" xfId="0" applyAlignment="1" applyFont="1">
      <alignment horizontal="center" vertical="bottom"/>
    </xf>
    <xf borderId="0" fillId="47" fontId="154" numFmtId="0" xfId="0" applyAlignment="1" applyFill="1" applyFont="1">
      <alignment horizontal="center" readingOrder="0" vertical="center"/>
    </xf>
    <xf borderId="0" fillId="29" fontId="3" numFmtId="0" xfId="0" applyAlignment="1" applyFont="1">
      <alignment horizontal="center" readingOrder="0" shrinkToFit="0" vertical="center" wrapText="1"/>
    </xf>
    <xf borderId="0" fillId="26" fontId="154" numFmtId="0" xfId="0" applyAlignment="1" applyFont="1">
      <alignment horizontal="center" readingOrder="0" vertical="center"/>
    </xf>
    <xf borderId="0" fillId="14" fontId="3" numFmtId="0" xfId="0" applyAlignment="1" applyFont="1">
      <alignment horizontal="center" readingOrder="0" shrinkToFit="0" vertical="center" wrapText="1"/>
    </xf>
    <xf borderId="0" fillId="26" fontId="166" numFmtId="0" xfId="0" applyAlignment="1" applyFont="1">
      <alignment horizontal="center" readingOrder="0" vertical="center"/>
    </xf>
    <xf borderId="0" fillId="0" fontId="4" numFmtId="0" xfId="0" applyAlignment="1" applyFont="1">
      <alignment horizontal="center"/>
    </xf>
    <xf borderId="0" fillId="0" fontId="167" numFmtId="0" xfId="0" applyAlignment="1" applyFont="1">
      <alignment vertical="bottom"/>
    </xf>
    <xf borderId="0" fillId="0" fontId="4" numFmtId="0" xfId="0" applyAlignment="1" applyFont="1">
      <alignment horizontal="center"/>
    </xf>
    <xf borderId="0" fillId="40" fontId="154" numFmtId="0" xfId="0" applyAlignment="1" applyFont="1">
      <alignment horizontal="center" readingOrder="0" vertical="center"/>
    </xf>
    <xf borderId="0" fillId="35" fontId="3" numFmtId="0" xfId="0" applyAlignment="1" applyFont="1">
      <alignment horizontal="center" readingOrder="0" shrinkToFit="0" vertical="center" wrapText="1"/>
    </xf>
    <xf borderId="0" fillId="25" fontId="154" numFmtId="0" xfId="0" applyAlignment="1" applyFont="1">
      <alignment horizontal="center" readingOrder="0" vertical="center"/>
    </xf>
    <xf borderId="0" fillId="6" fontId="3" numFmtId="0" xfId="0" applyAlignment="1" applyFont="1">
      <alignment horizontal="center" readingOrder="0" shrinkToFit="0" vertical="center" wrapText="1"/>
    </xf>
    <xf borderId="0" fillId="15" fontId="168" numFmtId="0" xfId="0" applyAlignment="1" applyFont="1">
      <alignment horizontal="center" readingOrder="0" vertical="center"/>
    </xf>
    <xf borderId="0" fillId="15" fontId="169" numFmtId="0" xfId="0" applyAlignment="1" applyFont="1">
      <alignment horizontal="center" readingOrder="0"/>
    </xf>
    <xf borderId="0" fillId="17" fontId="1" numFmtId="0" xfId="0" applyAlignment="1" applyFont="1">
      <alignment horizontal="center" readingOrder="0" vertical="center"/>
    </xf>
    <xf borderId="0" fillId="17" fontId="170" numFmtId="0" xfId="0" applyAlignment="1" applyFont="1">
      <alignment horizontal="center" readingOrder="0" vertical="center"/>
    </xf>
    <xf borderId="0" fillId="32" fontId="154" numFmtId="0" xfId="0" applyAlignment="1" applyFont="1">
      <alignment horizontal="center" readingOrder="0" vertical="center"/>
    </xf>
    <xf borderId="0" fillId="26" fontId="3" numFmtId="0" xfId="0" applyAlignment="1" applyFont="1">
      <alignment horizontal="center" readingOrder="0" shrinkToFit="0" vertical="center" wrapText="1"/>
    </xf>
    <xf borderId="0" fillId="0" fontId="171" numFmtId="0" xfId="0" applyAlignment="1" applyFont="1">
      <alignment horizontal="left" readingOrder="0" vertical="center"/>
    </xf>
    <xf borderId="0" fillId="23" fontId="3" numFmtId="0" xfId="0" applyAlignment="1" applyFont="1">
      <alignment horizontal="left" readingOrder="0" vertical="center"/>
    </xf>
    <xf borderId="0" fillId="23" fontId="3" numFmtId="0" xfId="0" applyAlignment="1" applyFont="1">
      <alignment horizontal="center" readingOrder="0" vertical="center"/>
    </xf>
    <xf borderId="0" fillId="23" fontId="3" numFmtId="0" xfId="0" applyAlignment="1" applyFont="1">
      <alignment horizontal="center" readingOrder="0" shrinkToFit="0" vertical="center" wrapText="1"/>
    </xf>
    <xf borderId="0" fillId="32" fontId="172" numFmtId="0" xfId="0" applyAlignment="1" applyFont="1">
      <alignment horizontal="left" readingOrder="0"/>
    </xf>
    <xf borderId="0" fillId="7" fontId="1" numFmtId="0" xfId="0" applyAlignment="1" applyFont="1">
      <alignment horizontal="left" readingOrder="0"/>
    </xf>
    <xf borderId="0" fillId="7" fontId="1" numFmtId="0" xfId="0" applyAlignment="1" applyFont="1">
      <alignment horizontal="center" readingOrder="0"/>
    </xf>
    <xf borderId="0" fillId="7" fontId="1" numFmtId="169" xfId="0" applyAlignment="1" applyFont="1" applyNumberFormat="1">
      <alignment horizontal="center" readingOrder="0"/>
    </xf>
    <xf borderId="0" fillId="7" fontId="1" numFmtId="0" xfId="0" applyAlignment="1" applyFont="1">
      <alignment horizontal="center" readingOrder="0" shrinkToFit="0" wrapText="1"/>
    </xf>
    <xf borderId="0" fillId="7" fontId="100" numFmtId="0" xfId="0" applyAlignment="1" applyFont="1">
      <alignment horizontal="center" readingOrder="0"/>
    </xf>
    <xf borderId="0" fillId="7" fontId="100" numFmtId="169" xfId="0" applyAlignment="1" applyFont="1" applyNumberFormat="1">
      <alignment horizontal="center" readingOrder="0"/>
    </xf>
    <xf borderId="0" fillId="0" fontId="1" numFmtId="0" xfId="0" applyAlignment="1" applyFont="1">
      <alignment horizontal="left"/>
    </xf>
    <xf borderId="0" fillId="15" fontId="173" numFmtId="0" xfId="0" applyAlignment="1" applyFont="1">
      <alignment readingOrder="0" vertical="center"/>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7" fontId="3" numFmtId="0" xfId="0" applyAlignment="1" applyFont="1">
      <alignment readingOrder="0"/>
    </xf>
    <xf borderId="21" fillId="0" fontId="1" numFmtId="0" xfId="0" applyAlignment="1" applyBorder="1" applyFont="1">
      <alignment shrinkToFit="0" vertical="center" wrapText="0"/>
    </xf>
    <xf borderId="21" fillId="0" fontId="1" numFmtId="0" xfId="0" applyAlignment="1" applyBorder="1" applyFont="1">
      <alignment shrinkToFit="0" vertical="center" wrapText="0"/>
    </xf>
    <xf borderId="21" fillId="0" fontId="1" numFmtId="0" xfId="0" applyAlignment="1" applyBorder="1" applyFont="1">
      <alignment shrinkToFit="0" vertical="center" wrapText="0"/>
    </xf>
    <xf borderId="21" fillId="0" fontId="1" numFmtId="0" xfId="0" applyAlignment="1" applyBorder="1" applyFont="1">
      <alignment readingOrder="0" shrinkToFit="0" vertical="center" wrapText="0"/>
    </xf>
    <xf borderId="23" fillId="0" fontId="4" numFmtId="0" xfId="0" applyAlignment="1" applyBorder="1" applyFont="1">
      <alignment vertical="bottom"/>
    </xf>
    <xf borderId="3" fillId="0" fontId="4" numFmtId="0" xfId="0" applyAlignment="1" applyBorder="1" applyFont="1">
      <alignment vertical="bottom"/>
    </xf>
    <xf borderId="4" fillId="0" fontId="4" numFmtId="0" xfId="0" applyAlignment="1" applyBorder="1" applyFont="1">
      <alignment vertical="bottom"/>
    </xf>
    <xf borderId="24" fillId="0" fontId="1" numFmtId="0" xfId="0" applyBorder="1" applyFont="1"/>
    <xf borderId="25" fillId="0" fontId="2" numFmtId="0" xfId="0" applyBorder="1" applyFont="1"/>
    <xf borderId="26" fillId="0" fontId="4" numFmtId="0" xfId="0" applyAlignment="1" applyBorder="1" applyFont="1">
      <alignment vertical="bottom"/>
    </xf>
    <xf borderId="27" fillId="0" fontId="4" numFmtId="0" xfId="0" applyAlignment="1" applyBorder="1" applyFont="1">
      <alignment vertical="bottom"/>
    </xf>
    <xf borderId="25" fillId="0" fontId="4" numFmtId="0" xfId="0" applyAlignment="1" applyBorder="1" applyFont="1">
      <alignment vertical="bottom"/>
    </xf>
    <xf borderId="27" fillId="0" fontId="10" numFmtId="0" xfId="0" applyAlignment="1" applyBorder="1" applyFont="1">
      <alignment vertical="bottom"/>
    </xf>
    <xf borderId="25" fillId="0" fontId="4" numFmtId="0" xfId="0" applyAlignment="1" applyBorder="1" applyFont="1">
      <alignment vertical="bottom"/>
    </xf>
    <xf borderId="26" fillId="0" fontId="4" numFmtId="0" xfId="0" applyAlignment="1" applyBorder="1" applyFont="1">
      <alignment vertical="bottom"/>
    </xf>
    <xf borderId="27" fillId="0" fontId="4" numFmtId="0" xfId="0" applyAlignment="1" applyBorder="1" applyFont="1">
      <alignment vertical="bottom"/>
    </xf>
    <xf borderId="25" fillId="36" fontId="4" numFmtId="0" xfId="0" applyAlignment="1" applyBorder="1" applyFont="1">
      <alignment vertical="bottom"/>
    </xf>
    <xf borderId="25" fillId="0" fontId="4" numFmtId="0" xfId="0" applyAlignment="1" applyBorder="1" applyFont="1">
      <alignment readingOrder="0" vertical="bottom"/>
    </xf>
    <xf borderId="28" fillId="0" fontId="4" numFmtId="0" xfId="0" applyAlignment="1" applyBorder="1" applyFont="1">
      <alignment vertical="bottom"/>
    </xf>
    <xf borderId="29" fillId="0" fontId="4" numFmtId="0" xfId="0" applyAlignment="1" applyBorder="1" applyFont="1">
      <alignment vertical="bottom"/>
    </xf>
    <xf borderId="30" fillId="0" fontId="4" numFmtId="0" xfId="0" applyAlignment="1" applyBorder="1" applyFont="1">
      <alignment readingOrder="0" vertical="bottom"/>
    </xf>
    <xf borderId="30" fillId="0" fontId="4" numFmtId="0" xfId="0" applyAlignment="1" applyBorder="1" applyFont="1">
      <alignment vertical="bottom"/>
    </xf>
    <xf borderId="24" fillId="0" fontId="154" numFmtId="0" xfId="0" applyAlignment="1" applyBorder="1" applyFont="1">
      <alignment readingOrder="0"/>
    </xf>
    <xf borderId="24" fillId="0" fontId="154" numFmtId="0" xfId="0" applyAlignment="1" applyBorder="1" applyFont="1">
      <alignment readingOrder="0" shrinkToFit="0" wrapText="1"/>
    </xf>
    <xf borderId="0" fillId="0" fontId="154" numFmtId="0" xfId="0" applyFont="1"/>
    <xf borderId="0" fillId="7" fontId="174" numFmtId="0" xfId="0" applyAlignment="1" applyFont="1">
      <alignment horizontal="left" readingOrder="0"/>
    </xf>
    <xf borderId="0" fillId="3" fontId="3" numFmtId="0" xfId="0" applyAlignment="1" applyFont="1">
      <alignment readingOrder="0" shrinkToFit="0" wrapText="1"/>
    </xf>
    <xf borderId="0" fillId="0" fontId="70" numFmtId="0" xfId="0" applyAlignment="1" applyFont="1">
      <alignment readingOrder="0" shrinkToFit="0" wrapText="1"/>
    </xf>
    <xf borderId="0" fillId="0" fontId="175" numFmtId="0" xfId="0" applyAlignment="1" applyFont="1">
      <alignment readingOrder="0" shrinkToFit="0" wrapText="1"/>
    </xf>
    <xf borderId="0" fillId="0" fontId="175" numFmtId="0" xfId="0" applyAlignment="1" applyFont="1">
      <alignment readingOrder="0"/>
    </xf>
    <xf borderId="0" fillId="0" fontId="0" numFmtId="0" xfId="0" applyAlignment="1" applyFont="1">
      <alignment readingOrder="0" shrinkToFit="0" wrapText="1"/>
    </xf>
    <xf borderId="0" fillId="0" fontId="176" numFmtId="0" xfId="0" applyAlignment="1" applyFont="1">
      <alignment shrinkToFit="0" wrapText="1"/>
    </xf>
    <xf borderId="0" fillId="0" fontId="70" numFmtId="0" xfId="0" applyAlignment="1" applyFont="1">
      <alignment readingOrder="0"/>
    </xf>
    <xf borderId="0" fillId="0" fontId="177" numFmtId="0" xfId="0" applyAlignment="1" applyFont="1">
      <alignment horizontal="left" readingOrder="0" shrinkToFit="0" wrapText="1"/>
    </xf>
    <xf borderId="0" fillId="28" fontId="16" numFmtId="0" xfId="0" applyAlignment="1" applyFont="1">
      <alignment horizontal="center" readingOrder="0" vertical="bottom"/>
    </xf>
    <xf borderId="0" fillId="0" fontId="10" numFmtId="0" xfId="0" applyAlignment="1" applyFont="1">
      <alignment readingOrder="0" vertical="bottom"/>
    </xf>
    <xf borderId="0" fillId="0" fontId="10" numFmtId="0" xfId="0" applyAlignment="1" applyFont="1">
      <alignment vertical="bottom"/>
    </xf>
    <xf borderId="0" fillId="0" fontId="10" numFmtId="166" xfId="0" applyAlignment="1" applyFont="1" applyNumberFormat="1">
      <alignment vertical="bottom"/>
    </xf>
    <xf borderId="0" fillId="0" fontId="10" numFmtId="0" xfId="0" applyAlignment="1" applyFont="1">
      <alignment shrinkToFit="0" vertical="bottom" wrapText="1"/>
    </xf>
    <xf borderId="0" fillId="0" fontId="3" numFmtId="0" xfId="0" applyAlignment="1" applyFont="1">
      <alignment horizontal="center" readingOrder="0"/>
    </xf>
    <xf borderId="0" fillId="0" fontId="178" numFmtId="0" xfId="0" applyAlignment="1" applyFont="1">
      <alignment readingOrder="0"/>
    </xf>
    <xf borderId="0" fillId="0" fontId="179" numFmtId="0" xfId="0" applyAlignment="1" applyFont="1">
      <alignment horizontal="left" readingOrder="0"/>
    </xf>
    <xf borderId="0" fillId="0" fontId="180" numFmtId="0" xfId="0" applyAlignment="1" applyFont="1">
      <alignment horizontal="center" readingOrder="0" shrinkToFit="0" wrapText="0"/>
    </xf>
    <xf borderId="0" fillId="0" fontId="181" numFmtId="0" xfId="0" applyAlignment="1" applyFont="1">
      <alignment horizontal="left" readingOrder="0"/>
    </xf>
    <xf borderId="0" fillId="0" fontId="182" numFmtId="0" xfId="0" applyAlignment="1" applyFont="1">
      <alignment horizontal="right" readingOrder="0"/>
    </xf>
    <xf borderId="0" fillId="0" fontId="183" numFmtId="0" xfId="0" applyAlignment="1" applyFont="1">
      <alignment readingOrder="0"/>
    </xf>
    <xf borderId="0" fillId="0" fontId="184" numFmtId="0" xfId="0" applyAlignment="1" applyFont="1">
      <alignment readingOrder="0"/>
    </xf>
    <xf borderId="0" fillId="0" fontId="185" numFmtId="0" xfId="0" applyAlignment="1" applyFont="1">
      <alignment readingOrder="0"/>
    </xf>
    <xf borderId="0" fillId="0" fontId="186" numFmtId="0" xfId="0" applyAlignment="1" applyFont="1">
      <alignment readingOrder="0"/>
    </xf>
    <xf borderId="0" fillId="0" fontId="187" numFmtId="0" xfId="0" applyAlignment="1" applyFont="1">
      <alignment horizontal="center" readingOrder="0"/>
    </xf>
    <xf borderId="0" fillId="0" fontId="84" numFmtId="0" xfId="0" applyAlignment="1" applyFont="1">
      <alignment readingOrder="0"/>
    </xf>
    <xf borderId="0" fillId="0" fontId="84" numFmtId="168" xfId="0" applyAlignment="1" applyFont="1" applyNumberFormat="1">
      <alignment readingOrder="0"/>
    </xf>
    <xf borderId="0" fillId="0" fontId="84" numFmtId="0" xfId="0" applyFont="1"/>
    <xf borderId="0" fillId="0" fontId="84" numFmtId="166" xfId="0" applyAlignment="1" applyFont="1" applyNumberFormat="1">
      <alignment readingOrder="0"/>
    </xf>
    <xf borderId="0" fillId="0" fontId="188" numFmtId="0" xfId="0" applyAlignment="1" applyFont="1">
      <alignment readingOrder="0"/>
    </xf>
    <xf borderId="0" fillId="0" fontId="189" numFmtId="0" xfId="0" applyAlignment="1" applyFont="1">
      <alignment readingOrder="0"/>
    </xf>
    <xf borderId="0" fillId="0" fontId="190" numFmtId="0" xfId="0" applyFont="1"/>
    <xf borderId="0" fillId="0" fontId="191" numFmtId="166" xfId="0" applyFont="1" applyNumberFormat="1"/>
    <xf borderId="0" fillId="0" fontId="3" numFmtId="166" xfId="0" applyAlignment="1" applyFont="1" applyNumberFormat="1">
      <alignment readingOrder="0"/>
    </xf>
    <xf borderId="0" fillId="0" fontId="192" numFmtId="166" xfId="0" applyAlignment="1" applyFont="1" applyNumberFormat="1">
      <alignment readingOrder="0"/>
    </xf>
    <xf borderId="0" fillId="0" fontId="193" numFmtId="166" xfId="0" applyAlignment="1" applyFont="1" applyNumberFormat="1">
      <alignment readingOrder="0"/>
    </xf>
    <xf borderId="0" fillId="0" fontId="194" numFmtId="0" xfId="0" applyFont="1"/>
    <xf borderId="0" fillId="0" fontId="195" numFmtId="0" xfId="0" applyAlignment="1" applyFont="1">
      <alignment horizontal="center" readingOrder="0"/>
    </xf>
    <xf borderId="0" fillId="0" fontId="1" numFmtId="166" xfId="0" applyAlignment="1" applyFont="1" applyNumberFormat="1">
      <alignment shrinkToFit="0" wrapText="1"/>
    </xf>
    <xf borderId="0" fillId="0" fontId="194" numFmtId="166" xfId="0" applyAlignment="1" applyFont="1" applyNumberFormat="1">
      <alignment horizontal="left"/>
    </xf>
    <xf borderId="0" fillId="0" fontId="172" numFmtId="0" xfId="0" applyAlignment="1" applyFont="1">
      <alignment horizontal="left" readingOrder="0" vertical="center"/>
    </xf>
  </cellXfs>
  <cellStyles count="1">
    <cellStyle xfId="0" name="Normal" builtinId="0"/>
  </cellStyles>
  <dxfs count="22">
    <dxf>
      <font/>
      <fill>
        <patternFill patternType="solid">
          <fgColor rgb="FFCC4125"/>
          <bgColor rgb="FFCC4125"/>
        </patternFill>
      </fill>
      <border/>
    </dxf>
    <dxf>
      <font/>
      <fill>
        <patternFill patternType="solid">
          <fgColor rgb="FFF6B26B"/>
          <bgColor rgb="FFF6B26B"/>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FFFFFF"/>
          <bgColor rgb="FFFFFFFF"/>
        </patternFill>
      </fill>
      <border/>
    </dxf>
    <dxf>
      <font/>
      <fill>
        <patternFill patternType="solid">
          <fgColor rgb="FF6D9EEB"/>
          <bgColor rgb="FF6D9EEB"/>
        </patternFill>
      </fill>
      <border/>
    </dxf>
    <dxf>
      <font/>
      <fill>
        <patternFill patternType="solid">
          <fgColor rgb="FFB7B7B7"/>
          <bgColor rgb="FFB7B7B7"/>
        </patternFill>
      </fill>
      <border/>
    </dxf>
    <dxf>
      <font/>
      <fill>
        <patternFill patternType="solid">
          <fgColor rgb="FFFFE599"/>
          <bgColor rgb="FFFFE599"/>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BB463C"/>
          <bgColor rgb="FFBB463C"/>
        </patternFill>
      </fill>
      <border/>
    </dxf>
    <dxf>
      <font/>
      <fill>
        <patternFill patternType="solid">
          <fgColor rgb="FF356854"/>
          <bgColor rgb="FF356854"/>
        </patternFill>
      </fill>
      <border/>
    </dxf>
    <dxf>
      <font/>
      <fill>
        <patternFill patternType="solid">
          <fgColor rgb="FF373F6B"/>
          <bgColor rgb="FF373F6B"/>
        </patternFill>
      </fill>
      <border/>
    </dxf>
    <dxf>
      <font/>
      <fill>
        <patternFill patternType="solid">
          <fgColor rgb="FFEA9999"/>
          <bgColor rgb="FFEA9999"/>
        </patternFill>
      </fill>
      <border/>
    </dxf>
    <dxf>
      <font/>
      <fill>
        <patternFill patternType="solid">
          <fgColor rgb="FF8E7CC3"/>
          <bgColor rgb="FF8E7CC3"/>
        </patternFill>
      </fill>
      <border/>
    </dxf>
    <dxf>
      <font/>
      <fill>
        <patternFill patternType="solid">
          <fgColor rgb="FFF1C232"/>
          <bgColor rgb="FFF1C232"/>
        </patternFill>
      </fill>
      <border/>
    </dxf>
    <dxf>
      <font/>
      <fill>
        <patternFill patternType="solid">
          <fgColor rgb="FFB7E1CD"/>
          <bgColor rgb="FFB7E1CD"/>
        </patternFill>
      </fill>
      <border/>
    </dxf>
    <dxf>
      <font/>
      <fill>
        <patternFill patternType="solid">
          <fgColor rgb="FFE06666"/>
          <bgColor rgb="FFE06666"/>
        </patternFill>
      </fill>
      <border/>
    </dxf>
    <dxf>
      <font>
        <strike/>
      </font>
      <fill>
        <patternFill patternType="solid">
          <fgColor rgb="FF6AA84F"/>
          <bgColor rgb="FF6AA84F"/>
        </patternFill>
      </fill>
      <border/>
    </dxf>
  </dxfs>
  <tableStyles count="12">
    <tableStyle count="4" pivot="0" name="Sheet Metal Procurment-style">
      <tableStyleElement dxfId="9" type="headerRow"/>
      <tableStyleElement dxfId="10" type="firstRowStripe"/>
      <tableStyleElement dxfId="11" type="secondRowStripe"/>
      <tableStyleElement dxfId="12" size="0" type="wholeTable"/>
    </tableStyle>
    <tableStyle count="4" pivot="0" name="Sheet Metal Procurment-style 2">
      <tableStyleElement dxfId="13" type="headerRow"/>
      <tableStyleElement dxfId="10" type="firstRowStripe"/>
      <tableStyleElement dxfId="11" type="secondRowStripe"/>
      <tableStyleElement dxfId="12" size="0" type="wholeTable"/>
    </tableStyle>
    <tableStyle count="4" pivot="0" name="Sheet Metal Procurment-style 3">
      <tableStyleElement dxfId="14" type="headerRow"/>
      <tableStyleElement dxfId="10" type="firstRowStripe"/>
      <tableStyleElement dxfId="11" type="secondRowStripe"/>
      <tableStyleElement dxfId="12" size="0" type="wholeTable"/>
    </tableStyle>
    <tableStyle count="4" pivot="0" name="Sheet Metal Stock-style">
      <tableStyleElement dxfId="9" type="headerRow"/>
      <tableStyleElement dxfId="10" type="firstRowStripe"/>
      <tableStyleElement dxfId="11" type="secondRowStripe"/>
      <tableStyleElement dxfId="12" size="0" type="wholeTable"/>
    </tableStyle>
    <tableStyle count="2" pivot="0" name="Business Procurement-style">
      <tableStyleElement dxfId="11" type="firstRowStripe"/>
      <tableStyleElement dxfId="10" type="secondRowStripe"/>
    </tableStyle>
    <tableStyle count="2" pivot="0" name="Business Procurement-style 2">
      <tableStyleElement dxfId="11" type="firstRowStripe"/>
      <tableStyleElement dxfId="10" type="secondRowStripe"/>
    </tableStyle>
    <tableStyle count="2" pivot="0" name="Business Procurement-style 3">
      <tableStyleElement dxfId="11" type="firstRowStripe"/>
      <tableStyleElement dxfId="10" type="secondRowStripe"/>
    </tableStyle>
    <tableStyle count="2" pivot="0" name="Business Procurement-style 4">
      <tableStyleElement dxfId="11" type="firstRowStripe"/>
      <tableStyleElement dxfId="10" type="secondRowStripe"/>
    </tableStyle>
    <tableStyle count="4" pivot="0" name="3D Printing-style">
      <tableStyleElement dxfId="9" type="headerRow"/>
      <tableStyleElement dxfId="10" type="firstRowStripe"/>
      <tableStyleElement dxfId="11" type="secondRowStripe"/>
      <tableStyleElement dxfId="12" size="0" type="wholeTable"/>
    </tableStyle>
    <tableStyle count="4" pivot="0" name="3D Printing-style 2">
      <tableStyleElement dxfId="13" type="headerRow"/>
      <tableStyleElement dxfId="10" type="firstRowStripe"/>
      <tableStyleElement dxfId="11" type="secondRowStripe"/>
      <tableStyleElement dxfId="12" size="0" type="wholeTable"/>
    </tableStyle>
    <tableStyle count="4" pivot="0" name="3D Printing-style 3">
      <tableStyleElement dxfId="14" type="headerRow"/>
      <tableStyleElement dxfId="10" type="firstRowStripe"/>
      <tableStyleElement dxfId="11" type="secondRowStripe"/>
      <tableStyleElement dxfId="12" size="0" type="wholeTable"/>
    </tableStyle>
    <tableStyle count="4" pivot="0" name="3D Printing-style 4">
      <tableStyleElement dxfId="15" type="headerRow"/>
      <tableStyleElement dxfId="10" type="firstRowStripe"/>
      <tableStyleElement dxfId="11" type="secondRowStripe"/>
      <tableStyleElement dxfId="12"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miliano Villasenor Vazquez" id="{b3933ca7-3af7-4368-96b4-c78cd0dfc224}" providerId="google-sheets"/>
  <x18tc:person displayName="Nathan Mak" id="{1271058d-3d0e-4e4e-a83c-6c806dc09eac}" providerId="google-sheets"/>
  <x18tc:person displayName="Marta Senkiv" id="{33b013fc-7df8-4ab9-93d7-02f8086e2ca4}" providerId="google-sheets"/>
</x18tc:personList>
</file>

<file path=xl/tables/table1.xml><?xml version="1.0" encoding="utf-8"?>
<table xmlns="http://schemas.openxmlformats.org/spreadsheetml/2006/main" ref="A1:J13" displayName="VD" name="VD" id="1">
  <tableColumns count="10">
    <tableColumn name="Material" id="1"/>
    <tableColumn name="Material (if other)" id="2"/>
    <tableColumn name="Thickness (in)" id="3"/>
    <tableColumn name="Dimensions (l x w, in)" id="4"/>
    <tableColumn name="Qty" id="5"/>
    <tableColumn name="Part Name/Description" id="6"/>
    <tableColumn name="Sub-System" id="7"/>
    <tableColumn name="Lead " id="8"/>
    <tableColumn name="Link" id="9"/>
    <tableColumn name="Notes" id="10"/>
  </tableColumns>
  <tableStyleInfo name="Sheet Metal Procurment-style" showColumnStripes="0" showFirstColumn="1" showLastColumn="1" showRowStripes="1"/>
</table>
</file>

<file path=xl/tables/table2.xml><?xml version="1.0" encoding="utf-8"?>
<table xmlns="http://schemas.openxmlformats.org/spreadsheetml/2006/main" ref="A17:J26" displayName="Aero" name="Aero" id="2">
  <tableColumns count="10">
    <tableColumn name="Material" id="1"/>
    <tableColumn name="Material (if other)" id="2"/>
    <tableColumn name="Thickness (in)" id="3"/>
    <tableColumn name="Dimensions (l x w, in)" id="4"/>
    <tableColumn name="Qty" id="5"/>
    <tableColumn name="Part Name/Description" id="6"/>
    <tableColumn name="Sub-System" id="7"/>
    <tableColumn name="Lead " id="8"/>
    <tableColumn name="Link" id="9"/>
    <tableColumn name="Notes" id="10"/>
  </tableColumns>
  <tableStyleInfo name="Sheet Metal Procurment-style 2" showColumnStripes="0" showFirstColumn="1" showLastColumn="1" showRowStripes="1"/>
</table>
</file>

<file path=xl/tables/table3.xml><?xml version="1.0" encoding="utf-8"?>
<table xmlns="http://schemas.openxmlformats.org/spreadsheetml/2006/main" ref="A30:J42" displayName="EP" name="EP" id="3">
  <tableColumns count="10">
    <tableColumn name="Material" id="1"/>
    <tableColumn name="Material (if other)" id="2"/>
    <tableColumn name="Thickness (in)" id="3"/>
    <tableColumn name="Dimensions (l x w, in)" id="4"/>
    <tableColumn name="Qty" id="5"/>
    <tableColumn name="Part Name/Description" id="6"/>
    <tableColumn name="Sub-System" id="7"/>
    <tableColumn name="Lead " id="8"/>
    <tableColumn name="Link" id="9"/>
    <tableColumn name="Notes" id="10"/>
  </tableColumns>
  <tableStyleInfo name="Sheet Metal Procurment-style 3" showColumnStripes="0" showFirstColumn="1" showLastColumn="1" showRowStripes="1"/>
</table>
</file>

<file path=xl/tables/table4.xml><?xml version="1.0" encoding="utf-8"?>
<table xmlns="http://schemas.openxmlformats.org/spreadsheetml/2006/main" ref="A1:H22" displayName="Metal_Stock" name="Metal_Stock" id="4">
  <autoFilter ref="$A$1:$H$22"/>
  <tableColumns count="8">
    <tableColumn name="Material" id="1"/>
    <tableColumn name="Material (if other)" id="2"/>
    <tableColumn name="Thickness (in)" id="3"/>
    <tableColumn name="Thickness (mm)" id="4"/>
    <tableColumn name="Dimensions (l x w, in)" id="5"/>
    <tableColumn name="Notes" id="6"/>
    <tableColumn name="Subsystems that can use metal " id="7"/>
    <tableColumn name="Column 1" id="8"/>
  </tableColumns>
  <tableStyleInfo name="Sheet Metal Stock-style" showColumnStripes="0" showFirstColumn="1" showLastColumn="1" showRowStripes="1"/>
</table>
</file>

<file path=xl/tables/table5.xml><?xml version="1.0" encoding="utf-8"?>
<table xmlns="http://schemas.openxmlformats.org/spreadsheetml/2006/main" headerRowCount="0" ref="C12:G16" displayName="Table_1" name="Table_1" id="5">
  <tableColumns count="5">
    <tableColumn name="Column1" id="1"/>
    <tableColumn name="Column2" id="2"/>
    <tableColumn name="Column3" id="3"/>
    <tableColumn name="Column4" id="4"/>
    <tableColumn name="Column5" id="5"/>
  </tableColumns>
  <tableStyleInfo name="Business Procurement-style" showColumnStripes="0" showFirstColumn="1" showLastColumn="1" showRowStripes="1"/>
</table>
</file>

<file path=xl/tables/table6.xml><?xml version="1.0" encoding="utf-8"?>
<table xmlns="http://schemas.openxmlformats.org/spreadsheetml/2006/main" headerRowCount="0" ref="I12:J16" displayName="Table_2" name="Table_2" id="6">
  <tableColumns count="2">
    <tableColumn name="Column1" id="1"/>
    <tableColumn name="Column2" id="2"/>
  </tableColumns>
  <tableStyleInfo name="Business Procurement-style 2" showColumnStripes="0" showFirstColumn="1" showLastColumn="1" showRowStripes="1"/>
</table>
</file>

<file path=xl/tables/table7.xml><?xml version="1.0" encoding="utf-8"?>
<table xmlns="http://schemas.openxmlformats.org/spreadsheetml/2006/main" headerRowCount="0" ref="M12:N17" displayName="Table_3" name="Table_3" id="7">
  <tableColumns count="2">
    <tableColumn name="Column1" id="1"/>
    <tableColumn name="Column2" id="2"/>
  </tableColumns>
  <tableStyleInfo name="Business Procurement-style 3" showColumnStripes="0" showFirstColumn="1" showLastColumn="1" showRowStripes="1"/>
</table>
</file>

<file path=xl/tables/table8.xml><?xml version="1.0" encoding="utf-8"?>
<table xmlns="http://schemas.openxmlformats.org/spreadsheetml/2006/main" headerRowCount="0" ref="P14:T16" displayName="Table_4" name="Table_4" id="8">
  <tableColumns count="5">
    <tableColumn name="Column1" id="1"/>
    <tableColumn name="Column2" id="2"/>
    <tableColumn name="Column3" id="3"/>
    <tableColumn name="Column4" id="4"/>
    <tableColumn name="Column5" id="5"/>
  </tableColumns>
  <tableStyleInfo name="Business Procurement-style 4" showColumnStripes="0" showFirstColumn="1" showLastColumn="1" showRowStripes="1"/>
</table>
</file>

<file path=xl/tables/table9.xml><?xml version="1.0" encoding="utf-8"?>
<table xmlns="http://schemas.openxmlformats.org/spreadsheetml/2006/main" ref="A3:J13" displayName="Vehicle_Dynamics" name="Vehicle_Dynamics" id="9">
  <tableColumns count="10">
    <tableColumn name="Item" id="1"/>
    <tableColumn name="Subsystem" id="2"/>
    <tableColumn name="Qty" id="3"/>
    <tableColumn name="Material" id="4"/>
    <tableColumn name="Designer" id="5"/>
    <tableColumn name="Structural/Non Structural?" id="6"/>
    <tableColumn name="Status" id="7"/>
    <tableColumn name="Printer" id="8"/>
    <tableColumn name="Date of Print" id="9"/>
    <tableColumn name="Due Date" id="10"/>
  </tableColumns>
  <tableStyleInfo name="3D Printing-style" showColumnStripes="0" showFirstColumn="1" showLastColumn="1" showRowStripes="1"/>
</table>
</file>

<file path=xl/tables/table10.xml><?xml version="1.0" encoding="utf-8"?>
<table xmlns="http://schemas.openxmlformats.org/spreadsheetml/2006/main" ref="A15:J25" displayName="Aerodnamics" name="Aerodnamics" id="10">
  <tableColumns count="10">
    <tableColumn name="Item" id="1"/>
    <tableColumn name="Subsystem" id="2"/>
    <tableColumn name="Qty" id="3"/>
    <tableColumn name="Material" id="4"/>
    <tableColumn name="Designer" id="5"/>
    <tableColumn name="Structural/Non Structural?" id="6"/>
    <tableColumn name="Status" id="7"/>
    <tableColumn name="Printer" id="8"/>
    <tableColumn name="Date of Print" id="9"/>
    <tableColumn name="Due Date" id="10"/>
  </tableColumns>
  <tableStyleInfo name="3D Printing-style 2" showColumnStripes="0" showFirstColumn="1" showLastColumn="1" showRowStripes="1"/>
</table>
</file>

<file path=xl/tables/table11.xml><?xml version="1.0" encoding="utf-8"?>
<table xmlns="http://schemas.openxmlformats.org/spreadsheetml/2006/main" ref="A27:J37" displayName="Electric_Powertrain" name="Electric_Powertrain" id="11">
  <tableColumns count="10">
    <tableColumn name="Item" id="1"/>
    <tableColumn name="Subsystem" id="2"/>
    <tableColumn name="Qty" id="3"/>
    <tableColumn name="Material" id="4"/>
    <tableColumn name="Designer" id="5"/>
    <tableColumn name="Structural/Non Structural?" id="6"/>
    <tableColumn name="Status" id="7"/>
    <tableColumn name="Printer" id="8"/>
    <tableColumn name="Date of Print" id="9"/>
    <tableColumn name="Due Date" id="10"/>
  </tableColumns>
  <tableStyleInfo name="3D Printing-style 3" showColumnStripes="0" showFirstColumn="1" showLastColumn="1" showRowStripes="1"/>
</table>
</file>

<file path=xl/tables/table12.xml><?xml version="1.0" encoding="utf-8"?>
<table xmlns="http://schemas.openxmlformats.org/spreadsheetml/2006/main" ref="A39:J49" displayName="Other" name="Other" id="12">
  <tableColumns count="10">
    <tableColumn name="Item" id="1"/>
    <tableColumn name="Subsystem" id="2"/>
    <tableColumn name="Qty" id="3"/>
    <tableColumn name="Material" id="4"/>
    <tableColumn name="Designer" id="5"/>
    <tableColumn name="Structural/Non Structural?" id="6"/>
    <tableColumn name="Status" id="7"/>
    <tableColumn name="Printer" id="8"/>
    <tableColumn name="Date of Print" id="9"/>
    <tableColumn name="Due Date" id="10"/>
  </tableColumns>
  <tableStyleInfo name="3D Printing-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01T14:24:03.00" personId="{1271058d-3d0e-4e4e-a83c-6c806dc09eac}" id="{08053234-3d4f-4beb-a8b1-d36103f3fe41}" done="1">
    <x18tc:text xml:space="preserve">shouldnt we stick to m4 only?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5-10-16T18:20:34.00" personId="{b3933ca7-3af7-4368-96b4-c78cd0dfc224}" id="{4d452baf-53e9-422b-b993-0a86d11f4573}" done="1">
    <x18tc:text xml:space="preserve">the lid can be 0.09 thickness</x18tc:text>
  </x18tc:threadedComment>
  <x18tc:threadedComment ref="A3" dT="2025-11-01T14:09:59.00" personId="{1271058d-3d0e-4e4e-a83c-6c806dc09eac}" id="{6045ccaa-d0f8-41ac-9941-0714489630d8}" done="0">
    <x18tc:text xml:space="preserve">check ep inventory sheet b4 putting it in!</x18tc:text>
  </x18tc:threadedComment>
  <x18tc:threadedComment ref="D7" dT="2025-11-05T20:32:47.00" personId="{b3933ca7-3af7-4368-96b4-c78cd0dfc224}" id="{96f8627b-5c7c-4aa2-b8a2-2a6daa885399}" done="1">
    <x18tc:text xml:space="preserve">we rarely use the 7.9mm length, 4.1mm length is better</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1" dT="2025-12-18T02:54:23.00" personId="{33b013fc-7df8-4ab9-93d7-02f8086e2ca4}" id="{a711d5dc-2660-4753-afd8-74eaa002b957}" done="0">
    <x18tc:text xml:space="preserve">got class 10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saeonline.com/Deadlines.aspx?seriesCode=FSAE" TargetMode="External"/><Relationship Id="rId2" Type="http://schemas.openxmlformats.org/officeDocument/2006/relationships/hyperlink" Target="https://www.instagram.com/p/DRAHuMfDYBV/?img_index=1" TargetMode="External"/><Relationship Id="rId3" Type="http://schemas.openxmlformats.org/officeDocument/2006/relationships/hyperlink" Target="https://www.instagram.com/p/DRAHuMfDYBV/?img_index=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mazon.ca/DIYMAG-Powerful-Neodymium-Double-Sided-Office-60x10x3mm/dp/B07D5SH29K?source=ps-sl-shoppingads-lpcontext&amp;ref_=fplfs&amp;th=1" TargetMode="External"/><Relationship Id="rId20" Type="http://schemas.openxmlformats.org/officeDocument/2006/relationships/hyperlink" Target="https://www.compositeenvisions.com/Vacuum-Resin-Trap-Catch-Pot-Stainless-Steel-2-Quart" TargetMode="External"/><Relationship Id="rId42" Type="http://schemas.openxmlformats.org/officeDocument/2006/relationships/hyperlink" Target="https://www.aircraftspruce.ca/catalog/cspages/ceconitefabric.php?srsltid=AfmBOoqvMWyXs_zJmcCyumjPTw3XiQvx7FdH9l6VBOEujY7smdAb8LqW" TargetMode="External"/><Relationship Id="rId41" Type="http://schemas.openxmlformats.org/officeDocument/2006/relationships/hyperlink" Target="https://www.mcmaster.com/91382A530/" TargetMode="External"/><Relationship Id="rId22" Type="http://schemas.openxmlformats.org/officeDocument/2006/relationships/hyperlink" Target="https://www.compositeenvisions.com/Radius-Compression-Roller-1.5in-Diameter?quantity=1&amp;radius=2" TargetMode="External"/><Relationship Id="rId44" Type="http://schemas.openxmlformats.org/officeDocument/2006/relationships/hyperlink" Target="https://docs.google.com/spreadsheets/d/1loRnpEvRcwY8K_89g4f5wAHS1--0q0ijVATVHcMnAbw/edit?usp=share_link" TargetMode="External"/><Relationship Id="rId21" Type="http://schemas.openxmlformats.org/officeDocument/2006/relationships/hyperlink" Target="https://www.compositeenvisions.com/Fibertack-MT-1-Spray-Tack-Adhesive?quantity=1&amp;item-size=46&amp;tint=1" TargetMode="External"/><Relationship Id="rId43" Type="http://schemas.openxmlformats.org/officeDocument/2006/relationships/hyperlink" Target="https://www.compositeenvisions.com/Roll-Wrapped-Carbon-Fiber-Tube-Twill-Weave-Gloss-Finish?quantity=1&amp;length=35&amp;outside-diameter=10&amp;finish=1" TargetMode="External"/><Relationship Id="rId24" Type="http://schemas.openxmlformats.org/officeDocument/2006/relationships/hyperlink" Target="https://shop.compositescanada.com/" TargetMode="External"/><Relationship Id="rId46" Type="http://schemas.openxmlformats.org/officeDocument/2006/relationships/hyperlink" Target="https://www.mcmaster.com/catalog/131/1275/4237N102" TargetMode="External"/><Relationship Id="rId23" Type="http://schemas.openxmlformats.org/officeDocument/2006/relationships/hyperlink" Target="https://www.compositeenvisions.com/Soric-XF-Infusible-Honeycomb-Core?quantity=1&amp;thickness=1&amp;srsltid=AfmBOopsqvf84oYukx9W4KJ_cmyt3G4LzbbYzgvJH19HmhMhytYuJCyF" TargetMode="External"/><Relationship Id="rId45" Type="http://schemas.openxmlformats.org/officeDocument/2006/relationships/hyperlink" Target="https://www.mcmaster.com/catalog/131/1275/4237N102" TargetMode="External"/><Relationship Id="rId1" Type="http://schemas.openxmlformats.org/officeDocument/2006/relationships/hyperlink" Target="https://www.cbsa-asfc.gc.ca/travel-voyage/dte-acl/est-cal-eng.html" TargetMode="External"/><Relationship Id="rId2" Type="http://schemas.openxmlformats.org/officeDocument/2006/relationships/hyperlink" Target="https://drive.google.com/drive/folders/1l6BRGBbI_woR5CXfgt1Ydn-UfLeRF23x?usp=share_link" TargetMode="External"/><Relationship Id="rId3" Type="http://schemas.openxmlformats.org/officeDocument/2006/relationships/hyperlink" Target="https://compositeenvisions.com/product/carbon-fiber-pultruded-rod-1-2m/" TargetMode="External"/><Relationship Id="rId4" Type="http://schemas.openxmlformats.org/officeDocument/2006/relationships/hyperlink" Target="https://www.compositeenvisions.com/Carbon-Fiber-Pultruded-Round-Tube-1.2m?quantity=1&amp;outside-diameter=28" TargetMode="External"/><Relationship Id="rId9" Type="http://schemas.openxmlformats.org/officeDocument/2006/relationships/hyperlink" Target="https://shop.compositescanada.com/" TargetMode="External"/><Relationship Id="rId26" Type="http://schemas.openxmlformats.org/officeDocument/2006/relationships/hyperlink" Target="https://shop.compositescanada.com/" TargetMode="External"/><Relationship Id="rId48" Type="http://schemas.openxmlformats.org/officeDocument/2006/relationships/drawing" Target="../drawings/drawing3.xml"/><Relationship Id="rId25" Type="http://schemas.openxmlformats.org/officeDocument/2006/relationships/hyperlink" Target="https://shop.compositescanada.com/" TargetMode="External"/><Relationship Id="rId47" Type="http://schemas.openxmlformats.org/officeDocument/2006/relationships/hyperlink" Target="https://www.mcmaster.com/94459A813/" TargetMode="External"/><Relationship Id="rId28" Type="http://schemas.openxmlformats.org/officeDocument/2006/relationships/hyperlink" Target="https://shop.compositescanada.com/" TargetMode="External"/><Relationship Id="rId27" Type="http://schemas.openxmlformats.org/officeDocument/2006/relationships/hyperlink" Target="https://shop.compositescanada.com/" TargetMode="External"/><Relationship Id="rId5" Type="http://schemas.openxmlformats.org/officeDocument/2006/relationships/hyperlink" Target="https://www.compositeenvisions.com/Carbon-Fiber-Pultruded-Round-Tube-1.2m?quantity=1&amp;outside-diameter=28" TargetMode="External"/><Relationship Id="rId6" Type="http://schemas.openxmlformats.org/officeDocument/2006/relationships/hyperlink" Target="https://compositeenvisions.com/product/carbon-fiber-pultruded-rod-1-2m/" TargetMode="External"/><Relationship Id="rId29" Type="http://schemas.openxmlformats.org/officeDocument/2006/relationships/hyperlink" Target="https://shop.compositescanada.com/" TargetMode="External"/><Relationship Id="rId7" Type="http://schemas.openxmlformats.org/officeDocument/2006/relationships/hyperlink" Target="https://www.mcmaster.com/94459A220/" TargetMode="External"/><Relationship Id="rId8" Type="http://schemas.openxmlformats.org/officeDocument/2006/relationships/hyperlink" Target="https://www.mcmaster.com/90382A273/" TargetMode="External"/><Relationship Id="rId31" Type="http://schemas.openxmlformats.org/officeDocument/2006/relationships/hyperlink" Target="https://shop.compositescanada.com/" TargetMode="External"/><Relationship Id="rId30" Type="http://schemas.openxmlformats.org/officeDocument/2006/relationships/hyperlink" Target="https://shop.compositescanada.com/" TargetMode="External"/><Relationship Id="rId11" Type="http://schemas.openxmlformats.org/officeDocument/2006/relationships/hyperlink" Target="https://ca.store.bambulab.com/collections/filament-single-discount/products/pet-cf?variant=44029327671536" TargetMode="External"/><Relationship Id="rId33" Type="http://schemas.openxmlformats.org/officeDocument/2006/relationships/hyperlink" Target="https://www.canadiantire.ca/fr/pdp/cartouche-de-rechange-pour-respirateur-multi-usage-3m-vo-p100-1-paire-0550286p.html" TargetMode="External"/><Relationship Id="rId10" Type="http://schemas.openxmlformats.org/officeDocument/2006/relationships/hyperlink" Target="https://www.amazon.ca/Black-Epoxy-Resin-Pigment-Paste/dp/B0CVTFLDFB/ref=sr_1_8?crid=349Q8RDK2JQW7&amp;dib=eyJ2IjoiMSJ9.NeQInA27Xn7tabjeD09P3pV016moE9X704Li1njRye4WgTCtjHuxQiCUgb9ydvrNnYozdHC4X5SZwSmKD9VRZTBZ8x8nTp269b8cUADoRHtDcAPGaYTrQIk9MlwD6Ja6oqKEG1NDvwWnTF3Hmp8t5DZ_hPjIw_Lqle6TjBOu2jjvYN0QTCmNhG76ePpiiKpTUIBCeJw3igeHHUoyvtVmZT0eU_-jZYJ7cOv2IRVrD4mpf5sOQpgOS1CZgxt4unE_-7NwB90vav5a4Oi-hq27XU_BXQNohCGKXfUmn8kEYfk.Q_PcvAiZ17B_pWeg8iolAbKXzxx1kmtSIBNy0RjSHaI&amp;dib_tag=se&amp;keywords=polyurethane%2Bblack%2Bdye&amp;qid=1732131737&amp;sprefix=polyurethane%2Bblack%2Bdye%2Caps%2C110&amp;sr=8-8&amp;th=1" TargetMode="External"/><Relationship Id="rId32" Type="http://schemas.openxmlformats.org/officeDocument/2006/relationships/hyperlink" Target="http://amazon.ca/gp/product/B0CQS5RSXZ/ref=ox_sc_act_title_2?smid=A2GTW3Q30TV3OT&amp;psc=1" TargetMode="External"/><Relationship Id="rId13" Type="http://schemas.openxmlformats.org/officeDocument/2006/relationships/hyperlink" Target="https://www.metalsupermarkets.com/product/aluminum-sheet-6061/" TargetMode="External"/><Relationship Id="rId35" Type="http://schemas.openxmlformats.org/officeDocument/2006/relationships/hyperlink" Target="https://ca.store.bambulab.com/products/pla-basic-filament?id=43766892298480" TargetMode="External"/><Relationship Id="rId12" Type="http://schemas.openxmlformats.org/officeDocument/2006/relationships/hyperlink" Target="https://www.metalsupermarkets.com/product/aluminum-plate-6061/" TargetMode="External"/><Relationship Id="rId34" Type="http://schemas.openxmlformats.org/officeDocument/2006/relationships/hyperlink" Target="https://www.homedepot.ca/product/canada-tubing-clear-vinyl-tubing-1-4-inside-diameter-x-3-8-outside-diameter-x-100-ft-coil-/1001537759" TargetMode="External"/><Relationship Id="rId15" Type="http://schemas.openxmlformats.org/officeDocument/2006/relationships/hyperlink" Target="https://www.compositeenvisions.com/Carbon-Fiber-LMFG-Stabilized-Fabric-2x2-Twill-3k-6.1oz-207gsm?quantity=26&amp;width=624" TargetMode="External"/><Relationship Id="rId37" Type="http://schemas.openxmlformats.org/officeDocument/2006/relationships/hyperlink" Target="https://www.etsy.com/ca/listing/1889277883/oleic-acid-pure-112-80-1-c18h34o2-cis?ls=s&amp;ga_order=most_relevant&amp;ga_search_type=all&amp;ga_view_type=gallery&amp;ga_search_query=oleic+acid&amp;ref=sr_gallery-1-1&amp;sr_prefetch=1&amp;pf_from=market&amp;pro=1&amp;content_source=21bfdd1a-b943-48d2-bfa2-9882612e6418%253ALT927f1787e75e0ff0c364cf62dcd2ab18d7a8a88f&amp;organic_search_click=1&amp;logging_key=21bfdd1a-b943-48d2-bfa2-9882612e6418%3ALT927f1787e75e0ff0c364cf62dcd2ab18d7a8a88f" TargetMode="External"/><Relationship Id="rId14" Type="http://schemas.openxmlformats.org/officeDocument/2006/relationships/hyperlink" Target="https://shop.compositescanada.com/" TargetMode="External"/><Relationship Id="rId36" Type="http://schemas.openxmlformats.org/officeDocument/2006/relationships/hyperlink" Target="https://www.amazon.ca/Bryte-Paraffin-Lamp-Oil-Smokeless/dp/B08R6JV1Q1/ref=asc_df_B08R6JV1Q1?mcid=d8676b660d6d3449bd88b9cc9de715f5&amp;tag=googleshopc0c-20&amp;linkCode=df0&amp;hvadid=706727704281&amp;hvpos=&amp;hvnetw=g&amp;hvrand=16348616914073916468&amp;hvpone=&amp;hvptwo=&amp;hvqmt=&amp;hvdev=c&amp;hvdvcmdl=&amp;hvlocint=&amp;hvlocphy=1002190&amp;hvtargid=pla-1596667094810&amp;hvocijid=16348616914073916468-B08R6JV1Q1-&amp;hvexpln=0&amp;gad_source=1&amp;th=1" TargetMode="External"/><Relationship Id="rId17" Type="http://schemas.openxmlformats.org/officeDocument/2006/relationships/hyperlink" Target="https://www.compositeenvisions.com/H5000-01-31-Infusion-Hardener" TargetMode="External"/><Relationship Id="rId39" Type="http://schemas.openxmlformats.org/officeDocument/2006/relationships/hyperlink" Target="https://www.amazon.ca/gp/product/B0B4TZRYKB/ref=ox_sc_act_title_1?smid=A385U2A6WE6O07&amp;psc=1" TargetMode="External"/><Relationship Id="rId16" Type="http://schemas.openxmlformats.org/officeDocument/2006/relationships/hyperlink" Target="https://www.compositeenvisions.com/R3501-31-Infusion-Epoxy?quantity=1&amp;item-size=40" TargetMode="External"/><Relationship Id="rId38" Type="http://schemas.openxmlformats.org/officeDocument/2006/relationships/hyperlink" Target="https://www.amazon.ca/Fluorescein-DOSIDIAG-Intense-Tracer-Detection/dp/B0DPDT373R?source=ps-sl-shoppingads-lpcontext&amp;ref_=fplfs&amp;psc=1&amp;smid=A1XKTVF3I6UNMV" TargetMode="External"/><Relationship Id="rId19" Type="http://schemas.openxmlformats.org/officeDocument/2006/relationships/hyperlink" Target="https://www.compositeenvisions.com/Frekote-700-NC-Industrial-Mold-Release?quantity=1&amp;item-size=28" TargetMode="External"/><Relationship Id="rId18" Type="http://schemas.openxmlformats.org/officeDocument/2006/relationships/hyperlink" Target="https://www.compositeenvisions.com/Non-Porous-Teflon-Coated-Peel-Ply-with-Silicone-Adhesive-Thickness-0.18mm?quantity=1&amp;width=967"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motioncanada.ca/products/sku/00657442" TargetMode="External"/><Relationship Id="rId42" Type="http://schemas.openxmlformats.org/officeDocument/2006/relationships/hyperlink" Target="https://www.motioncanada.ca/products/sku/00662016" TargetMode="External"/><Relationship Id="rId41" Type="http://schemas.openxmlformats.org/officeDocument/2006/relationships/hyperlink" Target="https://www.motioncanada.ca/products/sku/00657434" TargetMode="External"/><Relationship Id="rId44" Type="http://schemas.openxmlformats.org/officeDocument/2006/relationships/hyperlink" Target="https://atomic-shop.eu/products/ap-racing-cp4227-2s0-brake-caliper-acalaarhx04-0-cp4226" TargetMode="External"/><Relationship Id="rId43" Type="http://schemas.openxmlformats.org/officeDocument/2006/relationships/hyperlink" Target="https://www.motioncanada.ca/products/sku/00662021" TargetMode="External"/><Relationship Id="rId46" Type="http://schemas.openxmlformats.org/officeDocument/2006/relationships/hyperlink" Target="https://www.summitracing.com/parts/sum-220306" TargetMode="External"/><Relationship Id="rId45" Type="http://schemas.openxmlformats.org/officeDocument/2006/relationships/hyperlink" Target="https://www.summitracing.com/int/parts/sum-220304?retaillocation=int" TargetMode="External"/><Relationship Id="rId1" Type="http://schemas.openxmlformats.org/officeDocument/2006/relationships/hyperlink" Target="https://www.cbsa-asfc.gc.ca/travel-voyage/dte-acl/est-cal-eng.html" TargetMode="External"/><Relationship Id="rId2" Type="http://schemas.openxmlformats.org/officeDocument/2006/relationships/hyperlink" Target="https://drive.google.com/drive/folders/1l6BRGBbI_woR5CXfgt1Ydn-UfLeRF23x?usp=share_link" TargetMode="External"/><Relationship Id="rId3" Type="http://schemas.openxmlformats.org/officeDocument/2006/relationships/hyperlink" Target="https://tmgindustrial.ca/products/tmg-industrial-10-ton-capacity-hydraulic-shop-press-long-lever-manual-operation-3-bed-height-positions-tmg-asp10" TargetMode="External"/><Relationship Id="rId4" Type="http://schemas.openxmlformats.org/officeDocument/2006/relationships/hyperlink" Target="https://www.amazon.ca/Loctite-21448-Strength-Retaining-Compound/dp/B000O01EV0/ref=sr_1_1?crid=W98N5939DA6P&amp;dib=eyJ2IjoiMSJ9.abA3xHgeKetbOAZE2MR1cIRJMuiMUUhkzEeFawId2X6aa9ZAMC7h8zFTuGGyOnAFYZhq-9avq0gpGfBRLibQs-LZSyv4fZjgl4RIhqaCnf_UKUrLxMe0LAzvM8xqh6UYXLJ75rfCUmfsUBAVfztfGie49s3OAmWJ-qbik0kX26_2ZlV4LjVl4B1peiItNHeCy2UzFT7Nj5uDew9jcfKXEZHRC-ST2dRbNEQg7w1XxY3P9bvFl9sWLbmNJffmaCKvN6WjpP_lPdpgu3t5rMAcM_LPMggEq6Eg_pSomzBprH0.zK9V3a6zSItGEdt3uIBRqf6ptyTO2U0RBm-5jv0oa0o&amp;dib_tag=se&amp;keywords=Loctite+green&amp;qid=1729819463&amp;sprefix=loctite+gree%2Caps%2C108&amp;sr=8-1" TargetMode="External"/><Relationship Id="rId9" Type="http://schemas.openxmlformats.org/officeDocument/2006/relationships/hyperlink" Target="https://www.mcmaster.com/63215K52/" TargetMode="External"/><Relationship Id="rId48" Type="http://schemas.openxmlformats.org/officeDocument/2006/relationships/hyperlink" Target="https://www.mcmaster.com/products/grommets/grommets-1~~/id~3-16/for-material-thickness~1-16/hole-diameter~5-16/flange-diameter~1-2/" TargetMode="External"/><Relationship Id="rId47" Type="http://schemas.openxmlformats.org/officeDocument/2006/relationships/hyperlink" Target="https://atomic-shop.eu/products/ap-racing-cp4226d27-rx-pad-pair-2-7-00t" TargetMode="External"/><Relationship Id="rId49" Type="http://schemas.openxmlformats.org/officeDocument/2006/relationships/hyperlink" Target="https://www.digikey.ca/en/products/detail/adam-tech/SW-T3-1A-A-A3-S1/15284460" TargetMode="External"/><Relationship Id="rId5" Type="http://schemas.openxmlformats.org/officeDocument/2006/relationships/hyperlink" Target="https://www.metalsupermarkets.com/product/alloy-steel-round-bar-4140/" TargetMode="External"/><Relationship Id="rId6" Type="http://schemas.openxmlformats.org/officeDocument/2006/relationships/hyperlink" Target="https://www.metalsupermarkets.com/product/alloy-steel-round-bar-4140/" TargetMode="External"/><Relationship Id="rId7" Type="http://schemas.openxmlformats.org/officeDocument/2006/relationships/hyperlink" Target="https://www.metalsupermarkets.com/product/alloy-steel-round-bar-4140/" TargetMode="External"/><Relationship Id="rId8" Type="http://schemas.openxmlformats.org/officeDocument/2006/relationships/hyperlink" Target="https://www.mcmaster.com/2938T2/" TargetMode="External"/><Relationship Id="rId31" Type="http://schemas.openxmlformats.org/officeDocument/2006/relationships/hyperlink" Target="https://www.mcmaster.com/products/loctite/" TargetMode="External"/><Relationship Id="rId30" Type="http://schemas.openxmlformats.org/officeDocument/2006/relationships/hyperlink" Target="https://www.mcmaster.com/97447A050/" TargetMode="External"/><Relationship Id="rId33" Type="http://schemas.openxmlformats.org/officeDocument/2006/relationships/hyperlink" Target="https://www.metalsupermarkets.com/product/alloy-steel-sheet-4130/" TargetMode="External"/><Relationship Id="rId32" Type="http://schemas.openxmlformats.org/officeDocument/2006/relationships/hyperlink" Target="https://www.metalsupermarkets.com/product/alloy-steel-sheet-4130/" TargetMode="External"/><Relationship Id="rId35" Type="http://schemas.openxmlformats.org/officeDocument/2006/relationships/hyperlink" Target="https://www.mcmaster.com/catalog/131/3541/91273A587" TargetMode="External"/><Relationship Id="rId34" Type="http://schemas.openxmlformats.org/officeDocument/2006/relationships/hyperlink" Target="https://www.homedepot.ca/product/paulin--8-15-x-1-1-4-in-pan-head-square-drive-self-tapping-sheet-metal-screws-zinc-plated-100pcs/1000139772" TargetMode="External"/><Relationship Id="rId70" Type="http://schemas.openxmlformats.org/officeDocument/2006/relationships/drawing" Target="../drawings/drawing4.xml"/><Relationship Id="rId37" Type="http://schemas.openxmlformats.org/officeDocument/2006/relationships/hyperlink" Target="https://www.mcmaster.com/90630A145/" TargetMode="External"/><Relationship Id="rId36" Type="http://schemas.openxmlformats.org/officeDocument/2006/relationships/hyperlink" Target="https://www.mcmaster.com/90630A145/" TargetMode="External"/><Relationship Id="rId39" Type="http://schemas.openxmlformats.org/officeDocument/2006/relationships/hyperlink" Target="https://www.mcmaster.com/5287T81-5287T672/" TargetMode="External"/><Relationship Id="rId38" Type="http://schemas.openxmlformats.org/officeDocument/2006/relationships/hyperlink" Target="https://www.mcmaster.com/91251A548/" TargetMode="External"/><Relationship Id="rId62" Type="http://schemas.openxmlformats.org/officeDocument/2006/relationships/hyperlink" Target="https://www.metalsupermarkets.com/product/aluminum-plate-6061/" TargetMode="External"/><Relationship Id="rId61" Type="http://schemas.openxmlformats.org/officeDocument/2006/relationships/hyperlink" Target="https://www.pegasusautoracing.com/productselection.asp?Product=2400-02" TargetMode="External"/><Relationship Id="rId20" Type="http://schemas.openxmlformats.org/officeDocument/2006/relationships/hyperlink" Target="https://www.mcmaster.com/47065T845/" TargetMode="External"/><Relationship Id="rId64" Type="http://schemas.openxmlformats.org/officeDocument/2006/relationships/hyperlink" Target="https://www.metalsupermarkets.com/product/aluminum-plate-6061/" TargetMode="External"/><Relationship Id="rId63" Type="http://schemas.openxmlformats.org/officeDocument/2006/relationships/hyperlink" Target="https://www.metalsupermarkets.com/product/aluminum-plate-6061/" TargetMode="External"/><Relationship Id="rId22" Type="http://schemas.openxmlformats.org/officeDocument/2006/relationships/hyperlink" Target="https://www.mcmaster.com/5278N11/" TargetMode="External"/><Relationship Id="rId66" Type="http://schemas.openxmlformats.org/officeDocument/2006/relationships/hyperlink" Target="https://www.metalsupermarkets.com/product/mild-steel-round-bar-cold-rolled-1045/" TargetMode="External"/><Relationship Id="rId21" Type="http://schemas.openxmlformats.org/officeDocument/2006/relationships/hyperlink" Target="https://www.mcmaster.com/47065T962/" TargetMode="External"/><Relationship Id="rId65" Type="http://schemas.openxmlformats.org/officeDocument/2006/relationships/hyperlink" Target="https://www.metalsupermarkets.com/product/aluminum-plate-6061/" TargetMode="External"/><Relationship Id="rId24" Type="http://schemas.openxmlformats.org/officeDocument/2006/relationships/hyperlink" Target="https://www.mcmaster.com/95462A030/" TargetMode="External"/><Relationship Id="rId68" Type="http://schemas.openxmlformats.org/officeDocument/2006/relationships/hyperlink" Target="https://www.skf.com/ca/en/products/rolling-bearings/ball-bearings/deep-groove-ball-bearings/productid-61911-2RS1" TargetMode="External"/><Relationship Id="rId23" Type="http://schemas.openxmlformats.org/officeDocument/2006/relationships/hyperlink" Target="https://www.mcmaster.com/92979A157/" TargetMode="External"/><Relationship Id="rId67" Type="http://schemas.openxmlformats.org/officeDocument/2006/relationships/hyperlink" Target="https://www.skf.com/ca/en/products/rolling-bearings/ball-bearings/deep-groove-ball-bearings/productid-61810-2RS1" TargetMode="External"/><Relationship Id="rId60" Type="http://schemas.openxmlformats.org/officeDocument/2006/relationships/hyperlink" Target="https://www.mcmaster.com/98380A545/" TargetMode="External"/><Relationship Id="rId26" Type="http://schemas.openxmlformats.org/officeDocument/2006/relationships/hyperlink" Target="https://www.metalsupermarkets.com/product/aluminum-sheet-6061/" TargetMode="External"/><Relationship Id="rId25" Type="http://schemas.openxmlformats.org/officeDocument/2006/relationships/hyperlink" Target="https://ca.store.bambulab.com/products/petg-hf" TargetMode="External"/><Relationship Id="rId69" Type="http://schemas.openxmlformats.org/officeDocument/2006/relationships/hyperlink" Target="https://www.skf.com/ca/en/products/rolling-bearings/ball-bearings/deep-groove-ball-bearings/productid-61908-2RS1" TargetMode="External"/><Relationship Id="rId28" Type="http://schemas.openxmlformats.org/officeDocument/2006/relationships/hyperlink" Target="https://www.metalsupermarkets.com/product/aluminum-sheet-6061/" TargetMode="External"/><Relationship Id="rId27" Type="http://schemas.openxmlformats.org/officeDocument/2006/relationships/hyperlink" Target="https://www.metalsupermarkets.com/product/aluminum-sheet-6061/" TargetMode="External"/><Relationship Id="rId29" Type="http://schemas.openxmlformats.org/officeDocument/2006/relationships/hyperlink" Target="https://www.metalsupermarkets.com/product/aluminum-sheet-6061/" TargetMode="External"/><Relationship Id="rId51" Type="http://schemas.openxmlformats.org/officeDocument/2006/relationships/hyperlink" Target="https://www.mcmaster.com/catalog/131/3731/94669A175" TargetMode="External"/><Relationship Id="rId50" Type="http://schemas.openxmlformats.org/officeDocument/2006/relationships/hyperlink" Target="https://www.mcmaster.com/products/torsion-springs/" TargetMode="External"/><Relationship Id="rId53" Type="http://schemas.openxmlformats.org/officeDocument/2006/relationships/hyperlink" Target="https://www.mcmaster.com/91259A106/" TargetMode="External"/><Relationship Id="rId52" Type="http://schemas.openxmlformats.org/officeDocument/2006/relationships/hyperlink" Target="https://www.mcmaster.com/products/1677k316/" TargetMode="External"/><Relationship Id="rId11" Type="http://schemas.openxmlformats.org/officeDocument/2006/relationships/hyperlink" Target="https://www.mcmaster.com/4237n102/" TargetMode="External"/><Relationship Id="rId55" Type="http://schemas.openxmlformats.org/officeDocument/2006/relationships/hyperlink" Target="https://www.mcmaster.com/products/9271k113/" TargetMode="External"/><Relationship Id="rId10" Type="http://schemas.openxmlformats.org/officeDocument/2006/relationships/hyperlink" Target="https://www.mcmaster.com/94640A881/" TargetMode="External"/><Relationship Id="rId54" Type="http://schemas.openxmlformats.org/officeDocument/2006/relationships/hyperlink" Target="https://www.mcmaster.com/products/1677k1/" TargetMode="External"/><Relationship Id="rId13" Type="http://schemas.openxmlformats.org/officeDocument/2006/relationships/hyperlink" Target="https://www.mcmaster.com/94640A882/" TargetMode="External"/><Relationship Id="rId57" Type="http://schemas.openxmlformats.org/officeDocument/2006/relationships/hyperlink" Target="https://www.mcmaster.com/90145A494/" TargetMode="External"/><Relationship Id="rId12" Type="http://schemas.openxmlformats.org/officeDocument/2006/relationships/hyperlink" Target="https://www.mcmaster.com/2938T1/" TargetMode="External"/><Relationship Id="rId56" Type="http://schemas.openxmlformats.org/officeDocument/2006/relationships/hyperlink" Target="https://www.mcmaster.com/products/9271k114/" TargetMode="External"/><Relationship Id="rId15" Type="http://schemas.openxmlformats.org/officeDocument/2006/relationships/hyperlink" Target="https://www.mcmaster.com/57155K387/" TargetMode="External"/><Relationship Id="rId59" Type="http://schemas.openxmlformats.org/officeDocument/2006/relationships/hyperlink" Target="https://www.mcmaster.com/98381A430/" TargetMode="External"/><Relationship Id="rId14" Type="http://schemas.openxmlformats.org/officeDocument/2006/relationships/hyperlink" Target="https://www.mcmaster.com/4237n102/" TargetMode="External"/><Relationship Id="rId58" Type="http://schemas.openxmlformats.org/officeDocument/2006/relationships/hyperlink" Target="https://www.mcmaster.com/catalog/131/3740/93330A651" TargetMode="External"/><Relationship Id="rId17" Type="http://schemas.openxmlformats.org/officeDocument/2006/relationships/hyperlink" Target="https://www.mcmaster.com/47065T102-47065T157/" TargetMode="External"/><Relationship Id="rId16" Type="http://schemas.openxmlformats.org/officeDocument/2006/relationships/hyperlink" Target="https://www.mcmaster.com/47065T102-47065T148/" TargetMode="External"/><Relationship Id="rId19" Type="http://schemas.openxmlformats.org/officeDocument/2006/relationships/hyperlink" Target="https://www.mcmaster.com/47065T102-47065T601/" TargetMode="External"/><Relationship Id="rId18" Type="http://schemas.openxmlformats.org/officeDocument/2006/relationships/hyperlink" Target="https://www.mcmaster.com/3136N161/"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mcmaster.com/85345K652/" TargetMode="External"/><Relationship Id="rId84" Type="http://schemas.openxmlformats.org/officeDocument/2006/relationships/hyperlink" Target="https://www.canadarobotix.com/products/2740" TargetMode="External"/><Relationship Id="rId83" Type="http://schemas.openxmlformats.org/officeDocument/2006/relationships/hyperlink" Target="https://canada.newark.com/microchip/mcp2551-e-sn/can-transceiver-1mbps-1-1-5-5v/dp/92C4186" TargetMode="External"/><Relationship Id="rId42" Type="http://schemas.openxmlformats.org/officeDocument/2006/relationships/hyperlink" Target="https://www.digikey.ca/en/products/detail/molex/0430452227/3310311?s=N4IgTCBcDaICwGYAMcCsYMHYQF0C%2BQA" TargetMode="External"/><Relationship Id="rId86" Type="http://schemas.openxmlformats.org/officeDocument/2006/relationships/hyperlink" Target="https://www.digikey.ca/en/products/detail/molex/0039012200/278162" TargetMode="External"/><Relationship Id="rId41" Type="http://schemas.openxmlformats.org/officeDocument/2006/relationships/hyperlink" Target="https://www.mcmaster.com/85345K632/" TargetMode="External"/><Relationship Id="rId85" Type="http://schemas.openxmlformats.org/officeDocument/2006/relationships/hyperlink" Target="https://www.digikey.ca/en/products/detail/molex/0039301200/561086?s=N4IgTCBcDaIAxwMwE5FwIxgSAugXyA" TargetMode="External"/><Relationship Id="rId44" Type="http://schemas.openxmlformats.org/officeDocument/2006/relationships/hyperlink" Target="https://www.digikey.ca/en/products/detail/molex/0430251208/3310168?s=N4IgTCBcDaICwGYAMYCsBGMSAcIC6AvkA" TargetMode="External"/><Relationship Id="rId88" Type="http://schemas.openxmlformats.org/officeDocument/2006/relationships/hyperlink" Target="https://www.digikey.ca/en/products/detail/sullins-connector-solutions/PPPC241LFBN-RC/810196" TargetMode="External"/><Relationship Id="rId43" Type="http://schemas.openxmlformats.org/officeDocument/2006/relationships/hyperlink" Target="https://www.digikey.ca/en/products/detail/molex/0430451226/3310224?s=N4IgTCBcDaICwGYAMcCsBGMYBsIC6AvkA" TargetMode="External"/><Relationship Id="rId87" Type="http://schemas.openxmlformats.org/officeDocument/2006/relationships/hyperlink" Target="https://www.digikey.ca/en/products/detail/diodes-incorporated/BZT52C3V3-7-F/717734" TargetMode="External"/><Relationship Id="rId46" Type="http://schemas.openxmlformats.org/officeDocument/2006/relationships/hyperlink" Target="https://www.digikey.ca/en/products/detail/molex/0011030043/252489?s=N4IgTCBcDaIAxwIyLgZgQFlSAugXyA" TargetMode="External"/><Relationship Id="rId45" Type="http://schemas.openxmlformats.org/officeDocument/2006/relationships/hyperlink" Target="https://www.digikey.ca/en/products/detail/molex/0430252208/4693201?s=N4IgTCBcDaICwGYAMYCsYxIBwgLoF8g" TargetMode="External"/><Relationship Id="rId89" Type="http://schemas.openxmlformats.org/officeDocument/2006/relationships/drawing" Target="../drawings/drawing5.xml"/><Relationship Id="rId80" Type="http://schemas.openxmlformats.org/officeDocument/2006/relationships/hyperlink" Target="https://www.amazon.ca/Electrical-Waterproof-Adhesive-Retardant-0-6Inch/dp/B0B7DX2Z7J/ref=sr_1_2_sspa?crid=3C2GS7UX6XQ6Y&amp;dib=eyJ2IjoiMSJ9.19mqmfnLUedaQ6p_pOCyY8mGpMBXveAvct0rqszrSgfoac9spXsNt_8hdBhWpenlFlNvuNitnnjIZf_oEkmJyDGjwr9XZxsdC3o9BUq-nkV7N8c1sewOXAyJu-9aQLpf0YwfHOpWNoIaE-cN7TrMXaGwB1DQlUhc87N-UI4zKQdCWCKHS06NjhkBv-7lXt5-uTn60tNT6fTzuo8nlxsOoZ9_Atg3rBlOILhBF9H8JZNsjG6BxOr8hxzxwONtXqGUNNBPkFvy_00XYtjvPGV69aPHSvXjtftsa6i443Irwbc.7d0ID7Vg55WrlaNPa-OgamakNz9YMnASVJep6pj3OUg&amp;dib_tag=se&amp;keywords=electrical%2Btape%2C%2B6pcs%2Bblack%2Bwaterproof&amp;qid=1769471150&amp;sprefix=electrical%2Btape%2C%2B6pcs%2Bblack%2Bwaterproof%2Caps%2C100&amp;sr=8-2-spons&amp;sp_csd=d2lkZ2V0TmFtZT1zcF9hdGY&amp;th=1" TargetMode="External"/><Relationship Id="rId82" Type="http://schemas.openxmlformats.org/officeDocument/2006/relationships/hyperlink" Target="https://www.amazon.ca/Adjustable-Organizer-Multi-purpose-Management-Organizing/dp/B08V8NK5TN/ref=sr_1_5?crid=2IG69TG25GNTX&amp;dib=eyJ2IjoiMSJ9.QCb5rfdrbq8zWbFEZnzTKs3GdjL19acT2KVhI2LXs2H3dPa_hqw2vcWXCr0BA3OCJdGWdc2eRxPMM9F8n7bLn8A3s1KPWRSuSQ1_WMkCocObw6vC8PtUoNwK4pUk5dq77qiSVZJIdodMbrlR5w9f0Yq9AQ9fHL0E9IXO4jFRrXxUbbx9XFwwsN65a1T5eTRYZKO57WN0emJ4GL7i7NpuX2Ocq2qG-7BPdEjtSZzUZ6Qob0E3tUrWZ7PKd7EIsv4YgEaxzNbovGONp493DLI0nKTBKz1h9VqGb4M6CQ8z-hw.MUMIbALzLRX5ZBEImGVT6G3LykFpjGnXuDHh9HQJkZ0&amp;dib_tag=se&amp;keywords=oneleaf%2B80pcs%2Breusable%2Bcable%2Bties&amp;qid=1769470680&amp;sprefix=one%2Bleaf%2B80%2Bpcs%2Breusabl%2Caps%2C85&amp;sr=8-5&amp;th=1" TargetMode="External"/><Relationship Id="rId81" Type="http://schemas.openxmlformats.org/officeDocument/2006/relationships/hyperlink" Target="https://www.amazon.ca/Zip-Tie-Mounts-Adhesive-backed-anchors-Management/dp/B08Y6Q1H2Y/ref=sr_1_6?crid=1GDKDG80V6DVA&amp;dib=eyJ2IjoiMSJ9.mE6O-POIy6OsGGhLfGnJS6SlMqgWXXrpxFqK2Fge9Pm8Dbp_MiMR_OenwAwoqlNOP4sT842DRdmVtsF1avBNKXpUfK_AwQ6twbyIxwsYFj5RKz_QAqoYmEePuWQpafSbaSXdzcSb6eIKNP_EZda4cG0-14mbUqpaYJ-RoACmj_e4v3_pv9Hm0b659wFRkXTZvvKDgaSagpH1eQvCGW2IEGhZCaMxp4Za45FHl1riEf9Q92Nz-xPItNPG2Dy0TkbZd2h0ca8uVSb2ccBj2BcMvLxWa2XNim4NzGFN6qAqOpU.Tvp7LIno8IAmv5r8VJLwVq7BTaBY9gnffzGNaHRhNvc&amp;dib_tag=se&amp;keywords=zip%2Btie%2Bmounts%2B-%2Bsmall%2Bcable%2Btie%2Badhesive%2Bmounts&amp;qid=1769471006&amp;sprefix=zip%2Btie%2Bmounts%2B-%2Bsmall%2Bcable%2Btie%2Badhesive%2Bmount%2Caps%2C119&amp;sr=8-6&amp;th=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cbsa-asfc.gc.ca/travel-voyage/dte-acl/est-cal-eng.html" TargetMode="External"/><Relationship Id="rId9" Type="http://schemas.openxmlformats.org/officeDocument/2006/relationships/hyperlink" Target="https://www.mcmaster.com/94180A351/" TargetMode="External"/><Relationship Id="rId48" Type="http://schemas.openxmlformats.org/officeDocument/2006/relationships/hyperlink" Target="https://www.digikey.ca/en/products/detail/semitec-usa-corp/103jt-050/16579006?_gl=1*7oqwze*_up*MQ..*_gs*MQ..&amp;gclid=CjwKCAiAwqHIBhAEEiwAx9cTee-pfJgNrbfgKEWeLlwkCv02Xf_RdIpl7QLbkO8qpiO-2okg8RosuhoC2-EQAvD_BwE&amp;gclsrc=aw.ds&amp;gbraid=0AAAAADrbLlgra9cGyKmpyfBAwMAHTt6rL" TargetMode="External"/><Relationship Id="rId47" Type="http://schemas.openxmlformats.org/officeDocument/2006/relationships/hyperlink" Target="https://www.pcbway.com/orderonline.aspx" TargetMode="External"/><Relationship Id="rId49" Type="http://schemas.openxmlformats.org/officeDocument/2006/relationships/hyperlink" Target="https://www.accuglassproducts.com/wire-and-cable/kapton-insulated/stranded-wires/32-awg" TargetMode="External"/><Relationship Id="rId5" Type="http://schemas.openxmlformats.org/officeDocument/2006/relationships/hyperlink" Target="https://docs.google.com/spreadsheets/d/1rnCuMijltmZ4vAkiIeHtw_E9tdPb6jtNLwbAzl_-mGU/edit?gid=1238974966" TargetMode="External"/><Relationship Id="rId6" Type="http://schemas.openxmlformats.org/officeDocument/2006/relationships/hyperlink" Target="https://drive.google.com/drive/folders/1l6BRGBbI_woR5CXfgt1Ydn-UfLeRF23x?usp=share_link" TargetMode="External"/><Relationship Id="rId7" Type="http://schemas.openxmlformats.org/officeDocument/2006/relationships/hyperlink" Target="https://www.mcmaster.com/99477A136/" TargetMode="External"/><Relationship Id="rId8" Type="http://schemas.openxmlformats.org/officeDocument/2006/relationships/hyperlink" Target="https://www.mcmaster.com/93640A143-93640A126/" TargetMode="External"/><Relationship Id="rId73" Type="http://schemas.openxmlformats.org/officeDocument/2006/relationships/hyperlink" Target="https://www.prowireusa.com/sumitomo-w5dl-3-1.html" TargetMode="External"/><Relationship Id="rId72" Type="http://schemas.openxmlformats.org/officeDocument/2006/relationships/hyperlink" Target="https://www.amazon.ca/BULVACK-LM2596-Converter-Module-1-25V-30V/dp/B07VVXF7YX/ref=sr_1_8?crid=3TRZK72SYTVMQ&amp;dib=eyJ2IjoiMSJ9.eZNYeiFBzdJ20gbJGxTZORNp19GV7oumDSWTWXpDDYKPO2t_VHDEluGMy1TzwjZrwngfbunI4tl6LOARKLE2_aOJRE1S8K4TLL-GOELX1qN9u5-Lji8pKqMzUf1kDKQ5mafcuR6_ZyCva5yFwj9LO0HyI4dESpcMnWQr3ImU7-d4u0f4DJS9wyH6HrgCzbgE7_xUniG0xzRZC_zRX0VO_N1v9sGmrAAyDwm4GXAZ34_tbBMBHqKHBZOmrIvev-CvH3Odn-TElRCJWHnXzxU7LseJYXB_yDfYkv8rQYORk0Q.tZztPn04-G3gKqDGMm3eMQoEtI99VumC6KMqJKe8040&amp;dib_tag=se&amp;keywords=buck%2Bconverter%2B12v%2Bto%2B5v&amp;qid=1768344153&amp;sprefix=buck%2Bconverter%2B12v%2Bto%2Caps%2C135&amp;sr=8-8&amp;th=1" TargetMode="External"/><Relationship Id="rId31" Type="http://schemas.openxmlformats.org/officeDocument/2006/relationships/hyperlink" Target="https://www.powertraincables.com/product/fhlr2gcb2g-200-s-25mm2/" TargetMode="External"/><Relationship Id="rId75" Type="http://schemas.openxmlformats.org/officeDocument/2006/relationships/hyperlink" Target="https://rbracing-rsr.com/downloads/wiring_pdfs/W3B2_Shrink_Tubing.pdf" TargetMode="External"/><Relationship Id="rId30" Type="http://schemas.openxmlformats.org/officeDocument/2006/relationships/hyperlink" Target="https://materials-direct.com/product/dupont-kapton-100hn-a1-0-0504mm/" TargetMode="External"/><Relationship Id="rId74" Type="http://schemas.openxmlformats.org/officeDocument/2006/relationships/hyperlink" Target="https://www.prowireusa.com/PRO-IDENT-KIT" TargetMode="External"/><Relationship Id="rId33" Type="http://schemas.openxmlformats.org/officeDocument/2006/relationships/hyperlink" Target="https://www.mcmaster.com/7648A734/" TargetMode="External"/><Relationship Id="rId77" Type="http://schemas.openxmlformats.org/officeDocument/2006/relationships/hyperlink" Target="https://www.digikey.ca/en/products/filter/terminals/wire-splice-connectors/305?s=N4IgjCBcoEwJwA4qgMZQGYEMA2BnApgDQgD2UA2iAMwCsCA7AyALrEAOALlCAMocBOASwB2AcxABfYgFoI0EGkhY8RUhRAwqLKSGkAWZAow4CxMpEpV6ABhoxtOmobZQw7F5Bg0JEoA" TargetMode="External"/><Relationship Id="rId32" Type="http://schemas.openxmlformats.org/officeDocument/2006/relationships/hyperlink" Target="https://materials-direct.com/product/dupont-nomex-410-a1-0-18mm/" TargetMode="External"/><Relationship Id="rId76" Type="http://schemas.openxmlformats.org/officeDocument/2006/relationships/hyperlink" Target="https://www.te.com/en/products/heat-shrink-tubing/specialty-heat-shrinkable-tubing/hft5000-tubing.html?tab=pgp-story" TargetMode="External"/><Relationship Id="rId35" Type="http://schemas.openxmlformats.org/officeDocument/2006/relationships/hyperlink" Target="https://www.mouser.ca/ProductDetail/Panduit/A4-14R-C?qs=d0WKAl%252BL4KbzWfMI1w9Wzw%3D%3D" TargetMode="External"/><Relationship Id="rId79" Type="http://schemas.openxmlformats.org/officeDocument/2006/relationships/hyperlink" Target="https://www.amazon.ca/Electrical-Waterproof-Adhesive-Retardant-0-6Inch/dp/B0BPBTN6LX/ref=sr_1_2_sspa?crid=3C2GS7UX6XQ6Y&amp;dib=eyJ2IjoiMSJ9.19mqmfnLUedaQ6p_pOCyY8mGpMBXveAvct0rqszrSgfoac9spXsNt_8hdBhWpenlFlNvuNitnnjIZf_oEkmJyDGjwr9XZxsdC3o9BUq-nkV7N8c1sewOXAyJu-9aQLpf0YwfHOpWNoIaE-cN7TrMXaGwB1DQlUhc87N-UI4zKQdCWCKHS06NjhkBv-7lXt5-uTn60tNT6fTzuo8nlxsOoZ9_Atg3rBlOILhBF9H8JZNsjG6BxOr8hxzxwONtXqGUNNBPkFvy_00XYtjvPGV69aPHSvXjtftsa6i443Irwbc.7d0ID7Vg55WrlaNPa-OgamakNz9YMnASVJep6pj3OUg&amp;dib_tag=se&amp;keywords=electrical%2Btape%2C%2B6pcs%2Bblack%2Bwaterproof&amp;qid=1769471150&amp;sprefix=electrical%2Btape%2C%2B6pcs%2Bblack%2Bwaterproof%2Caps%2C100&amp;sr=8-2-spons&amp;sp_csd=d2lkZ2V0TmFtZT1zcF9hdGY&amp;th=1" TargetMode="External"/><Relationship Id="rId34" Type="http://schemas.openxmlformats.org/officeDocument/2006/relationships/hyperlink" Target="https://www.materialsampleshop.com/products/hydrophobic-acoustic-mesh" TargetMode="External"/><Relationship Id="rId78" Type="http://schemas.openxmlformats.org/officeDocument/2006/relationships/hyperlink" Target="https://www.amazon.ca/Assorted-Resistant-Assortment-Management-Gardening/dp/B0C4B9B5S4/ref=sr_1_1_sspa?crid=3S9DI0DJOPDWD&amp;dib=eyJ2IjoiMSJ9.KHXCzj8Vd7Erky6nvlpM_2ojto3ZwotoMDhRzL7HiNd85q0ZLcGVCYk2M7wWyN1f-pHpRkzhbVyShynY6IVGERYNgAJyJkB3_FvWRKywUeoYKRryznxKUE7zclrMvlDBg9buIelhXta8lJEzn_A6n9tL98141S44foqscSmBJPhMtzgYwJuo15jGuQ2mPOQRYPqF8wPWX4PgnPj1lP3f1X7b0Etiksw7PwAqpQA6tJXRN2gxHtQPfROubz_OtI76kR--i7FzF6rnenhUs6uC1e1gwIeJLPNo1Qxo02UorT4.uSYxEU-hQm0ZiU4cAvKzQZ8vxpN4qqEKeXFPSBfcEQE&amp;dib_tag=se&amp;keywords=zip%2Bties%2Bassorted%2Bsizes%2B1000%2Bpack&amp;qid=1769471341&amp;sprefix=zip%2Bties%2Bassorted%2Bsizes%2B1000%2Bpack%2Caps%2C95&amp;sr=8-1-spons&amp;sp_csd=d2lkZ2V0TmFtZT1zcF9hdGY&amp;th=1" TargetMode="External"/><Relationship Id="rId71" Type="http://schemas.openxmlformats.org/officeDocument/2006/relationships/hyperlink" Target="https://www.amazon.ca/XINGYHENG-High-Power-Converter-Adjustable-Protection/dp/B0978Y8FTM/ref=pd_ci_mcx_mh_mcx_views_0_title?pd_rd_w=q1jqe&amp;content-id=amzn1.sym.2419cdd9-4822-439a-9284-599ac1726c07%3Aamzn1.symc.c3d5766d-b606-46b8-ab07-1d9d1da0638a&amp;pf_rd_p=2419cdd9-4822-439a-9284-599ac1726c07&amp;pf_rd_r=J0Q5THQTY5K7RE3VRG84&amp;pd_rd_wg=K8UPc&amp;pd_rd_r=f38de8cc-d1a3-4aa5-af54-d0f38aaf264c&amp;pd_rd_i=B0978Y8FTM" TargetMode="External"/><Relationship Id="rId70" Type="http://schemas.openxmlformats.org/officeDocument/2006/relationships/hyperlink" Target="https://www.digikey.ca/en/products/detail/molex/0039288100/930300?s=N4IgTCBcDaIMwE4C0YAcTUEYAM2QF0BfIA" TargetMode="External"/><Relationship Id="rId37" Type="http://schemas.openxmlformats.org/officeDocument/2006/relationships/hyperlink" Target="https://www.digikey.ca/en/products/detail/littelfuse-inc/0440-500WR/2520404" TargetMode="External"/><Relationship Id="rId36" Type="http://schemas.openxmlformats.org/officeDocument/2006/relationships/hyperlink" Target="https://www.amazon.ca/Creality-PETG-No-Tangling-Performance-Dimensional/dp/B0B2J25NM3/ref=sr_1_11?crid=3ME8SOMOXIG73&amp;dib=eyJ2IjoiMSJ9.vjefA8SLGHU0TdfJqkR3sE5a_b1PKEy4pk-bIfL3iKRArAJ3k7LzJTeVey7ufmCAIE-PzZiPljYI7aLItKF06TxvMbjMFBueyftVi6f2AZYVhc3vgLM3GnkAAZFyyC9-7_KINAzi0WokmOWDhw9gi5s5K_UGtyqSZ4m1PgmfXJ3xPn9gZwk9jmz8rpzybOB-TU9UUkF20tiKKrgRiyzRx9Gb_LdKPAMG_MVjCApB2Z0zDUSTtSp9_F5XnxhLvb3Gg_Z7-5MT2nP4PVCPhgnipbGTSj0lYRx7muxvQP8JJs0.NF6xrckLcyE6zj_2NrHO_6bkkWHmmMoE6_vT9ggTeoE&amp;dib_tag=se&amp;keywords=creality%2Bpetg&amp;qid=1762113230&amp;s=industrial&amp;sprefix=creality%2Bpetg%2Cindustrial%2C114&amp;sr=1-11&amp;th=1" TargetMode="External"/><Relationship Id="rId39" Type="http://schemas.openxmlformats.org/officeDocument/2006/relationships/hyperlink" Target="https://www.amazon.ca/dp/B09DKP4TLW?ref=cm_sw_r_apan_dp_HSJ81K3BD0SKAZ14MMKJ&amp;ref_=cm_sw_r_apan_dp_HSJ81K3BD0SKAZ14MMKJ&amp;social_share=cm_sw_r_apan_dp_HSJ81K3BD0SKAZ14MMKJ&amp;starsLeft=1&amp;skipTwisterOG=1&amp;th=1" TargetMode="External"/><Relationship Id="rId38" Type="http://schemas.openxmlformats.org/officeDocument/2006/relationships/hyperlink" Target="https://www.digikey.ca/en/products/detail/littelfuse-inc/0440-375WR/2520391" TargetMode="External"/><Relationship Id="rId62" Type="http://schemas.openxmlformats.org/officeDocument/2006/relationships/hyperlink" Target="https://www.digikey.ca/en/products/detail/te-connectivity-deutsch-ict-connectors/DTM04-12PB-L012/7220052" TargetMode="External"/><Relationship Id="rId61" Type="http://schemas.openxmlformats.org/officeDocument/2006/relationships/hyperlink" Target="https://www.digikey.ca/en/products/detail/te-connectivity-deutsch-ict-connectors/1062-16-0622/6566725" TargetMode="External"/><Relationship Id="rId20" Type="http://schemas.openxmlformats.org/officeDocument/2006/relationships/hyperlink" Target="https://www.mcmaster.com/95735A425/" TargetMode="External"/><Relationship Id="rId64" Type="http://schemas.openxmlformats.org/officeDocument/2006/relationships/hyperlink" Target="https://www.digikey.ca/en/products/detail/te-connectivity-deutsch-ict-connectors/DTM06-12SB/6566631" TargetMode="External"/><Relationship Id="rId63" Type="http://schemas.openxmlformats.org/officeDocument/2006/relationships/hyperlink" Target="https://www.digikey.ca/en/products/detail/te-connectivity-deutsch-ict-connectors/DTM06-12SA/6566630" TargetMode="External"/><Relationship Id="rId22" Type="http://schemas.openxmlformats.org/officeDocument/2006/relationships/hyperlink" Target="https://gridrewired.com/products/kcap-ultracapacitor-module?pr_prod_strat=jac&amp;pr_rec_id=09dc970be&amp;pr_rec_pid=6226590728391&amp;pr_ref_pid=6224207904967&amp;pr_seq=uniform" TargetMode="External"/><Relationship Id="rId66" Type="http://schemas.openxmlformats.org/officeDocument/2006/relationships/hyperlink" Target="https://www.digikey.ca/en/products/detail/te-connectivity-deutsch-ict-connectors/DTM04-3P/6566644" TargetMode="External"/><Relationship Id="rId21" Type="http://schemas.openxmlformats.org/officeDocument/2006/relationships/hyperlink" Target="https://gridrewired.com/products/kweld-spot-welder-kit" TargetMode="External"/><Relationship Id="rId65" Type="http://schemas.openxmlformats.org/officeDocument/2006/relationships/hyperlink" Target="https://www.digikey.ca/en/products/detail/te-connectivity-deutsch-ict-connectors/DTM06-3S/6566634" TargetMode="External"/><Relationship Id="rId24" Type="http://schemas.openxmlformats.org/officeDocument/2006/relationships/hyperlink" Target="https://www.mouser.ca/ProductDetail/Amphenol-Technical-Products/RL00571-25?qs=HwcZ7FPCDholjztjy82bZg%3D%3D" TargetMode="External"/><Relationship Id="rId68" Type="http://schemas.openxmlformats.org/officeDocument/2006/relationships/hyperlink" Target="https://www.digikey.ca/en/products/detail/texas-instruments/NA555DR/1571933" TargetMode="External"/><Relationship Id="rId23" Type="http://schemas.openxmlformats.org/officeDocument/2006/relationships/hyperlink" Target="https://www.mcmaster.com/8574K53/" TargetMode="External"/><Relationship Id="rId67" Type="http://schemas.openxmlformats.org/officeDocument/2006/relationships/hyperlink" Target="https://www.superbrightleds.com/vehicle-lights/signal-lighting/marker-clearance/led-clearance-or-side-marker-light-3-3-4-rectangle-12-leds+color-amber" TargetMode="External"/><Relationship Id="rId60" Type="http://schemas.openxmlformats.org/officeDocument/2006/relationships/hyperlink" Target="https://www.digikey.ca/en/products/detail/te-connectivity-deutsch-ict-connectors/1060-16-0622/6566707" TargetMode="External"/><Relationship Id="rId26" Type="http://schemas.openxmlformats.org/officeDocument/2006/relationships/hyperlink" Target="https://www.mouser.ca/ProductDetail/Amphenol-Technical-Products/RL9057-101-F1-BK?qs=vDxCgdWo2h9eScpNHEOQhg%3D%3D" TargetMode="External"/><Relationship Id="rId25" Type="http://schemas.openxmlformats.org/officeDocument/2006/relationships/hyperlink" Target="https://www.mouser.ca/ProductDetail/Amphenol-Technical-Products/RL9057-101-F1RE?qs=024T18Co8Yc7s8amuw8k9A%3D%3D" TargetMode="External"/><Relationship Id="rId69" Type="http://schemas.openxmlformats.org/officeDocument/2006/relationships/hyperlink" Target="https://www.digikey.ca/en/products/detail/alpha-omega-semiconductor-inc/AO3400A/1855772" TargetMode="External"/><Relationship Id="rId28" Type="http://schemas.openxmlformats.org/officeDocument/2006/relationships/hyperlink" Target="https://www.digikey.ca/en/products/detail/te-application-tooling/0411-336-1605/6566673" TargetMode="External"/><Relationship Id="rId27" Type="http://schemas.openxmlformats.org/officeDocument/2006/relationships/hyperlink" Target="https://www.mouser.ca/ProductDetail/TE-Connectivity-AMP/1060-16-0644-Loose-Piece?qs=k0bvAmZt86BxHy1Jmq%2Fzqg%3D%3D" TargetMode="External"/><Relationship Id="rId29" Type="http://schemas.openxmlformats.org/officeDocument/2006/relationships/hyperlink" Target="https://www.digikey.ca/en/products/detail/te-application-tooling/0411-291-1405/6566674" TargetMode="External"/><Relationship Id="rId51" Type="http://schemas.openxmlformats.org/officeDocument/2006/relationships/hyperlink" Target="https://mgchemicals.com/products/adhesives/thermally-conductive-adhesives/thermal-glue/" TargetMode="External"/><Relationship Id="rId50" Type="http://schemas.openxmlformats.org/officeDocument/2006/relationships/hyperlink" Target="https://www.amazon.ca/Conductive-Temperature-Multipurpose-Electronics-Construction/dp/B0DDKH9HY7" TargetMode="External"/><Relationship Id="rId53" Type="http://schemas.openxmlformats.org/officeDocument/2006/relationships/hyperlink" Target="https://www.digikey.ca/en/products/detail/amphenol-industrial-operations/SLPPB35BSO1EH/9385626" TargetMode="External"/><Relationship Id="rId52" Type="http://schemas.openxmlformats.org/officeDocument/2006/relationships/hyperlink" Target="https://www.digikey.ca/en/products/detail/molex/0039012045/685976" TargetMode="External"/><Relationship Id="rId11" Type="http://schemas.openxmlformats.org/officeDocument/2006/relationships/hyperlink" Target="https://www.mcmaster.com/catalog/131/3643/94459A731" TargetMode="External"/><Relationship Id="rId55" Type="http://schemas.openxmlformats.org/officeDocument/2006/relationships/hyperlink" Target="https://www.titanrig.com/alphacool-core-120mm-pwm-fan-4000-rpm-2-pack.html" TargetMode="External"/><Relationship Id="rId10" Type="http://schemas.openxmlformats.org/officeDocument/2006/relationships/hyperlink" Target="https://www.mcmaster.com/catalog/131/3577/90152A143" TargetMode="External"/><Relationship Id="rId54" Type="http://schemas.openxmlformats.org/officeDocument/2006/relationships/hyperlink" Target="https://www.titanrig.com/alphacool-nexxxos-st30-full-copper-x-flow-radiator-240mm-dual-fan-black.html" TargetMode="External"/><Relationship Id="rId13" Type="http://schemas.openxmlformats.org/officeDocument/2006/relationships/hyperlink" Target="https://www.mcmaster.com/91280A128/" TargetMode="External"/><Relationship Id="rId57" Type="http://schemas.openxmlformats.org/officeDocument/2006/relationships/hyperlink" Target="https://www.digikey.ca/en/products/detail/te-connectivity-passive-product/HSA5015KE/2366461" TargetMode="External"/><Relationship Id="rId12" Type="http://schemas.openxmlformats.org/officeDocument/2006/relationships/hyperlink" Target="https://www.mcmaster.com/90045A111/" TargetMode="External"/><Relationship Id="rId56" Type="http://schemas.openxmlformats.org/officeDocument/2006/relationships/hyperlink" Target="https://www.amazon.ca/Briny-River-Connector-Diameter-25x9-8x9-2mm/dp/B0F62H2VVJ/ref=sr_1_8?dib=eyJ2IjoiMSJ9.JevZxBe9gvGUrFD2N35_c3_-qP5ruZlSqZk5--7SHG93QgCygTmjOxrSVvogL-2s7pMVtponnk2dNYudJW3EsF4KWhhxN8hePxdEdDEjkMNuatYjRN6khXyAkxJz5PUPm06n2wf1UUKgXZOVhnmu4t5GIS4zgg4WEFP2CwgIpmOx9u56Q13Bqj1dn-DKOPYPo4i7Kgw7XtTTgh12aSkVUI2w7DQ9dA0Rt8moumc9on5bqZsi8w_kdfHJfn81JnsdDiun9utoilOpY48jhVx8kHX72obCKtUHi_-v7mxwehk.UCFwi1JThCx2RQyQyENRjJ-FLSLRF9tI31bfgwMWmuc&amp;dib_tag=se&amp;gad_source=1&amp;hvadid=668188319980&amp;hvdev=c&amp;hvexpln=0&amp;hvlocphy=9000762&amp;hvnetw=g&amp;hvocijid=4173603434009327600--&amp;hvqmt=e&amp;hvrand=4173603434009327600&amp;hvtargid=kwd-359699516559&amp;hydadcr=24948_13702409&amp;keywords=g1%2F4%2Bto%2B3%2F8%2Bbarb&amp;mcid=7cce7905aebd3d659a6d9a135d79dc8e&amp;qid=1766441528&amp;sr=8-8&amp;th=1" TargetMode="External"/><Relationship Id="rId90" Type="http://schemas.openxmlformats.org/officeDocument/2006/relationships/vmlDrawing" Target="../drawings/vmlDrawing2.vml"/><Relationship Id="rId15" Type="http://schemas.openxmlformats.org/officeDocument/2006/relationships/hyperlink" Target="https://www.mcmaster.com/91294A190/" TargetMode="External"/><Relationship Id="rId59" Type="http://schemas.openxmlformats.org/officeDocument/2006/relationships/hyperlink" Target="https://www.digikey.ca/en/products/detail/assmann-wsw-components/A-DF-09-LL-Z/5051922" TargetMode="External"/><Relationship Id="rId14" Type="http://schemas.openxmlformats.org/officeDocument/2006/relationships/hyperlink" Target="https://www.mcmaster.com/92048A120/" TargetMode="External"/><Relationship Id="rId58" Type="http://schemas.openxmlformats.org/officeDocument/2006/relationships/hyperlink" Target="https://www.digikey.ca/en/products/detail/mh-connectors/MHDB9SP/16984080" TargetMode="External"/><Relationship Id="rId17" Type="http://schemas.openxmlformats.org/officeDocument/2006/relationships/hyperlink" Target="https://www.metalsupermarkets.com/product/aluminum-sheet-5052/" TargetMode="External"/><Relationship Id="rId16" Type="http://schemas.openxmlformats.org/officeDocument/2006/relationships/hyperlink" Target="https://www.metalsupermarkets.com/product/aluminum-sheet-6061/" TargetMode="External"/><Relationship Id="rId19" Type="http://schemas.openxmlformats.org/officeDocument/2006/relationships/hyperlink" Target="https://www.mcmaster.com/95735A451/" TargetMode="External"/><Relationship Id="rId18" Type="http://schemas.openxmlformats.org/officeDocument/2006/relationships/hyperlink" Target="https://www.metalsupermarkets.com/product/mild-steel-square-tube-structural-welded/"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bsa-asfc.gc.ca/travel-voyage/dte-acl/est-cal-eng.html" TargetMode="External"/><Relationship Id="rId2" Type="http://schemas.openxmlformats.org/officeDocument/2006/relationships/hyperlink" Target="https://drive.google.com/drive/folders/1l6BRGBbI_woR5CXfgt1Ydn-UfLeRF23x?usp=share_link" TargetMode="External"/><Relationship Id="rId3" Type="http://schemas.openxmlformats.org/officeDocument/2006/relationships/hyperlink" Target="https://tboxstudio.com/" TargetMode="External"/><Relationship Id="rId4" Type="http://schemas.openxmlformats.org/officeDocument/2006/relationships/hyperlink" Target="https://torontometformularacing.squarespace.com/config/settings/domains-email/domains" TargetMode="External"/><Relationship Id="rId9" Type="http://schemas.openxmlformats.org/officeDocument/2006/relationships/hyperlink" Target="https://fresh2go.metro.ca/individual-trays/fruits-and-vegetables/celebration-fruit-platter.html" TargetMode="External"/><Relationship Id="rId5" Type="http://schemas.openxmlformats.org/officeDocument/2006/relationships/hyperlink" Target="https://www.vistaprint.ca/business-cards/standard" TargetMode="External"/><Relationship Id="rId6" Type="http://schemas.openxmlformats.org/officeDocument/2006/relationships/hyperlink" Target="https://www.entripy.com/catalogsearch/result/?q=mechanic%20shirt" TargetMode="External"/><Relationship Id="rId7" Type="http://schemas.openxmlformats.org/officeDocument/2006/relationships/hyperlink" Target="https://www.staples.com/services/printing/foam-boards/" TargetMode="External"/><Relationship Id="rId8" Type="http://schemas.openxmlformats.org/officeDocument/2006/relationships/hyperlink" Target="https://goodbehaviourto.ca/catering" TargetMode="External"/><Relationship Id="rId11" Type="http://schemas.openxmlformats.org/officeDocument/2006/relationships/drawing" Target="../drawings/drawing8.xml"/><Relationship Id="rId10" Type="http://schemas.openxmlformats.org/officeDocument/2006/relationships/hyperlink" Target="https://www.walmart.ca/en/ip/Great-Value-24pk-Spring-Water/10295446?classType=REGULAR&amp;athbdg=L3048&amp;from=/search" TargetMode="Externa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cbsa-asfc.gc.ca/travel-voyage/dte-acl/est-cal-eng.html" TargetMode="External"/><Relationship Id="rId2" Type="http://schemas.openxmlformats.org/officeDocument/2006/relationships/hyperlink" Target="https://drive.google.com/drive/folders/1l6BRGBbI_woR5CXfgt1Ydn-UfLeRF23x?usp=share_lin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mcmaster.com/91355A179/" TargetMode="External"/><Relationship Id="rId42" Type="http://schemas.openxmlformats.org/officeDocument/2006/relationships/hyperlink" Target="https://www.mcmaster.com/94846A209/" TargetMode="External"/><Relationship Id="rId41" Type="http://schemas.openxmlformats.org/officeDocument/2006/relationships/hyperlink" Target="https://www.mcmaster.com/94238A101/" TargetMode="External"/><Relationship Id="rId44" Type="http://schemas.openxmlformats.org/officeDocument/2006/relationships/hyperlink" Target="https://www.mcmaster.com/90128A948/" TargetMode="External"/><Relationship Id="rId43" Type="http://schemas.openxmlformats.org/officeDocument/2006/relationships/hyperlink" Target="https://www.mcmaster.com/90044A121" TargetMode="External"/><Relationship Id="rId46" Type="http://schemas.openxmlformats.org/officeDocument/2006/relationships/hyperlink" Target="https://www.mcmaster.com/90631A411/" TargetMode="External"/><Relationship Id="rId45" Type="http://schemas.openxmlformats.org/officeDocument/2006/relationships/hyperlink" Target="https://www.mcmaster.com/92141A011/"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mcmaster.com/91290A176/" TargetMode="External"/><Relationship Id="rId9" Type="http://schemas.openxmlformats.org/officeDocument/2006/relationships/hyperlink" Target="https://www.mcmaster.com/95327A521/" TargetMode="External"/><Relationship Id="rId48" Type="http://schemas.openxmlformats.org/officeDocument/2006/relationships/vmlDrawing" Target="../drawings/vmlDrawing3.vml"/><Relationship Id="rId47" Type="http://schemas.openxmlformats.org/officeDocument/2006/relationships/drawing" Target="../drawings/drawing10.xml"/><Relationship Id="rId5" Type="http://schemas.openxmlformats.org/officeDocument/2006/relationships/hyperlink" Target="https://www.mcmaster.com/94645A101/" TargetMode="External"/><Relationship Id="rId6" Type="http://schemas.openxmlformats.org/officeDocument/2006/relationships/hyperlink" Target="https://www.mcmaster.com/91287A111/" TargetMode="External"/><Relationship Id="rId7" Type="http://schemas.openxmlformats.org/officeDocument/2006/relationships/hyperlink" Target="https://www.mcmaster.com/94645A101/" TargetMode="External"/><Relationship Id="rId8" Type="http://schemas.openxmlformats.org/officeDocument/2006/relationships/hyperlink" Target="https://www.mcmaster.com/products/hex-head-bolts/hex-head-screws-1~/medium-strength-metric-class-8-8-steel-hex-head-screws/length~35-mm/?s=m5+hex+head+bolts" TargetMode="External"/><Relationship Id="rId31" Type="http://schemas.openxmlformats.org/officeDocument/2006/relationships/hyperlink" Target="https://www.mcmaster.com/98023A029/" TargetMode="External"/><Relationship Id="rId30" Type="http://schemas.openxmlformats.org/officeDocument/2006/relationships/hyperlink" Target="https://www.mcmaster.com/catalog/131/3542/90782A125" TargetMode="External"/><Relationship Id="rId33" Type="http://schemas.openxmlformats.org/officeDocument/2006/relationships/hyperlink" Target="https://www.mcmaster.com/91247A014/" TargetMode="External"/><Relationship Id="rId32" Type="http://schemas.openxmlformats.org/officeDocument/2006/relationships/hyperlink" Target="https://www.mcmaster.com/95615A130/" TargetMode="External"/><Relationship Id="rId35" Type="http://schemas.openxmlformats.org/officeDocument/2006/relationships/hyperlink" Target="https://www.mcmaster.com/90673A111/" TargetMode="External"/><Relationship Id="rId34" Type="http://schemas.openxmlformats.org/officeDocument/2006/relationships/hyperlink" Target="https://www.mcmaster.com/91247a012/" TargetMode="External"/><Relationship Id="rId37" Type="http://schemas.openxmlformats.org/officeDocument/2006/relationships/hyperlink" Target="https://www.mcmaster.com/products/97135a210/" TargetMode="External"/><Relationship Id="rId36" Type="http://schemas.openxmlformats.org/officeDocument/2006/relationships/hyperlink" Target="https://www.mcmaster.com/catalog/131/3581/92620A545" TargetMode="External"/><Relationship Id="rId39" Type="http://schemas.openxmlformats.org/officeDocument/2006/relationships/hyperlink" Target="https://www.mcmaster.com/91259A106/" TargetMode="External"/><Relationship Id="rId38" Type="http://schemas.openxmlformats.org/officeDocument/2006/relationships/hyperlink" Target="https://www.mcmaster.com/products/97135a210/" TargetMode="External"/><Relationship Id="rId20" Type="http://schemas.openxmlformats.org/officeDocument/2006/relationships/hyperlink" Target="https://www.mcmaster.com/91290A319" TargetMode="External"/><Relationship Id="rId22" Type="http://schemas.openxmlformats.org/officeDocument/2006/relationships/hyperlink" Target="https://www.mcmaster.com/96755A324" TargetMode="External"/><Relationship Id="rId21" Type="http://schemas.openxmlformats.org/officeDocument/2006/relationships/hyperlink" Target="https://www.mcmaster.com/93310A816/" TargetMode="External"/><Relationship Id="rId24" Type="http://schemas.openxmlformats.org/officeDocument/2006/relationships/hyperlink" Target="https://www.mcmaster.com/94020A387/" TargetMode="External"/><Relationship Id="rId23" Type="http://schemas.openxmlformats.org/officeDocument/2006/relationships/hyperlink" Target="https://www.mcmaster.com/95105a183/" TargetMode="External"/><Relationship Id="rId26" Type="http://schemas.openxmlformats.org/officeDocument/2006/relationships/hyperlink" Target="https://www.mcmaster.com/95735A431/" TargetMode="External"/><Relationship Id="rId25" Type="http://schemas.openxmlformats.org/officeDocument/2006/relationships/hyperlink" Target="https://www.mcmaster.com/95735A451/" TargetMode="External"/><Relationship Id="rId28" Type="http://schemas.openxmlformats.org/officeDocument/2006/relationships/hyperlink" Target="https://www.mcmaster.com/catalog/131/3724/92927A925" TargetMode="External"/><Relationship Id="rId27" Type="http://schemas.openxmlformats.org/officeDocument/2006/relationships/hyperlink" Target="https://www.mcmaster.com/catalog/131/3542/90782A124" TargetMode="External"/><Relationship Id="rId29" Type="http://schemas.openxmlformats.org/officeDocument/2006/relationships/hyperlink" Target="https://www.mcmaster.com/products/94645a210/" TargetMode="External"/><Relationship Id="rId11" Type="http://schemas.openxmlformats.org/officeDocument/2006/relationships/hyperlink" Target="https://www.mcmaster.com/catalog/131/3593/91280A328" TargetMode="External"/><Relationship Id="rId10" Type="http://schemas.openxmlformats.org/officeDocument/2006/relationships/hyperlink" Target="https://www.mcmaster.com/93795A220/" TargetMode="External"/><Relationship Id="rId13" Type="http://schemas.openxmlformats.org/officeDocument/2006/relationships/hyperlink" Target="https://www.mcmaster.com/products/94645a205/" TargetMode="External"/><Relationship Id="rId12" Type="http://schemas.openxmlformats.org/officeDocument/2006/relationships/hyperlink" Target="https://www.mcmaster.com/catalog/131/3593/91280A063" TargetMode="External"/><Relationship Id="rId15" Type="http://schemas.openxmlformats.org/officeDocument/2006/relationships/hyperlink" Target="https://www.mcmaster.com/catalog/131/3593/91280A334" TargetMode="External"/><Relationship Id="rId14" Type="http://schemas.openxmlformats.org/officeDocument/2006/relationships/hyperlink" Target="https://www.mcmaster.com/catalog/131/3692/93475A250" TargetMode="External"/><Relationship Id="rId17" Type="http://schemas.openxmlformats.org/officeDocument/2006/relationships/hyperlink" Target="https://www.mcmaster.com/93070A143" TargetMode="External"/><Relationship Id="rId16" Type="http://schemas.openxmlformats.org/officeDocument/2006/relationships/hyperlink" Target="https://www.mcmaster.com/catalog/131/3593/91280A340" TargetMode="External"/><Relationship Id="rId19" Type="http://schemas.openxmlformats.org/officeDocument/2006/relationships/hyperlink" Target="https://www.mcmaster.com/93625A250/" TargetMode="External"/><Relationship Id="rId18" Type="http://schemas.openxmlformats.org/officeDocument/2006/relationships/hyperlink" Target="https://www.mcmaster.com/products/90576a115/"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WKOdJdU-O_XzIeR4djWEC5Un0AiQ4oofv5iSN7MjwXc/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Eirikobk1lCL-XteEdMhTt4nLsMYbWq9?usp=share_link" TargetMode="External"/><Relationship Id="rId2" Type="http://schemas.openxmlformats.org/officeDocument/2006/relationships/drawing" Target="../drawings/drawing12.xml"/><Relationship Id="rId9" Type="http://schemas.openxmlformats.org/officeDocument/2006/relationships/table" Target="../tables/table11.xml"/><Relationship Id="rId7" Type="http://schemas.openxmlformats.org/officeDocument/2006/relationships/table" Target="../tables/table9.xml"/><Relationship Id="rId8" Type="http://schemas.openxmlformats.org/officeDocument/2006/relationships/table" Target="../tables/table10.xml"/><Relationship Id="rId10"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6.63"/>
    <col customWidth="1" min="2" max="53" width="6.38"/>
  </cols>
  <sheetData>
    <row r="1">
      <c r="A1" s="1"/>
      <c r="B1" s="2" t="s">
        <v>0</v>
      </c>
      <c r="C1" s="3"/>
      <c r="D1" s="3"/>
      <c r="E1" s="4"/>
      <c r="F1" s="2" t="s">
        <v>1</v>
      </c>
      <c r="G1" s="3"/>
      <c r="H1" s="3"/>
      <c r="I1" s="3"/>
      <c r="J1" s="4"/>
      <c r="K1" s="2" t="s">
        <v>2</v>
      </c>
      <c r="L1" s="3"/>
      <c r="M1" s="3"/>
      <c r="N1" s="4"/>
      <c r="O1" s="2" t="s">
        <v>3</v>
      </c>
      <c r="P1" s="3"/>
      <c r="Q1" s="3"/>
      <c r="R1" s="3"/>
      <c r="S1" s="4"/>
      <c r="T1" s="5" t="s">
        <v>4</v>
      </c>
      <c r="U1" s="3"/>
      <c r="V1" s="3"/>
      <c r="W1" s="6"/>
      <c r="X1" s="5" t="s">
        <v>5</v>
      </c>
      <c r="Y1" s="3"/>
      <c r="Z1" s="3"/>
      <c r="AA1" s="6"/>
      <c r="AB1" s="5" t="s">
        <v>6</v>
      </c>
      <c r="AC1" s="3"/>
      <c r="AD1" s="3"/>
      <c r="AE1" s="3"/>
      <c r="AF1" s="6"/>
      <c r="AG1" s="5" t="s">
        <v>7</v>
      </c>
      <c r="AH1" s="3"/>
      <c r="AI1" s="3"/>
      <c r="AJ1" s="6"/>
      <c r="AK1" s="5" t="s">
        <v>8</v>
      </c>
      <c r="AL1" s="3"/>
      <c r="AM1" s="3"/>
      <c r="AN1" s="6"/>
      <c r="AO1" s="5" t="s">
        <v>9</v>
      </c>
      <c r="AP1" s="3"/>
      <c r="AQ1" s="3"/>
      <c r="AR1" s="4"/>
      <c r="AS1" s="5" t="s">
        <v>10</v>
      </c>
      <c r="AT1" s="3"/>
      <c r="AU1" s="3"/>
      <c r="AV1" s="3"/>
      <c r="AW1" s="6"/>
      <c r="AX1" s="5" t="s">
        <v>11</v>
      </c>
      <c r="AY1" s="3"/>
      <c r="AZ1" s="3"/>
      <c r="BA1" s="4"/>
    </row>
    <row r="2">
      <c r="A2" s="7" t="s">
        <v>12</v>
      </c>
      <c r="B2" s="8">
        <v>45842.0</v>
      </c>
      <c r="C2" s="9">
        <v>45849.0</v>
      </c>
      <c r="D2" s="10">
        <v>45856.0</v>
      </c>
      <c r="E2" s="9">
        <v>45863.0</v>
      </c>
      <c r="F2" s="8">
        <v>45870.0</v>
      </c>
      <c r="G2" s="9">
        <v>45877.0</v>
      </c>
      <c r="H2" s="10">
        <v>45884.0</v>
      </c>
      <c r="I2" s="9">
        <v>45891.0</v>
      </c>
      <c r="J2" s="11">
        <v>45898.0</v>
      </c>
      <c r="K2" s="9">
        <v>45905.0</v>
      </c>
      <c r="L2" s="10">
        <v>45912.0</v>
      </c>
      <c r="M2" s="9">
        <v>45919.0</v>
      </c>
      <c r="N2" s="11">
        <v>45926.0</v>
      </c>
      <c r="O2" s="9">
        <v>45933.0</v>
      </c>
      <c r="P2" s="10">
        <v>45940.0</v>
      </c>
      <c r="Q2" s="9">
        <v>45947.0</v>
      </c>
      <c r="R2" s="10">
        <v>45954.0</v>
      </c>
      <c r="S2" s="9">
        <v>45961.0</v>
      </c>
      <c r="T2" s="10">
        <v>45968.0</v>
      </c>
      <c r="U2" s="9">
        <v>45975.0</v>
      </c>
      <c r="V2" s="10">
        <v>45982.0</v>
      </c>
      <c r="W2" s="9">
        <v>45989.0</v>
      </c>
      <c r="X2" s="10">
        <v>45996.0</v>
      </c>
      <c r="Y2" s="9">
        <v>46003.0</v>
      </c>
      <c r="Z2" s="10">
        <v>46011.0</v>
      </c>
      <c r="AA2" s="9">
        <v>46018.0</v>
      </c>
      <c r="AB2" s="10">
        <v>46023.0</v>
      </c>
      <c r="AC2" s="10">
        <v>45663.0</v>
      </c>
      <c r="AD2" s="9">
        <v>46034.0</v>
      </c>
      <c r="AE2" s="10">
        <v>46041.0</v>
      </c>
      <c r="AF2" s="9">
        <v>46048.0</v>
      </c>
      <c r="AG2" s="9">
        <v>45689.0</v>
      </c>
      <c r="AH2" s="10">
        <v>45696.0</v>
      </c>
      <c r="AI2" s="9">
        <v>45710.0</v>
      </c>
      <c r="AJ2" s="10">
        <v>46081.0</v>
      </c>
      <c r="AK2" s="9">
        <v>45717.0</v>
      </c>
      <c r="AL2" s="10">
        <v>46089.0</v>
      </c>
      <c r="AM2" s="9">
        <v>46101.0</v>
      </c>
      <c r="AN2" s="10">
        <v>46108.0</v>
      </c>
      <c r="AO2" s="9">
        <v>46115.0</v>
      </c>
      <c r="AP2" s="10">
        <v>46122.0</v>
      </c>
      <c r="AQ2" s="9">
        <v>46129.0</v>
      </c>
      <c r="AR2" s="10">
        <v>46136.0</v>
      </c>
      <c r="AS2" s="9">
        <v>46143.0</v>
      </c>
      <c r="AT2" s="10">
        <v>46150.0</v>
      </c>
      <c r="AU2" s="9">
        <v>46157.0</v>
      </c>
      <c r="AV2" s="10">
        <v>46164.0</v>
      </c>
      <c r="AW2" s="9">
        <v>46171.0</v>
      </c>
      <c r="AX2" s="10">
        <v>46178.0</v>
      </c>
      <c r="AY2" s="9">
        <v>46185.0</v>
      </c>
      <c r="AZ2" s="10">
        <v>46192.0</v>
      </c>
      <c r="BA2" s="9">
        <v>46199.0</v>
      </c>
    </row>
    <row r="3">
      <c r="A3" s="12" t="s">
        <v>13</v>
      </c>
      <c r="F3" s="13"/>
      <c r="K3" s="14"/>
      <c r="O3" s="13"/>
      <c r="S3" s="15"/>
      <c r="X3" s="13"/>
      <c r="Y3" s="16"/>
      <c r="Z3" s="16"/>
      <c r="AA3" s="17"/>
      <c r="AB3" s="16"/>
      <c r="AC3" s="16"/>
      <c r="AD3" s="16"/>
      <c r="AE3" s="16"/>
      <c r="AF3" s="17"/>
      <c r="AG3" s="16"/>
      <c r="AH3" s="16"/>
      <c r="AI3" s="16"/>
      <c r="AJ3" s="17"/>
      <c r="AK3" s="16"/>
      <c r="AL3" s="16"/>
      <c r="AM3" s="16"/>
      <c r="AN3" s="17"/>
      <c r="AO3" s="16"/>
      <c r="AP3" s="16"/>
      <c r="AQ3" s="16"/>
      <c r="AR3" s="17"/>
      <c r="AS3" s="16"/>
      <c r="AT3" s="16"/>
      <c r="AU3" s="16"/>
      <c r="AV3" s="18"/>
      <c r="AW3" s="17"/>
      <c r="AX3" s="16"/>
      <c r="BA3" s="17"/>
    </row>
    <row r="4">
      <c r="A4" s="19" t="s">
        <v>14</v>
      </c>
      <c r="D4" s="20"/>
      <c r="E4" s="20"/>
      <c r="F4" s="20"/>
      <c r="G4" s="20"/>
      <c r="H4" s="20"/>
      <c r="K4" s="13"/>
      <c r="O4" s="13"/>
      <c r="S4" s="15"/>
      <c r="X4" s="21"/>
      <c r="Y4" s="16"/>
      <c r="Z4" s="16"/>
      <c r="AA4" s="17"/>
      <c r="AB4" s="16"/>
      <c r="AC4" s="16"/>
      <c r="AD4" s="16"/>
      <c r="AE4" s="16"/>
      <c r="AF4" s="17"/>
      <c r="AG4" s="16"/>
      <c r="AH4" s="16"/>
      <c r="AI4" s="16"/>
      <c r="AJ4" s="17"/>
      <c r="AK4" s="16"/>
      <c r="AL4" s="16"/>
      <c r="AM4" s="16"/>
      <c r="AN4" s="17"/>
      <c r="AO4" s="16"/>
      <c r="AP4" s="16"/>
      <c r="AQ4" s="16"/>
      <c r="AR4" s="17"/>
      <c r="AS4" s="16"/>
      <c r="AT4" s="16"/>
      <c r="AU4" s="16"/>
      <c r="AV4" s="18"/>
      <c r="AW4" s="17"/>
      <c r="AX4" s="16"/>
      <c r="BA4" s="17"/>
    </row>
    <row r="5">
      <c r="A5" s="22" t="s">
        <v>15</v>
      </c>
      <c r="F5" s="13"/>
      <c r="G5" s="23"/>
      <c r="H5" s="23"/>
      <c r="K5" s="13"/>
      <c r="O5" s="13"/>
      <c r="S5" s="15"/>
      <c r="X5" s="21"/>
      <c r="Y5" s="16"/>
      <c r="Z5" s="16"/>
      <c r="AA5" s="17"/>
      <c r="AB5" s="16"/>
      <c r="AC5" s="16"/>
      <c r="AD5" s="16"/>
      <c r="AE5" s="16"/>
      <c r="AF5" s="17"/>
      <c r="AG5" s="16"/>
      <c r="AH5" s="16"/>
      <c r="AI5" s="16"/>
      <c r="AJ5" s="17"/>
      <c r="AK5" s="16"/>
      <c r="AL5" s="16"/>
      <c r="AM5" s="16"/>
      <c r="AN5" s="17"/>
      <c r="AO5" s="16"/>
      <c r="AP5" s="16"/>
      <c r="AQ5" s="16"/>
      <c r="AR5" s="17"/>
      <c r="AS5" s="16"/>
      <c r="AT5" s="16"/>
      <c r="AU5" s="16"/>
      <c r="AV5" s="18"/>
      <c r="AW5" s="17"/>
      <c r="AX5" s="16"/>
      <c r="BA5" s="17"/>
    </row>
    <row r="6">
      <c r="A6" s="22" t="s">
        <v>16</v>
      </c>
      <c r="F6" s="13"/>
      <c r="G6" s="23"/>
      <c r="H6" s="23"/>
      <c r="K6" s="13"/>
      <c r="O6" s="13"/>
      <c r="S6" s="15"/>
      <c r="X6" s="21"/>
      <c r="Y6" s="16"/>
      <c r="Z6" s="16"/>
      <c r="AA6" s="17"/>
      <c r="AB6" s="16"/>
      <c r="AC6" s="16"/>
      <c r="AD6" s="16"/>
      <c r="AE6" s="16"/>
      <c r="AF6" s="17"/>
      <c r="AG6" s="16"/>
      <c r="AH6" s="16"/>
      <c r="AI6" s="16"/>
      <c r="AJ6" s="17"/>
      <c r="AK6" s="16"/>
      <c r="AL6" s="16"/>
      <c r="AM6" s="16"/>
      <c r="AN6" s="17"/>
      <c r="AO6" s="16"/>
      <c r="AP6" s="16"/>
      <c r="AQ6" s="16"/>
      <c r="AR6" s="17"/>
      <c r="AS6" s="16"/>
      <c r="AT6" s="16"/>
      <c r="AU6" s="16"/>
      <c r="AV6" s="18"/>
      <c r="AW6" s="17"/>
      <c r="AX6" s="16"/>
      <c r="BA6" s="17"/>
    </row>
    <row r="7">
      <c r="A7" s="22" t="s">
        <v>17</v>
      </c>
      <c r="F7" s="13"/>
      <c r="G7" s="23"/>
      <c r="H7" s="23"/>
      <c r="K7" s="13"/>
      <c r="O7" s="13"/>
      <c r="S7" s="15"/>
      <c r="X7" s="21"/>
      <c r="Y7" s="16"/>
      <c r="Z7" s="16"/>
      <c r="AA7" s="17"/>
      <c r="AB7" s="16"/>
      <c r="AC7" s="16"/>
      <c r="AD7" s="16"/>
      <c r="AE7" s="16"/>
      <c r="AF7" s="17"/>
      <c r="AG7" s="16"/>
      <c r="AH7" s="16"/>
      <c r="AI7" s="16"/>
      <c r="AJ7" s="17"/>
      <c r="AK7" s="16"/>
      <c r="AL7" s="16"/>
      <c r="AM7" s="16"/>
      <c r="AN7" s="17"/>
      <c r="AO7" s="16"/>
      <c r="AP7" s="16"/>
      <c r="AQ7" s="16"/>
      <c r="AR7" s="17"/>
      <c r="AS7" s="16"/>
      <c r="AT7" s="16"/>
      <c r="AU7" s="16"/>
      <c r="AV7" s="18"/>
      <c r="AW7" s="17"/>
      <c r="AX7" s="16"/>
      <c r="BA7" s="17"/>
    </row>
    <row r="8">
      <c r="A8" s="19" t="s">
        <v>18</v>
      </c>
      <c r="F8" s="13"/>
      <c r="H8" s="20"/>
      <c r="I8" s="20"/>
      <c r="J8" s="20"/>
      <c r="K8" s="20"/>
      <c r="L8" s="20"/>
      <c r="O8" s="13"/>
      <c r="S8" s="15"/>
      <c r="X8" s="21"/>
      <c r="Y8" s="16"/>
      <c r="Z8" s="16"/>
      <c r="AA8" s="17"/>
      <c r="AB8" s="16"/>
      <c r="AC8" s="16"/>
      <c r="AD8" s="16"/>
      <c r="AE8" s="16"/>
      <c r="AF8" s="17"/>
      <c r="AG8" s="16"/>
      <c r="AH8" s="16"/>
      <c r="AI8" s="16"/>
      <c r="AJ8" s="17"/>
      <c r="AK8" s="16"/>
      <c r="AL8" s="16"/>
      <c r="AM8" s="16"/>
      <c r="AN8" s="17"/>
      <c r="AO8" s="16"/>
      <c r="AP8" s="16"/>
      <c r="AQ8" s="16"/>
      <c r="AR8" s="17"/>
      <c r="AS8" s="16"/>
      <c r="AT8" s="16"/>
      <c r="AU8" s="16"/>
      <c r="AV8" s="18"/>
      <c r="AW8" s="17"/>
      <c r="AX8" s="16"/>
      <c r="BA8" s="17"/>
    </row>
    <row r="9">
      <c r="A9" s="22" t="s">
        <v>19</v>
      </c>
      <c r="F9" s="13"/>
      <c r="K9" s="24"/>
      <c r="L9" s="23"/>
      <c r="O9" s="13"/>
      <c r="S9" s="15"/>
      <c r="X9" s="21"/>
      <c r="Y9" s="16"/>
      <c r="Z9" s="16"/>
      <c r="AA9" s="17"/>
      <c r="AB9" s="16"/>
      <c r="AC9" s="16"/>
      <c r="AD9" s="16"/>
      <c r="AE9" s="16"/>
      <c r="AF9" s="17"/>
      <c r="AG9" s="16"/>
      <c r="AH9" s="16"/>
      <c r="AI9" s="16"/>
      <c r="AJ9" s="17"/>
      <c r="AK9" s="16"/>
      <c r="AL9" s="16"/>
      <c r="AM9" s="16"/>
      <c r="AN9" s="17"/>
      <c r="AO9" s="16"/>
      <c r="AP9" s="16"/>
      <c r="AQ9" s="16"/>
      <c r="AR9" s="17"/>
      <c r="AS9" s="16"/>
      <c r="AT9" s="16"/>
      <c r="AU9" s="16"/>
      <c r="AV9" s="18"/>
      <c r="AW9" s="17"/>
      <c r="AX9" s="16"/>
      <c r="BA9" s="17"/>
    </row>
    <row r="10">
      <c r="A10" s="12" t="s">
        <v>20</v>
      </c>
      <c r="B10" s="23"/>
      <c r="C10" s="23"/>
      <c r="F10" s="13"/>
      <c r="K10" s="13"/>
      <c r="O10" s="13"/>
      <c r="S10" s="15"/>
      <c r="X10" s="21"/>
      <c r="Y10" s="16"/>
      <c r="Z10" s="25"/>
      <c r="AA10" s="17"/>
      <c r="AB10" s="16"/>
      <c r="AC10" s="16"/>
      <c r="AD10" s="16"/>
      <c r="AE10" s="16"/>
      <c r="AF10" s="17"/>
      <c r="AG10" s="16"/>
      <c r="AH10" s="16"/>
      <c r="AI10" s="16"/>
      <c r="AJ10" s="17"/>
      <c r="AK10" s="16"/>
      <c r="AL10" s="16"/>
      <c r="AM10" s="16"/>
      <c r="AN10" s="17"/>
      <c r="AO10" s="16"/>
      <c r="AP10" s="16"/>
      <c r="AQ10" s="16"/>
      <c r="AR10" s="17"/>
      <c r="AS10" s="16"/>
      <c r="AT10" s="16"/>
      <c r="AU10" s="16"/>
      <c r="AV10" s="16"/>
      <c r="AW10" s="17"/>
      <c r="AX10" s="16"/>
      <c r="BA10" s="17"/>
    </row>
    <row r="11">
      <c r="A11" s="22" t="s">
        <v>21</v>
      </c>
      <c r="E11" s="23"/>
      <c r="F11" s="24"/>
      <c r="K11" s="13"/>
      <c r="O11" s="13"/>
      <c r="S11" s="15"/>
      <c r="X11" s="21"/>
      <c r="Y11" s="16"/>
      <c r="Z11" s="16"/>
      <c r="AA11" s="17"/>
      <c r="AB11" s="16"/>
      <c r="AC11" s="16"/>
      <c r="AD11" s="16"/>
      <c r="AE11" s="16"/>
      <c r="AF11" s="17"/>
      <c r="AG11" s="16"/>
      <c r="AH11" s="16"/>
      <c r="AI11" s="16"/>
      <c r="AJ11" s="17"/>
      <c r="AK11" s="16"/>
      <c r="AL11" s="16"/>
      <c r="AM11" s="16"/>
      <c r="AN11" s="17"/>
      <c r="AO11" s="16"/>
      <c r="AP11" s="16"/>
      <c r="AQ11" s="16"/>
      <c r="AR11" s="17"/>
      <c r="AS11" s="16"/>
      <c r="AT11" s="16"/>
      <c r="AU11" s="16"/>
      <c r="AV11" s="16"/>
      <c r="AW11" s="17"/>
      <c r="AX11" s="16"/>
      <c r="BA11" s="17"/>
    </row>
    <row r="12">
      <c r="A12" s="22" t="s">
        <v>22</v>
      </c>
      <c r="E12" s="23"/>
      <c r="F12" s="24"/>
      <c r="K12" s="13"/>
      <c r="O12" s="13"/>
      <c r="S12" s="15"/>
      <c r="X12" s="21"/>
      <c r="Y12" s="16"/>
      <c r="Z12" s="16"/>
      <c r="AA12" s="17"/>
      <c r="AB12" s="16"/>
      <c r="AC12" s="16"/>
      <c r="AD12" s="16"/>
      <c r="AE12" s="16"/>
      <c r="AF12" s="17"/>
      <c r="AG12" s="16"/>
      <c r="AH12" s="16"/>
      <c r="AI12" s="16"/>
      <c r="AJ12" s="17"/>
      <c r="AK12" s="16"/>
      <c r="AL12" s="16"/>
      <c r="AM12" s="16"/>
      <c r="AN12" s="17"/>
      <c r="AO12" s="16"/>
      <c r="AP12" s="16"/>
      <c r="AQ12" s="16"/>
      <c r="AR12" s="17"/>
      <c r="AS12" s="16"/>
      <c r="AT12" s="16"/>
      <c r="AU12" s="16"/>
      <c r="AV12" s="16"/>
      <c r="AW12" s="17"/>
      <c r="AX12" s="16"/>
      <c r="BA12" s="17"/>
    </row>
    <row r="13">
      <c r="A13" s="26" t="s">
        <v>23</v>
      </c>
      <c r="F13" s="13"/>
      <c r="K13" s="24"/>
      <c r="L13" s="23"/>
      <c r="O13" s="13"/>
      <c r="S13" s="15"/>
      <c r="X13" s="27"/>
      <c r="Y13" s="28"/>
      <c r="Z13" s="28"/>
      <c r="AA13" s="29"/>
      <c r="AB13" s="28"/>
      <c r="AC13" s="28"/>
      <c r="AD13" s="28"/>
      <c r="AE13" s="28"/>
      <c r="AF13" s="29"/>
      <c r="AG13" s="28"/>
      <c r="AH13" s="28"/>
      <c r="AI13" s="28"/>
      <c r="AJ13" s="29"/>
      <c r="AK13" s="28"/>
      <c r="AL13" s="28"/>
      <c r="AM13" s="28"/>
      <c r="AN13" s="29"/>
      <c r="AO13" s="28"/>
      <c r="AP13" s="28"/>
      <c r="AQ13" s="28"/>
      <c r="AR13" s="29"/>
      <c r="AS13" s="28"/>
      <c r="AT13" s="28"/>
      <c r="AU13" s="28"/>
      <c r="AV13" s="30"/>
      <c r="AW13" s="29"/>
      <c r="AX13" s="28"/>
      <c r="BA13" s="29"/>
    </row>
    <row r="14">
      <c r="A14" s="19" t="s">
        <v>24</v>
      </c>
      <c r="F14" s="13"/>
      <c r="K14" s="13"/>
      <c r="M14" s="20"/>
      <c r="N14" s="20"/>
      <c r="O14" s="13"/>
      <c r="S14" s="15"/>
      <c r="X14" s="21"/>
      <c r="Y14" s="16"/>
      <c r="Z14" s="16"/>
      <c r="AA14" s="17"/>
      <c r="AB14" s="16"/>
      <c r="AC14" s="16"/>
      <c r="AD14" s="16"/>
      <c r="AE14" s="16"/>
      <c r="AF14" s="17"/>
      <c r="AG14" s="16"/>
      <c r="AH14" s="16"/>
      <c r="AI14" s="16"/>
      <c r="AJ14" s="17"/>
      <c r="AK14" s="16"/>
      <c r="AL14" s="16"/>
      <c r="AM14" s="16"/>
      <c r="AN14" s="17"/>
      <c r="AO14" s="16"/>
      <c r="AP14" s="16"/>
      <c r="AQ14" s="16"/>
      <c r="AR14" s="17"/>
      <c r="AS14" s="16"/>
      <c r="AT14" s="16"/>
      <c r="AU14" s="16"/>
      <c r="AV14" s="16"/>
      <c r="AW14" s="17"/>
      <c r="AX14" s="16"/>
      <c r="BA14" s="17"/>
    </row>
    <row r="15">
      <c r="A15" s="22" t="s">
        <v>25</v>
      </c>
      <c r="F15" s="13"/>
      <c r="I15" s="23"/>
      <c r="J15" s="23"/>
      <c r="K15" s="13"/>
      <c r="O15" s="13"/>
      <c r="S15" s="15"/>
      <c r="X15" s="21"/>
      <c r="Y15" s="16"/>
      <c r="Z15" s="16"/>
      <c r="AA15" s="17"/>
      <c r="AB15" s="16"/>
      <c r="AC15" s="16"/>
      <c r="AD15" s="16"/>
      <c r="AE15" s="16"/>
      <c r="AF15" s="17"/>
      <c r="AG15" s="16"/>
      <c r="AH15" s="16"/>
      <c r="AI15" s="16"/>
      <c r="AJ15" s="17"/>
      <c r="AK15" s="16"/>
      <c r="AL15" s="16"/>
      <c r="AM15" s="16"/>
      <c r="AN15" s="17"/>
      <c r="AO15" s="16"/>
      <c r="AP15" s="16"/>
      <c r="AQ15" s="16"/>
      <c r="AR15" s="17"/>
      <c r="AS15" s="16"/>
      <c r="AT15" s="16"/>
      <c r="AU15" s="16"/>
      <c r="AV15" s="18"/>
      <c r="AW15" s="17"/>
      <c r="AX15" s="16"/>
      <c r="BA15" s="17"/>
    </row>
    <row r="16">
      <c r="A16" s="22" t="s">
        <v>26</v>
      </c>
      <c r="F16" s="13"/>
      <c r="J16" s="23"/>
      <c r="K16" s="24"/>
      <c r="O16" s="13"/>
      <c r="S16" s="15"/>
      <c r="X16" s="21"/>
      <c r="Y16" s="16"/>
      <c r="Z16" s="16"/>
      <c r="AA16" s="17"/>
      <c r="AB16" s="16"/>
      <c r="AC16" s="16"/>
      <c r="AD16" s="16"/>
      <c r="AE16" s="16"/>
      <c r="AF16" s="17"/>
      <c r="AG16" s="16"/>
      <c r="AH16" s="16"/>
      <c r="AI16" s="16"/>
      <c r="AJ16" s="17"/>
      <c r="AK16" s="16"/>
      <c r="AL16" s="16"/>
      <c r="AM16" s="16"/>
      <c r="AN16" s="17"/>
      <c r="AO16" s="16"/>
      <c r="AP16" s="16"/>
      <c r="AQ16" s="16"/>
      <c r="AR16" s="17"/>
      <c r="AS16" s="16"/>
      <c r="AT16" s="16"/>
      <c r="AU16" s="16"/>
      <c r="AV16" s="18"/>
      <c r="AW16" s="17"/>
      <c r="AX16" s="16"/>
      <c r="BA16" s="17"/>
    </row>
    <row r="17">
      <c r="A17" s="22" t="s">
        <v>27</v>
      </c>
      <c r="F17" s="13"/>
      <c r="K17" s="24"/>
      <c r="O17" s="13"/>
      <c r="S17" s="15"/>
      <c r="X17" s="21"/>
      <c r="Y17" s="16"/>
      <c r="Z17" s="16"/>
      <c r="AA17" s="17"/>
      <c r="AB17" s="16"/>
      <c r="AC17" s="16"/>
      <c r="AD17" s="16"/>
      <c r="AE17" s="16"/>
      <c r="AF17" s="17"/>
      <c r="AG17" s="16"/>
      <c r="AH17" s="16"/>
      <c r="AI17" s="16"/>
      <c r="AJ17" s="17"/>
      <c r="AK17" s="16"/>
      <c r="AL17" s="16"/>
      <c r="AM17" s="16"/>
      <c r="AN17" s="17"/>
      <c r="AO17" s="16"/>
      <c r="AP17" s="16"/>
      <c r="AQ17" s="16"/>
      <c r="AR17" s="17"/>
      <c r="AS17" s="16"/>
      <c r="AT17" s="16"/>
      <c r="AU17" s="16"/>
      <c r="AV17" s="18"/>
      <c r="AW17" s="17"/>
      <c r="AX17" s="16"/>
      <c r="BA17" s="17"/>
    </row>
    <row r="18">
      <c r="A18" s="22" t="s">
        <v>28</v>
      </c>
      <c r="F18" s="13"/>
      <c r="K18" s="13"/>
      <c r="O18" s="13"/>
      <c r="S18" s="15"/>
      <c r="X18" s="13"/>
      <c r="Y18" s="16"/>
      <c r="Z18" s="16"/>
      <c r="AA18" s="17"/>
      <c r="AB18" s="16"/>
      <c r="AC18" s="16"/>
      <c r="AD18" s="16"/>
      <c r="AE18" s="16"/>
      <c r="AF18" s="17"/>
      <c r="AG18" s="16"/>
      <c r="AH18" s="16"/>
      <c r="AI18" s="16"/>
      <c r="AJ18" s="17"/>
      <c r="AK18" s="16"/>
      <c r="AL18" s="16"/>
      <c r="AM18" s="16"/>
      <c r="AN18" s="17"/>
      <c r="AO18" s="16"/>
      <c r="AP18" s="16"/>
      <c r="AQ18" s="16"/>
      <c r="AR18" s="17"/>
      <c r="AS18" s="16"/>
      <c r="AT18" s="16"/>
      <c r="AU18" s="16"/>
      <c r="AV18" s="18"/>
      <c r="AW18" s="17"/>
      <c r="AX18" s="16"/>
      <c r="BA18" s="17"/>
    </row>
    <row r="19">
      <c r="A19" s="22" t="s">
        <v>29</v>
      </c>
      <c r="F19" s="13"/>
      <c r="K19" s="13"/>
      <c r="L19" s="23"/>
      <c r="O19" s="13"/>
      <c r="S19" s="15"/>
      <c r="X19" s="13"/>
      <c r="Y19" s="16"/>
      <c r="Z19" s="16"/>
      <c r="AA19" s="17"/>
      <c r="AB19" s="16"/>
      <c r="AC19" s="16"/>
      <c r="AD19" s="16"/>
      <c r="AE19" s="16"/>
      <c r="AF19" s="17"/>
      <c r="AG19" s="16"/>
      <c r="AH19" s="16"/>
      <c r="AI19" s="16"/>
      <c r="AJ19" s="17"/>
      <c r="AK19" s="16"/>
      <c r="AL19" s="16"/>
      <c r="AM19" s="16"/>
      <c r="AN19" s="17"/>
      <c r="AO19" s="16"/>
      <c r="AP19" s="16"/>
      <c r="AQ19" s="16"/>
      <c r="AR19" s="17"/>
      <c r="AS19" s="16"/>
      <c r="AT19" s="16"/>
      <c r="AU19" s="16"/>
      <c r="AV19" s="18"/>
      <c r="AW19" s="17"/>
      <c r="AX19" s="16"/>
      <c r="BA19" s="17"/>
    </row>
    <row r="20">
      <c r="A20" s="26" t="s">
        <v>30</v>
      </c>
      <c r="F20" s="13"/>
      <c r="K20" s="13"/>
      <c r="N20" s="23"/>
      <c r="O20" s="13"/>
      <c r="S20" s="15"/>
      <c r="X20" s="13"/>
      <c r="Y20" s="16"/>
      <c r="Z20" s="16"/>
      <c r="AA20" s="17"/>
      <c r="AB20" s="16"/>
      <c r="AC20" s="16"/>
      <c r="AD20" s="16"/>
      <c r="AE20" s="16"/>
      <c r="AF20" s="17"/>
      <c r="AG20" s="16"/>
      <c r="AH20" s="16"/>
      <c r="AI20" s="16"/>
      <c r="AJ20" s="17"/>
      <c r="AK20" s="16"/>
      <c r="AL20" s="16"/>
      <c r="AM20" s="16"/>
      <c r="AN20" s="17"/>
      <c r="AO20" s="16"/>
      <c r="AP20" s="16"/>
      <c r="AQ20" s="16"/>
      <c r="AR20" s="17"/>
      <c r="AS20" s="16"/>
      <c r="AT20" s="16"/>
      <c r="AU20" s="16"/>
      <c r="AV20" s="16"/>
      <c r="AW20" s="17"/>
      <c r="AX20" s="16"/>
      <c r="BA20" s="17"/>
    </row>
    <row r="21">
      <c r="A21" s="22" t="s">
        <v>31</v>
      </c>
      <c r="F21" s="13"/>
      <c r="K21" s="13"/>
      <c r="M21" s="23"/>
      <c r="O21" s="13"/>
      <c r="S21" s="15"/>
      <c r="X21" s="13"/>
      <c r="Y21" s="16"/>
      <c r="Z21" s="16"/>
      <c r="AA21" s="17"/>
      <c r="AB21" s="16"/>
      <c r="AC21" s="16"/>
      <c r="AD21" s="16"/>
      <c r="AE21" s="16"/>
      <c r="AF21" s="17"/>
      <c r="AG21" s="16"/>
      <c r="AH21" s="16"/>
      <c r="AI21" s="16"/>
      <c r="AJ21" s="17"/>
      <c r="AK21" s="16"/>
      <c r="AL21" s="16"/>
      <c r="AM21" s="16"/>
      <c r="AN21" s="17"/>
      <c r="AO21" s="16"/>
      <c r="AP21" s="16"/>
      <c r="AQ21" s="16"/>
      <c r="AR21" s="17"/>
      <c r="AS21" s="16"/>
      <c r="AT21" s="16"/>
      <c r="AU21" s="16"/>
      <c r="AV21" s="18"/>
      <c r="AW21" s="17"/>
      <c r="AX21" s="16"/>
      <c r="BA21" s="17"/>
    </row>
    <row r="22">
      <c r="A22" s="22" t="s">
        <v>32</v>
      </c>
      <c r="F22" s="13"/>
      <c r="K22" s="13"/>
      <c r="N22" s="23"/>
      <c r="O22" s="13"/>
      <c r="S22" s="15"/>
      <c r="X22" s="13"/>
      <c r="Y22" s="16"/>
      <c r="Z22" s="16"/>
      <c r="AA22" s="17"/>
      <c r="AB22" s="16"/>
      <c r="AC22" s="16"/>
      <c r="AD22" s="16"/>
      <c r="AE22" s="16"/>
      <c r="AF22" s="17"/>
      <c r="AG22" s="16"/>
      <c r="AH22" s="16"/>
      <c r="AI22" s="16"/>
      <c r="AJ22" s="17"/>
      <c r="AK22" s="16"/>
      <c r="AL22" s="16"/>
      <c r="AM22" s="16"/>
      <c r="AN22" s="17"/>
      <c r="AO22" s="16"/>
      <c r="AP22" s="16"/>
      <c r="AQ22" s="16"/>
      <c r="AR22" s="17"/>
      <c r="AS22" s="16"/>
      <c r="AT22" s="16"/>
      <c r="AU22" s="16"/>
      <c r="AV22" s="18"/>
      <c r="AW22" s="17"/>
      <c r="AX22" s="16"/>
      <c r="BA22" s="17"/>
    </row>
    <row r="23">
      <c r="A23" s="22" t="s">
        <v>33</v>
      </c>
      <c r="F23" s="13"/>
      <c r="K23" s="13"/>
      <c r="N23" s="23"/>
      <c r="O23" s="13"/>
      <c r="S23" s="15"/>
      <c r="X23" s="13"/>
      <c r="Y23" s="16"/>
      <c r="Z23" s="16"/>
      <c r="AA23" s="17"/>
      <c r="AB23" s="16"/>
      <c r="AC23" s="16"/>
      <c r="AD23" s="16"/>
      <c r="AE23" s="16"/>
      <c r="AF23" s="17"/>
      <c r="AG23" s="16"/>
      <c r="AH23" s="16"/>
      <c r="AI23" s="16"/>
      <c r="AJ23" s="17"/>
      <c r="AK23" s="16"/>
      <c r="AL23" s="16"/>
      <c r="AM23" s="16"/>
      <c r="AN23" s="17"/>
      <c r="AO23" s="16"/>
      <c r="AP23" s="16"/>
      <c r="AQ23" s="16"/>
      <c r="AR23" s="17"/>
      <c r="AS23" s="16"/>
      <c r="AT23" s="16"/>
      <c r="AU23" s="16"/>
      <c r="AV23" s="18"/>
      <c r="AW23" s="17"/>
      <c r="AX23" s="16"/>
      <c r="BA23" s="17"/>
    </row>
    <row r="24">
      <c r="A24" s="22" t="s">
        <v>34</v>
      </c>
      <c r="F24" s="13"/>
      <c r="K24" s="13"/>
      <c r="M24" s="23"/>
      <c r="N24" s="23"/>
      <c r="O24" s="13"/>
      <c r="S24" s="15"/>
      <c r="X24" s="13"/>
      <c r="Y24" s="16"/>
      <c r="Z24" s="16"/>
      <c r="AA24" s="17"/>
      <c r="AB24" s="16"/>
      <c r="AC24" s="16"/>
      <c r="AD24" s="16"/>
      <c r="AE24" s="16"/>
      <c r="AF24" s="17"/>
      <c r="AG24" s="16"/>
      <c r="AH24" s="16"/>
      <c r="AI24" s="16"/>
      <c r="AJ24" s="17"/>
      <c r="AK24" s="16"/>
      <c r="AL24" s="16"/>
      <c r="AM24" s="16"/>
      <c r="AN24" s="17"/>
      <c r="AO24" s="16"/>
      <c r="AP24" s="16"/>
      <c r="AQ24" s="16"/>
      <c r="AR24" s="17"/>
      <c r="AS24" s="16"/>
      <c r="AT24" s="16"/>
      <c r="AU24" s="16"/>
      <c r="AV24" s="18"/>
      <c r="AW24" s="17"/>
      <c r="AX24" s="16"/>
      <c r="BA24" s="17"/>
    </row>
    <row r="25">
      <c r="A25" s="22" t="s">
        <v>35</v>
      </c>
      <c r="F25" s="13"/>
      <c r="K25" s="13"/>
      <c r="O25" s="24"/>
      <c r="S25" s="15"/>
      <c r="X25" s="13"/>
      <c r="Y25" s="16"/>
      <c r="Z25" s="16"/>
      <c r="AA25" s="17"/>
      <c r="AB25" s="16"/>
      <c r="AC25" s="16"/>
      <c r="AD25" s="16"/>
      <c r="AE25" s="16"/>
      <c r="AF25" s="17"/>
      <c r="AG25" s="16"/>
      <c r="AH25" s="16"/>
      <c r="AI25" s="16"/>
      <c r="AJ25" s="17"/>
      <c r="AK25" s="16"/>
      <c r="AL25" s="16"/>
      <c r="AM25" s="16"/>
      <c r="AN25" s="17"/>
      <c r="AO25" s="16"/>
      <c r="AP25" s="16"/>
      <c r="AQ25" s="16"/>
      <c r="AR25" s="17"/>
      <c r="AS25" s="16"/>
      <c r="AT25" s="16"/>
      <c r="AU25" s="16"/>
      <c r="AV25" s="18"/>
      <c r="AW25" s="17"/>
      <c r="AX25" s="16"/>
      <c r="BA25" s="17"/>
    </row>
    <row r="26">
      <c r="A26" s="22" t="s">
        <v>36</v>
      </c>
      <c r="F26" s="13"/>
      <c r="K26" s="13"/>
      <c r="O26" s="13"/>
      <c r="S26" s="15"/>
      <c r="X26" s="13"/>
      <c r="Y26" s="16"/>
      <c r="Z26" s="16"/>
      <c r="AA26" s="17"/>
      <c r="AB26" s="16"/>
      <c r="AC26" s="16"/>
      <c r="AD26" s="16"/>
      <c r="AE26" s="16"/>
      <c r="AF26" s="17"/>
      <c r="AG26" s="16"/>
      <c r="AH26" s="16"/>
      <c r="AI26" s="16"/>
      <c r="AJ26" s="17"/>
      <c r="AK26" s="16"/>
      <c r="AL26" s="16"/>
      <c r="AM26" s="16"/>
      <c r="AN26" s="17"/>
      <c r="AO26" s="16"/>
      <c r="AP26" s="16"/>
      <c r="AQ26" s="16"/>
      <c r="AR26" s="17"/>
      <c r="AS26" s="16"/>
      <c r="AT26" s="16"/>
      <c r="AU26" s="16"/>
      <c r="AV26" s="18"/>
      <c r="AW26" s="17"/>
      <c r="AX26" s="16"/>
      <c r="BA26" s="17"/>
    </row>
    <row r="27">
      <c r="A27" s="22" t="s">
        <v>37</v>
      </c>
      <c r="F27" s="13"/>
      <c r="K27" s="13"/>
      <c r="O27" s="24"/>
      <c r="S27" s="15"/>
      <c r="X27" s="13"/>
      <c r="Y27" s="16"/>
      <c r="Z27" s="16"/>
      <c r="AA27" s="17"/>
      <c r="AB27" s="16"/>
      <c r="AC27" s="16"/>
      <c r="AD27" s="16"/>
      <c r="AE27" s="16"/>
      <c r="AF27" s="17"/>
      <c r="AG27" s="16"/>
      <c r="AH27" s="16"/>
      <c r="AI27" s="16"/>
      <c r="AJ27" s="17"/>
      <c r="AK27" s="16"/>
      <c r="AL27" s="16"/>
      <c r="AM27" s="16"/>
      <c r="AN27" s="17"/>
      <c r="AO27" s="16"/>
      <c r="AP27" s="16"/>
      <c r="AQ27" s="16"/>
      <c r="AR27" s="17"/>
      <c r="AS27" s="16"/>
      <c r="AT27" s="16"/>
      <c r="AU27" s="16"/>
      <c r="AV27" s="18"/>
      <c r="AW27" s="17"/>
      <c r="AX27" s="16"/>
      <c r="BA27" s="17"/>
    </row>
    <row r="28">
      <c r="A28" s="22" t="s">
        <v>38</v>
      </c>
      <c r="F28" s="13"/>
      <c r="K28" s="13"/>
      <c r="N28" s="20"/>
      <c r="O28" s="24"/>
      <c r="S28" s="15"/>
      <c r="X28" s="13"/>
      <c r="Y28" s="16"/>
      <c r="Z28" s="16"/>
      <c r="AA28" s="17"/>
      <c r="AB28" s="16"/>
      <c r="AC28" s="16"/>
      <c r="AD28" s="16"/>
      <c r="AE28" s="16"/>
      <c r="AF28" s="17"/>
      <c r="AG28" s="16"/>
      <c r="AH28" s="16"/>
      <c r="AI28" s="16"/>
      <c r="AJ28" s="17"/>
      <c r="AK28" s="16"/>
      <c r="AL28" s="16"/>
      <c r="AM28" s="16"/>
      <c r="AN28" s="17"/>
      <c r="AO28" s="16"/>
      <c r="AP28" s="16"/>
      <c r="AQ28" s="16"/>
      <c r="AR28" s="17"/>
      <c r="AS28" s="16"/>
      <c r="AT28" s="16"/>
      <c r="AU28" s="16"/>
      <c r="AV28" s="18"/>
      <c r="AW28" s="17"/>
      <c r="AX28" s="16"/>
      <c r="BA28" s="17"/>
    </row>
    <row r="29">
      <c r="A29" s="19" t="s">
        <v>39</v>
      </c>
      <c r="F29" s="13"/>
      <c r="K29" s="13"/>
      <c r="O29" s="31"/>
      <c r="P29" s="20"/>
      <c r="Q29" s="20"/>
      <c r="R29" s="20"/>
      <c r="S29" s="32"/>
      <c r="T29" s="20"/>
      <c r="U29" s="20"/>
      <c r="V29" s="20"/>
      <c r="W29" s="20"/>
      <c r="X29" s="31"/>
      <c r="Y29" s="33"/>
      <c r="Z29" s="33"/>
      <c r="AA29" s="34"/>
      <c r="AB29" s="33"/>
      <c r="AC29" s="33"/>
      <c r="AD29" s="33"/>
      <c r="AE29" s="33"/>
      <c r="AF29" s="34"/>
      <c r="AG29" s="33"/>
      <c r="AH29" s="33"/>
      <c r="AI29" s="33"/>
      <c r="AJ29" s="34"/>
      <c r="AK29" s="33"/>
      <c r="AL29" s="33"/>
      <c r="AM29" s="16"/>
      <c r="AN29" s="17"/>
      <c r="AO29" s="16"/>
      <c r="AP29" s="16"/>
      <c r="AQ29" s="16"/>
      <c r="AR29" s="17"/>
      <c r="AS29" s="16"/>
      <c r="AT29" s="16"/>
      <c r="AU29" s="16"/>
      <c r="AV29" s="16"/>
      <c r="AW29" s="17"/>
      <c r="AX29" s="16"/>
      <c r="BA29" s="17"/>
    </row>
    <row r="30">
      <c r="A30" s="22" t="s">
        <v>40</v>
      </c>
      <c r="F30" s="13"/>
      <c r="K30" s="13"/>
      <c r="O30" s="13"/>
      <c r="P30" s="23"/>
      <c r="S30" s="15"/>
      <c r="X30" s="13"/>
      <c r="Y30" s="16"/>
      <c r="Z30" s="16"/>
      <c r="AA30" s="17"/>
      <c r="AB30" s="16"/>
      <c r="AC30" s="16"/>
      <c r="AD30" s="16"/>
      <c r="AE30" s="16"/>
      <c r="AF30" s="17"/>
      <c r="AG30" s="16"/>
      <c r="AH30" s="16"/>
      <c r="AI30" s="16"/>
      <c r="AJ30" s="17"/>
      <c r="AK30" s="16"/>
      <c r="AL30" s="16"/>
      <c r="AM30" s="16"/>
      <c r="AN30" s="17"/>
      <c r="AO30" s="16"/>
      <c r="AP30" s="16"/>
      <c r="AQ30" s="16"/>
      <c r="AR30" s="17"/>
      <c r="AS30" s="16"/>
      <c r="AT30" s="16"/>
      <c r="AU30" s="16"/>
      <c r="AV30" s="18"/>
      <c r="AW30" s="17"/>
      <c r="AX30" s="16"/>
      <c r="BA30" s="17"/>
    </row>
    <row r="31">
      <c r="A31" s="22" t="s">
        <v>41</v>
      </c>
      <c r="F31" s="13"/>
      <c r="K31" s="13"/>
      <c r="O31" s="13"/>
      <c r="S31" s="15"/>
      <c r="X31" s="13"/>
      <c r="Y31" s="16"/>
      <c r="Z31" s="16"/>
      <c r="AA31" s="17"/>
      <c r="AB31" s="16"/>
      <c r="AC31" s="16"/>
      <c r="AD31" s="16"/>
      <c r="AE31" s="16"/>
      <c r="AF31" s="17"/>
      <c r="AG31" s="16"/>
      <c r="AH31" s="16"/>
      <c r="AI31" s="16"/>
      <c r="AJ31" s="17"/>
      <c r="AK31" s="16"/>
      <c r="AL31" s="16"/>
      <c r="AM31" s="16"/>
      <c r="AN31" s="17"/>
      <c r="AO31" s="16"/>
      <c r="AP31" s="16"/>
      <c r="AQ31" s="16"/>
      <c r="AR31" s="17"/>
      <c r="AS31" s="16"/>
      <c r="AT31" s="16"/>
      <c r="AU31" s="16"/>
      <c r="AV31" s="18"/>
      <c r="AW31" s="17"/>
      <c r="AX31" s="16"/>
      <c r="BA31" s="17"/>
    </row>
    <row r="32">
      <c r="A32" s="22" t="s">
        <v>42</v>
      </c>
      <c r="F32" s="13"/>
      <c r="K32" s="13"/>
      <c r="N32" s="23"/>
      <c r="O32" s="13"/>
      <c r="S32" s="15"/>
      <c r="X32" s="13"/>
      <c r="Y32" s="16"/>
      <c r="Z32" s="16"/>
      <c r="AA32" s="17"/>
      <c r="AB32" s="16"/>
      <c r="AC32" s="16"/>
      <c r="AD32" s="16"/>
      <c r="AE32" s="16"/>
      <c r="AF32" s="17"/>
      <c r="AG32" s="16"/>
      <c r="AH32" s="16"/>
      <c r="AI32" s="16"/>
      <c r="AJ32" s="17"/>
      <c r="AK32" s="16"/>
      <c r="AL32" s="16"/>
      <c r="AM32" s="16"/>
      <c r="AN32" s="17"/>
      <c r="AO32" s="16"/>
      <c r="AP32" s="16"/>
      <c r="AQ32" s="16"/>
      <c r="AR32" s="17"/>
      <c r="AS32" s="16"/>
      <c r="AT32" s="16"/>
      <c r="AU32" s="16"/>
      <c r="AV32" s="18"/>
      <c r="AW32" s="17"/>
      <c r="AX32" s="16"/>
      <c r="BA32" s="17"/>
    </row>
    <row r="33" ht="15.0" customHeight="1">
      <c r="A33" s="22" t="s">
        <v>43</v>
      </c>
      <c r="F33" s="13"/>
      <c r="K33" s="13"/>
      <c r="O33" s="24"/>
      <c r="P33" s="23"/>
      <c r="S33" s="15"/>
      <c r="X33" s="13"/>
      <c r="Y33" s="16"/>
      <c r="Z33" s="16"/>
      <c r="AA33" s="17"/>
      <c r="AB33" s="16"/>
      <c r="AC33" s="16"/>
      <c r="AD33" s="16"/>
      <c r="AE33" s="16"/>
      <c r="AF33" s="17"/>
      <c r="AG33" s="16"/>
      <c r="AH33" s="16"/>
      <c r="AI33" s="16"/>
      <c r="AJ33" s="17"/>
      <c r="AK33" s="16"/>
      <c r="AL33" s="16"/>
      <c r="AM33" s="16"/>
      <c r="AN33" s="17"/>
      <c r="AO33" s="16"/>
      <c r="AP33" s="16"/>
      <c r="AQ33" s="16"/>
      <c r="AR33" s="17"/>
      <c r="AS33" s="16"/>
      <c r="AT33" s="16"/>
      <c r="AU33" s="16"/>
      <c r="AV33" s="18"/>
      <c r="AW33" s="17"/>
      <c r="AX33" s="16"/>
      <c r="BA33" s="17"/>
    </row>
    <row r="34">
      <c r="A34" s="22" t="s">
        <v>44</v>
      </c>
      <c r="F34" s="13"/>
      <c r="K34" s="13"/>
      <c r="O34" s="13"/>
      <c r="P34" s="23"/>
      <c r="Q34" s="23"/>
      <c r="S34" s="15"/>
      <c r="X34" s="13"/>
      <c r="Y34" s="25"/>
      <c r="Z34" s="16"/>
      <c r="AA34" s="17"/>
      <c r="AB34" s="16"/>
      <c r="AC34" s="16"/>
      <c r="AD34" s="16"/>
      <c r="AE34" s="16"/>
      <c r="AF34" s="17"/>
      <c r="AG34" s="16"/>
      <c r="AH34" s="16"/>
      <c r="AI34" s="16"/>
      <c r="AJ34" s="17"/>
      <c r="AK34" s="16"/>
      <c r="AL34" s="16"/>
      <c r="AM34" s="16"/>
      <c r="AN34" s="17"/>
      <c r="AO34" s="16"/>
      <c r="AP34" s="16"/>
      <c r="AQ34" s="16"/>
      <c r="AR34" s="17"/>
      <c r="AS34" s="16"/>
      <c r="AT34" s="16"/>
      <c r="AU34" s="16"/>
      <c r="AV34" s="18"/>
      <c r="AW34" s="17"/>
      <c r="AX34" s="16"/>
      <c r="BA34" s="17"/>
    </row>
    <row r="35">
      <c r="A35" s="22" t="s">
        <v>45</v>
      </c>
      <c r="F35" s="13"/>
      <c r="K35" s="13"/>
      <c r="O35" s="13"/>
      <c r="P35" s="23"/>
      <c r="Q35" s="23"/>
      <c r="S35" s="15"/>
      <c r="X35" s="21"/>
      <c r="Y35" s="16"/>
      <c r="Z35" s="16"/>
      <c r="AA35" s="17"/>
      <c r="AB35" s="16"/>
      <c r="AC35" s="16"/>
      <c r="AD35" s="16"/>
      <c r="AE35" s="16"/>
      <c r="AF35" s="17"/>
      <c r="AG35" s="16"/>
      <c r="AH35" s="16"/>
      <c r="AI35" s="16"/>
      <c r="AJ35" s="17"/>
      <c r="AK35" s="13"/>
      <c r="AN35" s="15"/>
      <c r="AO35" s="16"/>
      <c r="AP35" s="16"/>
      <c r="AQ35" s="16"/>
      <c r="AR35" s="17"/>
      <c r="AS35" s="16"/>
      <c r="AT35" s="16"/>
      <c r="AU35" s="16"/>
      <c r="AV35" s="18"/>
      <c r="AW35" s="17"/>
      <c r="AX35" s="16"/>
      <c r="BA35" s="17"/>
    </row>
    <row r="36">
      <c r="A36" s="22" t="s">
        <v>46</v>
      </c>
      <c r="F36" s="13"/>
      <c r="K36" s="13"/>
      <c r="O36" s="13"/>
      <c r="R36" s="23"/>
      <c r="S36" s="35"/>
      <c r="X36" s="21"/>
      <c r="Y36" s="16"/>
      <c r="Z36" s="16"/>
      <c r="AA36" s="17"/>
      <c r="AB36" s="16"/>
      <c r="AC36" s="16"/>
      <c r="AG36" s="13"/>
      <c r="AK36" s="13"/>
      <c r="AN36" s="15"/>
      <c r="AO36" s="16"/>
      <c r="AP36" s="16"/>
      <c r="AQ36" s="16"/>
      <c r="AR36" s="17"/>
      <c r="AS36" s="16"/>
      <c r="AT36" s="16"/>
      <c r="AU36" s="16"/>
      <c r="AV36" s="18"/>
      <c r="AW36" s="17"/>
      <c r="AX36" s="16"/>
      <c r="BA36" s="17"/>
    </row>
    <row r="37">
      <c r="A37" s="22" t="s">
        <v>47</v>
      </c>
      <c r="F37" s="13"/>
      <c r="K37" s="13"/>
      <c r="O37" s="13"/>
      <c r="S37" s="35"/>
      <c r="T37" s="23"/>
      <c r="X37" s="21"/>
      <c r="Y37" s="16"/>
      <c r="Z37" s="16"/>
      <c r="AA37" s="17"/>
      <c r="AB37" s="16"/>
      <c r="AC37" s="16"/>
      <c r="AG37" s="13"/>
      <c r="AK37" s="13"/>
      <c r="AN37" s="15"/>
      <c r="AO37" s="16"/>
      <c r="AP37" s="16"/>
      <c r="AQ37" s="16"/>
      <c r="AR37" s="17"/>
      <c r="AS37" s="16"/>
      <c r="AT37" s="16"/>
      <c r="AU37" s="16"/>
      <c r="AV37" s="18"/>
      <c r="AW37" s="17"/>
      <c r="AX37" s="16"/>
      <c r="BA37" s="17"/>
    </row>
    <row r="38">
      <c r="A38" s="36" t="s">
        <v>48</v>
      </c>
      <c r="F38" s="13"/>
      <c r="K38" s="13"/>
      <c r="O38" s="13"/>
      <c r="S38" s="15"/>
      <c r="X38" s="21"/>
      <c r="AB38" s="16"/>
      <c r="AG38" s="13"/>
      <c r="AK38" s="13"/>
      <c r="AM38" s="20"/>
      <c r="AN38" s="32"/>
      <c r="AO38" s="33"/>
      <c r="AP38" s="20"/>
      <c r="AQ38" s="20"/>
      <c r="AR38" s="20"/>
      <c r="AS38" s="20"/>
      <c r="AT38" s="20"/>
      <c r="AU38" s="20"/>
      <c r="AV38" s="20"/>
      <c r="AW38" s="20"/>
      <c r="AX38" s="20"/>
      <c r="AY38" s="20"/>
    </row>
    <row r="39">
      <c r="A39" s="36" t="s">
        <v>49</v>
      </c>
      <c r="F39" s="13"/>
      <c r="K39" s="13"/>
      <c r="O39" s="13"/>
      <c r="S39" s="15"/>
      <c r="X39" s="21"/>
      <c r="AB39" s="21"/>
      <c r="AG39" s="13"/>
      <c r="AK39" s="13"/>
      <c r="AN39" s="15"/>
      <c r="AO39" s="21"/>
    </row>
    <row r="40">
      <c r="A40" s="37" t="s">
        <v>50</v>
      </c>
      <c r="F40" s="13"/>
      <c r="K40" s="13"/>
      <c r="O40" s="13"/>
      <c r="S40" s="15"/>
      <c r="X40" s="21"/>
      <c r="Y40" s="16"/>
      <c r="Z40" s="16"/>
      <c r="AA40" s="17"/>
      <c r="AG40" s="13"/>
      <c r="AK40" s="13"/>
      <c r="AN40" s="15"/>
      <c r="AO40" s="16"/>
      <c r="AP40" s="16"/>
      <c r="AQ40" s="16"/>
      <c r="AR40" s="17"/>
      <c r="AS40" s="16"/>
      <c r="AT40" s="16"/>
      <c r="AU40" s="16"/>
      <c r="AV40" s="18"/>
      <c r="AW40" s="17"/>
      <c r="AX40" s="16"/>
      <c r="BA40" s="17"/>
    </row>
    <row r="41">
      <c r="A41" s="37" t="s">
        <v>51</v>
      </c>
      <c r="F41" s="13"/>
      <c r="K41" s="13"/>
      <c r="O41" s="13"/>
      <c r="S41" s="15"/>
      <c r="X41" s="21"/>
      <c r="Y41" s="16"/>
      <c r="AA41" s="17"/>
      <c r="AG41" s="13"/>
      <c r="AK41" s="13"/>
      <c r="AN41" s="15"/>
      <c r="AO41" s="16"/>
      <c r="AP41" s="16"/>
      <c r="AQ41" s="16"/>
      <c r="AR41" s="17"/>
      <c r="AS41" s="16"/>
      <c r="AT41" s="16"/>
      <c r="AU41" s="16"/>
      <c r="AV41" s="18"/>
      <c r="AW41" s="17"/>
      <c r="AX41" s="16"/>
      <c r="BA41" s="17"/>
    </row>
    <row r="42">
      <c r="A42" s="37" t="s">
        <v>52</v>
      </c>
      <c r="F42" s="13"/>
      <c r="K42" s="13"/>
      <c r="O42" s="13"/>
      <c r="S42" s="15"/>
      <c r="X42" s="21"/>
      <c r="Y42" s="16"/>
      <c r="AA42" s="17"/>
      <c r="AG42" s="13"/>
      <c r="AK42" s="13"/>
      <c r="AN42" s="15"/>
      <c r="AO42" s="16"/>
      <c r="AP42" s="16"/>
      <c r="AQ42" s="16"/>
      <c r="AR42" s="17"/>
      <c r="AS42" s="16"/>
      <c r="AT42" s="16"/>
      <c r="AU42" s="16"/>
      <c r="AV42" s="18"/>
      <c r="AW42" s="17"/>
      <c r="AX42" s="16"/>
      <c r="BA42" s="17"/>
    </row>
    <row r="43">
      <c r="A43" s="37"/>
      <c r="F43" s="13"/>
      <c r="K43" s="13"/>
      <c r="O43" s="13"/>
      <c r="S43" s="15"/>
      <c r="X43" s="21"/>
      <c r="Y43" s="16"/>
      <c r="AA43" s="17"/>
      <c r="AG43" s="13"/>
      <c r="AK43" s="13"/>
      <c r="AN43" s="15"/>
      <c r="AO43" s="16"/>
      <c r="AP43" s="16"/>
      <c r="AQ43" s="16"/>
      <c r="AR43" s="17"/>
      <c r="AS43" s="16"/>
      <c r="AT43" s="16"/>
      <c r="AU43" s="16"/>
      <c r="AV43" s="18"/>
      <c r="AW43" s="17"/>
      <c r="AX43" s="16"/>
      <c r="BA43" s="17"/>
    </row>
    <row r="44">
      <c r="A44" s="37" t="s">
        <v>53</v>
      </c>
      <c r="F44" s="13"/>
      <c r="K44" s="13"/>
      <c r="O44" s="13"/>
      <c r="S44" s="15"/>
      <c r="X44" s="21"/>
      <c r="Y44" s="16"/>
      <c r="AA44" s="17"/>
      <c r="AG44" s="13"/>
      <c r="AK44" s="13"/>
      <c r="AN44" s="15"/>
      <c r="AO44" s="16"/>
      <c r="AP44" s="16"/>
      <c r="AQ44" s="16"/>
      <c r="AR44" s="17"/>
      <c r="AS44" s="16"/>
      <c r="AT44" s="16"/>
      <c r="AU44" s="16"/>
      <c r="AV44" s="18"/>
      <c r="AW44" s="17"/>
      <c r="AX44" s="16"/>
      <c r="BA44" s="17"/>
    </row>
    <row r="45">
      <c r="A45" s="37" t="s">
        <v>54</v>
      </c>
      <c r="F45" s="13"/>
      <c r="K45" s="13"/>
      <c r="O45" s="13"/>
      <c r="S45" s="15"/>
      <c r="X45" s="21"/>
      <c r="Y45" s="16"/>
      <c r="AA45" s="17"/>
      <c r="AG45" s="13"/>
      <c r="AK45" s="13"/>
      <c r="AN45" s="15"/>
      <c r="AO45" s="16"/>
      <c r="AP45" s="16"/>
      <c r="AQ45" s="16"/>
      <c r="AR45" s="17"/>
      <c r="AS45" s="16"/>
      <c r="AT45" s="16"/>
      <c r="AU45" s="16"/>
      <c r="AV45" s="18"/>
      <c r="AW45" s="17"/>
      <c r="AX45" s="16"/>
      <c r="BA45" s="17"/>
    </row>
    <row r="46">
      <c r="A46" s="37" t="s">
        <v>55</v>
      </c>
      <c r="F46" s="13"/>
      <c r="K46" s="13"/>
      <c r="O46" s="13"/>
      <c r="S46" s="15"/>
      <c r="X46" s="21"/>
      <c r="Y46" s="16"/>
      <c r="AA46" s="17"/>
      <c r="AG46" s="13"/>
      <c r="AK46" s="13"/>
      <c r="AN46" s="15"/>
      <c r="AO46" s="16"/>
      <c r="AP46" s="16"/>
      <c r="AQ46" s="16"/>
      <c r="AR46" s="17"/>
      <c r="AS46" s="16"/>
      <c r="AT46" s="16"/>
      <c r="AU46" s="16"/>
      <c r="AV46" s="18"/>
      <c r="AW46" s="17"/>
      <c r="AX46" s="16"/>
      <c r="BA46" s="17"/>
    </row>
    <row r="47">
      <c r="A47" s="37" t="s">
        <v>56</v>
      </c>
      <c r="F47" s="13"/>
      <c r="K47" s="13"/>
      <c r="O47" s="13"/>
      <c r="S47" s="15"/>
      <c r="X47" s="21"/>
      <c r="Y47" s="16"/>
      <c r="AA47" s="17"/>
      <c r="AG47" s="13"/>
      <c r="AK47" s="13"/>
      <c r="AN47" s="15"/>
      <c r="AO47" s="16"/>
      <c r="AP47" s="16"/>
      <c r="AQ47" s="16"/>
      <c r="AR47" s="17"/>
      <c r="AS47" s="16"/>
      <c r="AT47" s="16"/>
      <c r="AU47" s="16"/>
      <c r="AV47" s="18"/>
      <c r="AW47" s="17"/>
      <c r="AX47" s="16"/>
      <c r="BA47" s="17"/>
    </row>
    <row r="48">
      <c r="A48" s="37" t="s">
        <v>57</v>
      </c>
      <c r="F48" s="13"/>
      <c r="K48" s="13"/>
      <c r="O48" s="13"/>
      <c r="S48" s="15"/>
      <c r="X48" s="21"/>
      <c r="Y48" s="16"/>
      <c r="AA48" s="17"/>
      <c r="AG48" s="13"/>
      <c r="AK48" s="13"/>
      <c r="AN48" s="15"/>
      <c r="AO48" s="16"/>
      <c r="AP48" s="16"/>
      <c r="AQ48" s="16"/>
      <c r="AR48" s="17"/>
      <c r="AS48" s="16"/>
      <c r="AT48" s="16"/>
      <c r="AU48" s="16"/>
      <c r="AV48" s="18"/>
      <c r="AW48" s="17"/>
      <c r="AX48" s="16"/>
      <c r="BA48" s="17"/>
    </row>
    <row r="49">
      <c r="A49" s="37" t="s">
        <v>58</v>
      </c>
      <c r="F49" s="13"/>
      <c r="K49" s="13"/>
      <c r="O49" s="13"/>
      <c r="S49" s="15"/>
      <c r="X49" s="21"/>
      <c r="Y49" s="16"/>
      <c r="AA49" s="17"/>
      <c r="AG49" s="13"/>
      <c r="AK49" s="13"/>
      <c r="AN49" s="15"/>
      <c r="AO49" s="16"/>
      <c r="AP49" s="16"/>
      <c r="AQ49" s="16"/>
      <c r="AR49" s="17"/>
      <c r="AS49" s="16"/>
      <c r="AT49" s="16"/>
      <c r="AU49" s="16"/>
      <c r="AV49" s="18"/>
      <c r="AW49" s="17"/>
      <c r="AX49" s="16"/>
      <c r="BA49" s="17"/>
    </row>
    <row r="50">
      <c r="A50" s="37" t="s">
        <v>59</v>
      </c>
      <c r="F50" s="13"/>
      <c r="K50" s="13"/>
      <c r="O50" s="13"/>
      <c r="S50" s="15"/>
      <c r="X50" s="21"/>
      <c r="Y50" s="16"/>
      <c r="AA50" s="17"/>
      <c r="AG50" s="13"/>
      <c r="AK50" s="13"/>
      <c r="AN50" s="15"/>
      <c r="AO50" s="16"/>
      <c r="AP50" s="16"/>
      <c r="AQ50" s="16"/>
      <c r="AR50" s="17"/>
      <c r="AS50" s="16"/>
      <c r="AT50" s="16"/>
      <c r="AU50" s="16"/>
      <c r="AV50" s="18"/>
      <c r="AW50" s="17"/>
      <c r="AX50" s="16"/>
      <c r="BA50" s="17"/>
    </row>
    <row r="51">
      <c r="A51" s="37" t="s">
        <v>60</v>
      </c>
      <c r="F51" s="13"/>
      <c r="K51" s="13"/>
      <c r="O51" s="13"/>
      <c r="S51" s="15"/>
      <c r="X51" s="21"/>
      <c r="Y51" s="23"/>
      <c r="Z51" s="23"/>
      <c r="AA51" s="17"/>
      <c r="AG51" s="13"/>
      <c r="AK51" s="13"/>
      <c r="AN51" s="15"/>
      <c r="AO51" s="16"/>
      <c r="AP51" s="16"/>
      <c r="AQ51" s="16"/>
      <c r="AR51" s="17"/>
      <c r="AS51" s="16"/>
      <c r="AT51" s="16"/>
      <c r="AU51" s="16"/>
      <c r="AV51" s="18"/>
      <c r="AW51" s="17"/>
      <c r="AX51" s="16"/>
      <c r="BA51" s="17"/>
    </row>
    <row r="52">
      <c r="A52" s="37" t="s">
        <v>61</v>
      </c>
      <c r="F52" s="13"/>
      <c r="K52" s="13"/>
      <c r="O52" s="13"/>
      <c r="S52" s="15"/>
      <c r="X52" s="21"/>
      <c r="Y52" s="16"/>
      <c r="AA52" s="17"/>
      <c r="AG52" s="13"/>
      <c r="AK52" s="13"/>
      <c r="AN52" s="15"/>
      <c r="AO52" s="16"/>
      <c r="AP52" s="16"/>
      <c r="AQ52" s="16"/>
      <c r="AR52" s="17"/>
      <c r="AS52" s="16"/>
      <c r="AT52" s="16"/>
      <c r="AU52" s="16"/>
      <c r="AV52" s="18"/>
      <c r="AW52" s="17"/>
      <c r="AX52" s="16"/>
      <c r="BA52" s="17"/>
    </row>
    <row r="53">
      <c r="A53" s="37" t="s">
        <v>62</v>
      </c>
      <c r="F53" s="13"/>
      <c r="K53" s="13"/>
      <c r="O53" s="13"/>
      <c r="S53" s="15"/>
      <c r="X53" s="21"/>
      <c r="Y53" s="16"/>
      <c r="AA53" s="17"/>
      <c r="AG53" s="13"/>
      <c r="AK53" s="13"/>
      <c r="AN53" s="15"/>
      <c r="AO53" s="16"/>
      <c r="AP53" s="16"/>
      <c r="AQ53" s="16"/>
      <c r="AR53" s="17"/>
      <c r="AS53" s="16"/>
      <c r="AT53" s="16"/>
      <c r="AU53" s="16"/>
      <c r="AV53" s="18"/>
      <c r="AW53" s="17"/>
      <c r="AX53" s="16"/>
      <c r="BA53" s="17"/>
    </row>
    <row r="54">
      <c r="A54" s="37" t="s">
        <v>63</v>
      </c>
      <c r="F54" s="13"/>
      <c r="K54" s="13"/>
      <c r="O54" s="13"/>
      <c r="S54" s="15"/>
      <c r="X54" s="21"/>
      <c r="Y54" s="16"/>
      <c r="AA54" s="17"/>
      <c r="AG54" s="24"/>
      <c r="AH54" s="23"/>
      <c r="AI54" s="23"/>
      <c r="AK54" s="13"/>
      <c r="AN54" s="15"/>
      <c r="AO54" s="16"/>
      <c r="AP54" s="16"/>
      <c r="AQ54" s="16"/>
      <c r="AR54" s="17"/>
      <c r="AS54" s="16"/>
      <c r="AT54" s="16"/>
      <c r="AU54" s="16"/>
      <c r="AV54" s="18"/>
      <c r="AW54" s="17"/>
      <c r="AX54" s="16"/>
      <c r="BA54" s="17"/>
    </row>
    <row r="55">
      <c r="A55" s="37" t="s">
        <v>64</v>
      </c>
      <c r="F55" s="13"/>
      <c r="K55" s="13"/>
      <c r="O55" s="13"/>
      <c r="S55" s="15"/>
      <c r="X55" s="21"/>
      <c r="Y55" s="16"/>
      <c r="AA55" s="17"/>
      <c r="AG55" s="13"/>
      <c r="AK55" s="13"/>
      <c r="AN55" s="15"/>
      <c r="AO55" s="16"/>
      <c r="AP55" s="16"/>
      <c r="AQ55" s="16"/>
      <c r="AR55" s="17"/>
      <c r="AS55" s="16"/>
      <c r="AT55" s="16"/>
      <c r="AU55" s="16"/>
      <c r="AV55" s="18"/>
      <c r="AW55" s="17"/>
      <c r="AX55" s="16"/>
      <c r="BA55" s="17"/>
    </row>
    <row r="56">
      <c r="A56" s="37" t="s">
        <v>65</v>
      </c>
      <c r="F56" s="13"/>
      <c r="K56" s="13"/>
      <c r="O56" s="13"/>
      <c r="S56" s="15"/>
      <c r="X56" s="21"/>
      <c r="Y56" s="16"/>
      <c r="AA56" s="17"/>
      <c r="AG56" s="13"/>
      <c r="AK56" s="13"/>
      <c r="AN56" s="15"/>
      <c r="AO56" s="16"/>
      <c r="AP56" s="16"/>
      <c r="AQ56" s="16"/>
      <c r="AR56" s="17"/>
      <c r="AS56" s="16"/>
      <c r="AT56" s="16"/>
      <c r="AU56" s="16"/>
      <c r="AV56" s="18"/>
      <c r="AW56" s="17"/>
      <c r="AX56" s="16"/>
      <c r="BA56" s="17"/>
    </row>
    <row r="57">
      <c r="A57" s="37" t="s">
        <v>66</v>
      </c>
      <c r="F57" s="13"/>
      <c r="K57" s="13"/>
      <c r="O57" s="13"/>
      <c r="S57" s="15"/>
      <c r="X57" s="21"/>
      <c r="Y57" s="16"/>
      <c r="Z57" s="16"/>
      <c r="AA57" s="17"/>
      <c r="AG57" s="13"/>
      <c r="AK57" s="13"/>
      <c r="AN57" s="15"/>
      <c r="AO57" s="16"/>
      <c r="AP57" s="16"/>
      <c r="AQ57" s="16"/>
      <c r="AR57" s="17"/>
      <c r="AS57" s="16"/>
      <c r="AT57" s="16"/>
      <c r="AU57" s="16"/>
      <c r="AV57" s="18"/>
      <c r="AW57" s="17"/>
      <c r="AX57" s="16"/>
      <c r="BA57" s="17"/>
    </row>
    <row r="58">
      <c r="A58" s="37" t="s">
        <v>67</v>
      </c>
      <c r="F58" s="13"/>
      <c r="K58" s="13"/>
      <c r="O58" s="13"/>
      <c r="S58" s="15"/>
      <c r="X58" s="21"/>
      <c r="Y58" s="16"/>
      <c r="Z58" s="16"/>
      <c r="AA58" s="17"/>
      <c r="AE58" s="16"/>
      <c r="AF58" s="17"/>
      <c r="AG58" s="21"/>
      <c r="AK58" s="13"/>
      <c r="AN58" s="15"/>
      <c r="AO58" s="16"/>
      <c r="AP58" s="16"/>
      <c r="AQ58" s="16"/>
      <c r="AR58" s="17"/>
      <c r="AS58" s="16"/>
      <c r="AT58" s="16"/>
      <c r="AU58" s="16"/>
      <c r="AV58" s="18"/>
      <c r="AW58" s="17"/>
      <c r="AX58" s="16"/>
      <c r="BA58" s="17"/>
    </row>
    <row r="59">
      <c r="A59" s="37" t="s">
        <v>68</v>
      </c>
      <c r="F59" s="13"/>
      <c r="K59" s="13"/>
      <c r="O59" s="13"/>
      <c r="S59" s="15"/>
      <c r="X59" s="21"/>
      <c r="Y59" s="16"/>
      <c r="Z59" s="16"/>
      <c r="AA59" s="17"/>
      <c r="AE59" s="16"/>
      <c r="AF59" s="17"/>
      <c r="AG59" s="21"/>
      <c r="AJ59" s="38"/>
      <c r="AK59" s="13"/>
      <c r="AN59" s="15"/>
      <c r="AO59" s="16"/>
      <c r="AP59" s="16"/>
      <c r="AQ59" s="16"/>
      <c r="AR59" s="17"/>
      <c r="AS59" s="16"/>
      <c r="AT59" s="16"/>
      <c r="AU59" s="16"/>
      <c r="AV59" s="18"/>
      <c r="AW59" s="17"/>
      <c r="AX59" s="16"/>
      <c r="BA59" s="17"/>
    </row>
    <row r="60">
      <c r="A60" s="37" t="s">
        <v>69</v>
      </c>
      <c r="F60" s="13"/>
      <c r="K60" s="13"/>
      <c r="O60" s="13"/>
      <c r="S60" s="15"/>
      <c r="X60" s="21"/>
      <c r="Y60" s="16"/>
      <c r="Z60" s="16"/>
      <c r="AA60" s="17"/>
      <c r="AE60" s="16"/>
      <c r="AF60" s="17"/>
      <c r="AG60" s="21"/>
      <c r="AJ60" s="39"/>
      <c r="AK60" s="13"/>
      <c r="AN60" s="15"/>
      <c r="AO60" s="16"/>
      <c r="AP60" s="16"/>
      <c r="AQ60" s="16"/>
      <c r="AR60" s="17"/>
      <c r="AS60" s="16"/>
      <c r="AT60" s="16"/>
      <c r="AU60" s="16"/>
      <c r="AV60" s="18"/>
      <c r="AW60" s="17"/>
      <c r="AX60" s="16"/>
      <c r="BA60" s="17"/>
    </row>
    <row r="61">
      <c r="A61" s="37" t="s">
        <v>70</v>
      </c>
      <c r="F61" s="13"/>
      <c r="K61" s="13"/>
      <c r="O61" s="13"/>
      <c r="S61" s="15"/>
      <c r="X61" s="21"/>
      <c r="Y61" s="16"/>
      <c r="Z61" s="16"/>
      <c r="AA61" s="17"/>
      <c r="AE61" s="16"/>
      <c r="AF61" s="17"/>
      <c r="AG61" s="16"/>
      <c r="AJ61" s="17"/>
      <c r="AK61" s="13"/>
      <c r="AN61" s="15"/>
      <c r="AR61" s="15"/>
      <c r="AS61" s="16"/>
      <c r="AT61" s="16"/>
      <c r="AU61" s="16"/>
      <c r="AV61" s="18"/>
      <c r="AW61" s="17"/>
      <c r="AX61" s="16"/>
      <c r="BA61" s="17"/>
    </row>
    <row r="62">
      <c r="A62" s="37" t="s">
        <v>71</v>
      </c>
      <c r="F62" s="13"/>
      <c r="K62" s="13"/>
      <c r="O62" s="13"/>
      <c r="S62" s="15"/>
      <c r="X62" s="21"/>
      <c r="Y62" s="16"/>
      <c r="Z62" s="16"/>
      <c r="AA62" s="17"/>
      <c r="AE62" s="16"/>
      <c r="AF62" s="17"/>
      <c r="AG62" s="16"/>
      <c r="AH62" s="16"/>
      <c r="AI62" s="16"/>
      <c r="AJ62" s="17"/>
      <c r="AK62" s="13"/>
      <c r="AN62" s="15"/>
      <c r="AR62" s="15"/>
      <c r="AS62" s="16"/>
      <c r="AT62" s="16"/>
      <c r="AU62" s="16"/>
      <c r="AV62" s="18"/>
      <c r="AW62" s="17"/>
      <c r="AX62" s="16"/>
      <c r="BA62" s="17"/>
    </row>
    <row r="63">
      <c r="A63" s="37" t="s">
        <v>72</v>
      </c>
      <c r="F63" s="13"/>
      <c r="K63" s="13"/>
      <c r="O63" s="13"/>
      <c r="S63" s="15"/>
      <c r="X63" s="21"/>
      <c r="Y63" s="16"/>
      <c r="Z63" s="16"/>
      <c r="AA63" s="17"/>
      <c r="AD63" s="23"/>
      <c r="AE63" s="23"/>
      <c r="AF63" s="40"/>
      <c r="AG63" s="16"/>
      <c r="AH63" s="16"/>
      <c r="AI63" s="16"/>
      <c r="AJ63" s="17"/>
      <c r="AK63" s="13"/>
      <c r="AN63" s="15"/>
      <c r="AR63" s="15"/>
      <c r="AS63" s="16"/>
      <c r="AT63" s="16"/>
      <c r="AU63" s="16"/>
      <c r="AV63" s="18"/>
      <c r="AW63" s="17"/>
      <c r="AX63" s="16"/>
      <c r="BA63" s="17"/>
    </row>
    <row r="64">
      <c r="A64" s="37" t="s">
        <v>73</v>
      </c>
      <c r="F64" s="13"/>
      <c r="K64" s="13"/>
      <c r="O64" s="13"/>
      <c r="S64" s="15"/>
      <c r="X64" s="21"/>
      <c r="Y64" s="16"/>
      <c r="Z64" s="16"/>
      <c r="AA64" s="17"/>
      <c r="AE64" s="16"/>
      <c r="AF64" s="17"/>
      <c r="AG64" s="16"/>
      <c r="AH64" s="16"/>
      <c r="AI64" s="16"/>
      <c r="AJ64" s="17"/>
      <c r="AK64" s="13"/>
      <c r="AN64" s="15"/>
      <c r="AR64" s="15"/>
      <c r="AS64" s="16"/>
      <c r="AV64" s="18"/>
      <c r="AW64" s="17"/>
      <c r="AX64" s="16"/>
      <c r="BA64" s="17"/>
    </row>
    <row r="65">
      <c r="A65" s="36" t="s">
        <v>74</v>
      </c>
      <c r="F65" s="13"/>
      <c r="K65" s="13"/>
      <c r="O65" s="13"/>
      <c r="S65" s="15"/>
      <c r="X65" s="21"/>
      <c r="Y65" s="16"/>
      <c r="Z65" s="16"/>
      <c r="AA65" s="17"/>
      <c r="AE65" s="16"/>
      <c r="AF65" s="17"/>
      <c r="AG65" s="16"/>
      <c r="AH65" s="16"/>
      <c r="AI65" s="16"/>
      <c r="AJ65" s="17"/>
      <c r="AN65" s="15"/>
      <c r="AR65" s="15"/>
      <c r="AS65" s="16"/>
      <c r="AV65" s="18"/>
      <c r="AW65" s="17"/>
      <c r="AX65" s="16"/>
      <c r="BA65" s="17"/>
    </row>
    <row r="66">
      <c r="A66" s="41" t="s">
        <v>75</v>
      </c>
      <c r="F66" s="13"/>
      <c r="K66" s="13"/>
      <c r="O66" s="13"/>
      <c r="S66" s="15"/>
      <c r="X66" s="21"/>
      <c r="Y66" s="16"/>
      <c r="Z66" s="16"/>
      <c r="AA66" s="17"/>
      <c r="AE66" s="16"/>
      <c r="AF66" s="17"/>
      <c r="AG66" s="16"/>
      <c r="AH66" s="16"/>
      <c r="AI66" s="16"/>
      <c r="AJ66" s="17"/>
      <c r="AN66" s="15"/>
      <c r="AR66" s="15"/>
      <c r="AS66" s="16"/>
      <c r="AV66" s="18"/>
      <c r="AW66" s="17"/>
      <c r="AX66" s="16"/>
      <c r="BA66" s="17"/>
    </row>
    <row r="67">
      <c r="A67" s="41" t="s">
        <v>76</v>
      </c>
      <c r="F67" s="13"/>
      <c r="K67" s="13"/>
      <c r="O67" s="13"/>
      <c r="S67" s="15"/>
      <c r="X67" s="21"/>
      <c r="Y67" s="16"/>
      <c r="Z67" s="16"/>
      <c r="AA67" s="17"/>
      <c r="AE67" s="16"/>
      <c r="AF67" s="17"/>
      <c r="AG67" s="16"/>
      <c r="AH67" s="16"/>
      <c r="AI67" s="16"/>
      <c r="AJ67" s="17"/>
      <c r="AN67" s="15"/>
      <c r="AR67" s="15"/>
      <c r="AS67" s="16"/>
      <c r="AV67" s="18"/>
      <c r="AW67" s="17"/>
      <c r="AX67" s="16"/>
      <c r="BA67" s="17"/>
    </row>
    <row r="68">
      <c r="A68" s="41" t="s">
        <v>77</v>
      </c>
      <c r="F68" s="13"/>
      <c r="K68" s="13"/>
      <c r="O68" s="13"/>
      <c r="S68" s="15"/>
      <c r="X68" s="21"/>
      <c r="Y68" s="16"/>
      <c r="Z68" s="16"/>
      <c r="AA68" s="17"/>
      <c r="AE68" s="16"/>
      <c r="AF68" s="17"/>
      <c r="AG68" s="16"/>
      <c r="AH68" s="16"/>
      <c r="AI68" s="16"/>
      <c r="AJ68" s="17"/>
      <c r="AN68" s="15"/>
      <c r="AR68" s="15"/>
      <c r="AS68" s="16"/>
      <c r="AV68" s="18"/>
      <c r="AW68" s="17"/>
      <c r="AX68" s="16"/>
      <c r="BA68" s="17"/>
    </row>
    <row r="69">
      <c r="A69" s="41" t="s">
        <v>78</v>
      </c>
      <c r="F69" s="13"/>
      <c r="K69" s="13"/>
      <c r="O69" s="13"/>
      <c r="S69" s="15"/>
      <c r="X69" s="21"/>
      <c r="Y69" s="16"/>
      <c r="Z69" s="16"/>
      <c r="AA69" s="17"/>
      <c r="AE69" s="16"/>
      <c r="AF69" s="17"/>
      <c r="AG69" s="16"/>
      <c r="AH69" s="16"/>
      <c r="AI69" s="16"/>
      <c r="AJ69" s="17"/>
      <c r="AN69" s="15"/>
      <c r="AR69" s="15"/>
      <c r="AS69" s="16"/>
      <c r="AV69" s="18"/>
      <c r="AW69" s="17"/>
      <c r="AX69" s="16"/>
      <c r="BA69" s="17"/>
    </row>
    <row r="70">
      <c r="A70" s="41" t="s">
        <v>79</v>
      </c>
      <c r="F70" s="13"/>
      <c r="K70" s="13"/>
      <c r="O70" s="13"/>
      <c r="S70" s="15"/>
      <c r="X70" s="21"/>
      <c r="Y70" s="16"/>
      <c r="Z70" s="16"/>
      <c r="AA70" s="17"/>
      <c r="AE70" s="16"/>
      <c r="AF70" s="17"/>
      <c r="AG70" s="16"/>
      <c r="AH70" s="16"/>
      <c r="AI70" s="16"/>
      <c r="AJ70" s="17"/>
      <c r="AN70" s="15"/>
      <c r="AR70" s="15"/>
      <c r="AS70" s="16"/>
      <c r="AV70" s="18"/>
      <c r="AW70" s="17"/>
      <c r="AX70" s="16"/>
      <c r="BA70" s="17"/>
    </row>
    <row r="71">
      <c r="A71" s="37" t="s">
        <v>80</v>
      </c>
      <c r="F71" s="13"/>
      <c r="I71" s="23"/>
      <c r="K71" s="13"/>
      <c r="O71" s="13"/>
      <c r="S71" s="15"/>
      <c r="X71" s="21"/>
      <c r="Y71" s="16"/>
      <c r="Z71" s="16"/>
      <c r="AA71" s="17"/>
      <c r="AE71" s="16"/>
      <c r="AF71" s="17"/>
      <c r="AG71" s="16"/>
      <c r="AH71" s="16"/>
      <c r="AI71" s="16"/>
      <c r="AJ71" s="17"/>
      <c r="AN71" s="15"/>
      <c r="AR71" s="15"/>
      <c r="AS71" s="16"/>
      <c r="AV71" s="18"/>
      <c r="AW71" s="17"/>
      <c r="AX71" s="16"/>
      <c r="BA71" s="17"/>
    </row>
    <row r="72">
      <c r="A72" s="37" t="s">
        <v>81</v>
      </c>
      <c r="F72" s="13"/>
      <c r="K72" s="13"/>
      <c r="O72" s="13"/>
      <c r="S72" s="15"/>
      <c r="X72" s="21"/>
      <c r="Y72" s="16"/>
      <c r="Z72" s="16"/>
      <c r="AA72" s="17"/>
      <c r="AE72" s="16"/>
      <c r="AF72" s="17"/>
      <c r="AG72" s="16"/>
      <c r="AH72" s="16"/>
      <c r="AI72" s="16"/>
      <c r="AJ72" s="17"/>
      <c r="AN72" s="15"/>
      <c r="AR72" s="15"/>
      <c r="AS72" s="16"/>
      <c r="AV72" s="18"/>
      <c r="AW72" s="17"/>
      <c r="AX72" s="16"/>
      <c r="BA72" s="17"/>
    </row>
    <row r="73">
      <c r="A73" s="37" t="s">
        <v>82</v>
      </c>
      <c r="F73" s="13"/>
      <c r="K73" s="13"/>
      <c r="O73" s="13"/>
      <c r="S73" s="15"/>
      <c r="X73" s="21"/>
      <c r="Y73" s="16"/>
      <c r="Z73" s="16"/>
      <c r="AA73" s="17"/>
      <c r="AE73" s="16"/>
      <c r="AF73" s="17"/>
      <c r="AG73" s="16"/>
      <c r="AH73" s="16"/>
      <c r="AI73" s="16"/>
      <c r="AJ73" s="17"/>
      <c r="AN73" s="15"/>
      <c r="AR73" s="15"/>
      <c r="AV73" s="18"/>
      <c r="AW73" s="17"/>
      <c r="AX73" s="16"/>
      <c r="BA73" s="17"/>
    </row>
    <row r="74">
      <c r="A74" s="37" t="s">
        <v>83</v>
      </c>
      <c r="F74" s="13"/>
      <c r="K74" s="13"/>
      <c r="O74" s="13"/>
      <c r="S74" s="15"/>
      <c r="X74" s="21"/>
      <c r="Y74" s="16"/>
      <c r="Z74" s="16"/>
      <c r="AA74" s="17"/>
      <c r="AE74" s="16"/>
      <c r="AF74" s="17"/>
      <c r="AG74" s="16"/>
      <c r="AH74" s="16"/>
      <c r="AI74" s="16"/>
      <c r="AJ74" s="17"/>
      <c r="AN74" s="15"/>
      <c r="AR74" s="15"/>
      <c r="AV74" s="18"/>
      <c r="AW74" s="17"/>
      <c r="AX74" s="16"/>
      <c r="BA74" s="17"/>
    </row>
    <row r="75">
      <c r="A75" s="37" t="s">
        <v>84</v>
      </c>
      <c r="F75" s="13"/>
      <c r="K75" s="13"/>
      <c r="O75" s="13"/>
      <c r="S75" s="15"/>
      <c r="X75" s="21"/>
      <c r="Y75" s="16"/>
      <c r="Z75" s="16"/>
      <c r="AA75" s="17"/>
      <c r="AB75" s="16"/>
      <c r="AC75" s="16"/>
      <c r="AD75" s="16"/>
      <c r="AF75" s="17"/>
      <c r="AG75" s="16"/>
      <c r="AJ75" s="17"/>
      <c r="AN75" s="15"/>
      <c r="AR75" s="15"/>
      <c r="AS75" s="16"/>
      <c r="AV75" s="18"/>
      <c r="AW75" s="17"/>
      <c r="AX75" s="16"/>
      <c r="BA75" s="17"/>
    </row>
    <row r="76">
      <c r="A76" s="42" t="s">
        <v>85</v>
      </c>
      <c r="E76" s="35"/>
      <c r="F76" s="23"/>
      <c r="G76" s="23"/>
      <c r="H76" s="23"/>
      <c r="K76" s="13"/>
      <c r="O76" s="13"/>
      <c r="S76" s="15"/>
      <c r="X76" s="21"/>
      <c r="Y76" s="16"/>
      <c r="Z76" s="16"/>
      <c r="AA76" s="17"/>
      <c r="AB76" s="16"/>
      <c r="AC76" s="16"/>
      <c r="AD76" s="16"/>
      <c r="AE76" s="16"/>
      <c r="AF76" s="15"/>
      <c r="AJ76" s="17"/>
      <c r="AN76" s="15"/>
      <c r="AR76" s="15"/>
      <c r="AS76" s="16"/>
      <c r="AV76" s="18"/>
      <c r="AW76" s="17"/>
      <c r="AX76" s="16"/>
      <c r="BA76" s="17"/>
    </row>
    <row r="77">
      <c r="A77" s="37" t="s">
        <v>86</v>
      </c>
      <c r="E77" s="35"/>
      <c r="F77" s="23"/>
      <c r="G77" s="23"/>
      <c r="H77" s="23"/>
      <c r="K77" s="13"/>
      <c r="O77" s="13"/>
      <c r="S77" s="15"/>
      <c r="X77" s="21"/>
      <c r="Y77" s="16"/>
      <c r="Z77" s="16"/>
      <c r="AA77" s="17"/>
      <c r="AB77" s="16"/>
      <c r="AC77" s="16"/>
      <c r="AD77" s="16"/>
      <c r="AE77" s="16"/>
      <c r="AF77" s="17"/>
      <c r="AG77" s="16"/>
      <c r="AJ77" s="17"/>
      <c r="AN77" s="15"/>
      <c r="AR77" s="15"/>
      <c r="AS77" s="16"/>
      <c r="AT77" s="16"/>
      <c r="AU77" s="16"/>
      <c r="AV77" s="18"/>
      <c r="AW77" s="17"/>
      <c r="AX77" s="16"/>
      <c r="BA77" s="17"/>
    </row>
    <row r="78">
      <c r="A78" s="37" t="s">
        <v>87</v>
      </c>
      <c r="E78" s="15"/>
      <c r="F78" s="23"/>
      <c r="G78" s="23"/>
      <c r="H78" s="23"/>
      <c r="I78" s="23"/>
      <c r="J78" s="35"/>
      <c r="K78" s="23"/>
      <c r="L78" s="23"/>
      <c r="M78" s="23"/>
      <c r="O78" s="13"/>
      <c r="S78" s="15"/>
      <c r="X78" s="21"/>
      <c r="Y78" s="16"/>
      <c r="Z78" s="16"/>
      <c r="AA78" s="17"/>
      <c r="AB78" s="16"/>
      <c r="AC78" s="16"/>
      <c r="AD78" s="16"/>
      <c r="AE78" s="16"/>
      <c r="AF78" s="17"/>
      <c r="AJ78" s="15"/>
      <c r="AN78" s="15"/>
      <c r="AR78" s="15"/>
      <c r="AS78" s="16"/>
      <c r="AT78" s="16"/>
      <c r="AU78" s="16"/>
      <c r="AV78" s="18"/>
      <c r="AW78" s="17"/>
      <c r="AX78" s="16"/>
      <c r="BA78" s="17"/>
    </row>
    <row r="79">
      <c r="A79" s="37" t="s">
        <v>88</v>
      </c>
      <c r="E79" s="15"/>
      <c r="F79" s="23"/>
      <c r="G79" s="23"/>
      <c r="H79" s="23"/>
      <c r="I79" s="23"/>
      <c r="J79" s="35"/>
      <c r="K79" s="23"/>
      <c r="L79" s="23"/>
      <c r="M79" s="23"/>
      <c r="O79" s="13"/>
      <c r="S79" s="15"/>
      <c r="X79" s="21"/>
      <c r="Y79" s="16"/>
      <c r="Z79" s="16"/>
      <c r="AA79" s="17"/>
      <c r="AB79" s="16"/>
      <c r="AC79" s="16"/>
      <c r="AD79" s="16"/>
      <c r="AE79" s="16"/>
      <c r="AF79" s="17"/>
      <c r="AJ79" s="15"/>
      <c r="AN79" s="15"/>
      <c r="AR79" s="15"/>
      <c r="AS79" s="16"/>
      <c r="AT79" s="16"/>
      <c r="AU79" s="16"/>
      <c r="AV79" s="18"/>
      <c r="AW79" s="17"/>
      <c r="AX79" s="16"/>
      <c r="BA79" s="17"/>
    </row>
    <row r="80">
      <c r="A80" s="37" t="s">
        <v>89</v>
      </c>
      <c r="E80" s="35"/>
      <c r="F80" s="23"/>
      <c r="G80" s="23"/>
      <c r="H80" s="23"/>
      <c r="J80" s="15"/>
      <c r="K80" s="13"/>
      <c r="O80" s="13"/>
      <c r="S80" s="15"/>
      <c r="X80" s="21"/>
      <c r="Y80" s="16"/>
      <c r="Z80" s="16"/>
      <c r="AA80" s="17"/>
      <c r="AB80" s="16"/>
      <c r="AC80" s="16"/>
      <c r="AD80" s="16"/>
      <c r="AE80" s="16"/>
      <c r="AF80" s="17"/>
      <c r="AG80" s="16"/>
      <c r="AJ80" s="17"/>
      <c r="AN80" s="15"/>
      <c r="AR80" s="15"/>
      <c r="AS80" s="16"/>
      <c r="AT80" s="16"/>
      <c r="AU80" s="16"/>
      <c r="AV80" s="18"/>
      <c r="AW80" s="17"/>
      <c r="AX80" s="16"/>
      <c r="BA80" s="17"/>
    </row>
    <row r="81">
      <c r="A81" s="37" t="s">
        <v>90</v>
      </c>
      <c r="E81" s="35"/>
      <c r="F81" s="23"/>
      <c r="G81" s="23"/>
      <c r="H81" s="23"/>
      <c r="I81" s="23"/>
      <c r="J81" s="15"/>
      <c r="K81" s="13"/>
      <c r="O81" s="13"/>
      <c r="S81" s="15"/>
      <c r="X81" s="21"/>
      <c r="Y81" s="16"/>
      <c r="Z81" s="16"/>
      <c r="AA81" s="17"/>
      <c r="AB81" s="16"/>
      <c r="AC81" s="16"/>
      <c r="AD81" s="16"/>
      <c r="AE81" s="16"/>
      <c r="AF81" s="17"/>
      <c r="AG81" s="16"/>
      <c r="AJ81" s="17"/>
      <c r="AN81" s="15"/>
      <c r="AR81" s="15"/>
      <c r="AS81" s="16"/>
      <c r="AT81" s="16"/>
      <c r="AU81" s="16"/>
      <c r="AV81" s="18"/>
      <c r="AW81" s="17"/>
      <c r="AX81" s="16"/>
      <c r="BA81" s="17"/>
    </row>
    <row r="82">
      <c r="A82" s="37" t="s">
        <v>91</v>
      </c>
      <c r="E82" s="15"/>
      <c r="F82" s="13"/>
      <c r="G82" s="23"/>
      <c r="H82" s="23"/>
      <c r="I82" s="23"/>
      <c r="J82" s="35"/>
      <c r="K82" s="13"/>
      <c r="O82" s="13"/>
      <c r="S82" s="15"/>
      <c r="X82" s="21"/>
      <c r="Y82" s="16"/>
      <c r="Z82" s="16"/>
      <c r="AA82" s="17"/>
      <c r="AB82" s="16"/>
      <c r="AC82" s="16"/>
      <c r="AD82" s="16"/>
      <c r="AE82" s="16"/>
      <c r="AF82" s="17"/>
      <c r="AG82" s="16"/>
      <c r="AJ82" s="17"/>
      <c r="AN82" s="15"/>
      <c r="AR82" s="15"/>
      <c r="AS82" s="16"/>
      <c r="AT82" s="16"/>
      <c r="AU82" s="16"/>
      <c r="AV82" s="18"/>
      <c r="AW82" s="17"/>
      <c r="AX82" s="16"/>
      <c r="BA82" s="17"/>
    </row>
    <row r="83">
      <c r="A83" s="37" t="s">
        <v>92</v>
      </c>
      <c r="E83" s="15"/>
      <c r="F83" s="13"/>
      <c r="G83" s="23"/>
      <c r="H83" s="23"/>
      <c r="I83" s="23"/>
      <c r="J83" s="35"/>
      <c r="K83" s="13"/>
      <c r="O83" s="13"/>
      <c r="S83" s="15"/>
      <c r="X83" s="21"/>
      <c r="Y83" s="16"/>
      <c r="Z83" s="16"/>
      <c r="AA83" s="17"/>
      <c r="AB83" s="16"/>
      <c r="AC83" s="16"/>
      <c r="AD83" s="16"/>
      <c r="AE83" s="16"/>
      <c r="AF83" s="17"/>
      <c r="AG83" s="16"/>
      <c r="AJ83" s="17"/>
      <c r="AN83" s="15"/>
      <c r="AR83" s="15"/>
      <c r="AS83" s="16"/>
      <c r="AT83" s="16"/>
      <c r="AU83" s="16"/>
      <c r="AV83" s="18"/>
      <c r="AW83" s="17"/>
      <c r="AX83" s="16"/>
      <c r="BA83" s="17"/>
    </row>
    <row r="84">
      <c r="A84" s="37" t="s">
        <v>93</v>
      </c>
      <c r="E84" s="15"/>
      <c r="F84" s="13"/>
      <c r="J84" s="35"/>
      <c r="K84" s="13"/>
      <c r="O84" s="13"/>
      <c r="S84" s="15"/>
      <c r="X84" s="21"/>
      <c r="Y84" s="16"/>
      <c r="Z84" s="16"/>
      <c r="AA84" s="17"/>
      <c r="AB84" s="16"/>
      <c r="AC84" s="16"/>
      <c r="AD84" s="16"/>
      <c r="AE84" s="16"/>
      <c r="AF84" s="17"/>
      <c r="AG84" s="16"/>
      <c r="AJ84" s="17"/>
      <c r="AN84" s="15"/>
      <c r="AR84" s="15"/>
      <c r="AS84" s="16"/>
      <c r="AT84" s="16"/>
      <c r="AU84" s="16"/>
      <c r="AV84" s="18"/>
      <c r="AW84" s="17"/>
      <c r="AX84" s="16"/>
      <c r="BA84" s="17"/>
    </row>
    <row r="85">
      <c r="A85" s="43" t="s">
        <v>94</v>
      </c>
      <c r="E85" s="15"/>
      <c r="F85" s="13"/>
      <c r="J85" s="35"/>
      <c r="K85" s="23"/>
      <c r="O85" s="13"/>
      <c r="S85" s="15"/>
      <c r="X85" s="21"/>
      <c r="Y85" s="16"/>
      <c r="Z85" s="16"/>
      <c r="AA85" s="17"/>
      <c r="AB85" s="16"/>
      <c r="AC85" s="16"/>
      <c r="AD85" s="16"/>
      <c r="AE85" s="16"/>
      <c r="AF85" s="17"/>
      <c r="AG85" s="16"/>
      <c r="AH85" s="16"/>
      <c r="AI85" s="16"/>
      <c r="AJ85" s="17"/>
      <c r="AN85" s="15"/>
      <c r="AR85" s="15"/>
      <c r="AS85" s="16"/>
      <c r="AT85" s="16"/>
      <c r="AU85" s="16"/>
      <c r="AV85" s="18"/>
      <c r="AW85" s="17"/>
      <c r="AX85" s="16"/>
      <c r="BA85" s="17"/>
    </row>
    <row r="86">
      <c r="A86" s="37" t="s">
        <v>95</v>
      </c>
      <c r="E86" s="35"/>
      <c r="F86" s="23"/>
      <c r="G86" s="23"/>
      <c r="H86" s="23"/>
      <c r="I86" s="23"/>
      <c r="J86" s="35"/>
      <c r="K86" s="23"/>
      <c r="L86" s="23"/>
      <c r="M86" s="23"/>
      <c r="O86" s="13"/>
      <c r="S86" s="15"/>
      <c r="X86" s="21"/>
      <c r="Y86" s="16"/>
      <c r="Z86" s="16"/>
      <c r="AA86" s="17"/>
      <c r="AB86" s="16"/>
      <c r="AC86" s="16"/>
      <c r="AD86" s="16"/>
      <c r="AE86" s="16"/>
      <c r="AF86" s="17"/>
      <c r="AG86" s="16"/>
      <c r="AH86" s="16"/>
      <c r="AI86" s="16"/>
      <c r="AJ86" s="17"/>
      <c r="AN86" s="15"/>
      <c r="AR86" s="15"/>
      <c r="AS86" s="16"/>
      <c r="AT86" s="16"/>
      <c r="AU86" s="16"/>
      <c r="AV86" s="18"/>
      <c r="AW86" s="17"/>
      <c r="AX86" s="16"/>
      <c r="BA86" s="17"/>
    </row>
    <row r="87">
      <c r="A87" s="37" t="s">
        <v>96</v>
      </c>
      <c r="F87" s="13"/>
      <c r="K87" s="13"/>
      <c r="O87" s="13"/>
      <c r="S87" s="15"/>
      <c r="X87" s="21"/>
      <c r="Y87" s="16"/>
      <c r="Z87" s="16"/>
      <c r="AA87" s="17"/>
      <c r="AB87" s="16"/>
      <c r="AC87" s="16"/>
      <c r="AD87" s="16"/>
      <c r="AE87" s="16"/>
      <c r="AF87" s="17"/>
      <c r="AG87" s="16"/>
      <c r="AH87" s="16"/>
      <c r="AI87" s="16"/>
      <c r="AJ87" s="17"/>
      <c r="AN87" s="15"/>
      <c r="AR87" s="15"/>
      <c r="AS87" s="16"/>
      <c r="AT87" s="16"/>
      <c r="AU87" s="16"/>
      <c r="AV87" s="18"/>
      <c r="AW87" s="17"/>
      <c r="AX87" s="16"/>
      <c r="BA87" s="17"/>
    </row>
    <row r="88">
      <c r="A88" s="37" t="s">
        <v>97</v>
      </c>
      <c r="F88" s="13"/>
      <c r="K88" s="13"/>
      <c r="O88" s="13"/>
      <c r="Q88" s="23"/>
      <c r="S88" s="15"/>
      <c r="X88" s="21"/>
      <c r="Y88" s="16"/>
      <c r="Z88" s="16"/>
      <c r="AA88" s="17"/>
      <c r="AB88" s="16"/>
      <c r="AC88" s="16"/>
      <c r="AD88" s="16"/>
      <c r="AE88" s="16"/>
      <c r="AF88" s="17"/>
      <c r="AG88" s="16"/>
      <c r="AH88" s="16"/>
      <c r="AI88" s="16"/>
      <c r="AJ88" s="17"/>
      <c r="AN88" s="15"/>
      <c r="AR88" s="15"/>
      <c r="AS88" s="16"/>
      <c r="AT88" s="16"/>
      <c r="AU88" s="16"/>
      <c r="AV88" s="18"/>
      <c r="AW88" s="17"/>
      <c r="AX88" s="16"/>
      <c r="BA88" s="17"/>
    </row>
    <row r="89">
      <c r="A89" s="37" t="s">
        <v>98</v>
      </c>
      <c r="F89" s="13"/>
      <c r="K89" s="13"/>
      <c r="O89" s="13"/>
      <c r="Q89" s="23"/>
      <c r="S89" s="15"/>
      <c r="X89" s="21"/>
      <c r="Y89" s="16"/>
      <c r="Z89" s="16"/>
      <c r="AA89" s="17"/>
      <c r="AB89" s="16"/>
      <c r="AC89" s="16"/>
      <c r="AD89" s="16"/>
      <c r="AE89" s="16"/>
      <c r="AF89" s="17"/>
      <c r="AG89" s="16"/>
      <c r="AH89" s="16"/>
      <c r="AI89" s="16"/>
      <c r="AJ89" s="17"/>
      <c r="AN89" s="15"/>
      <c r="AR89" s="15"/>
      <c r="AS89" s="16"/>
      <c r="AT89" s="16"/>
      <c r="AU89" s="16"/>
      <c r="AV89" s="18"/>
      <c r="AW89" s="17"/>
      <c r="AX89" s="16"/>
      <c r="BA89" s="17"/>
    </row>
    <row r="90">
      <c r="A90" s="37" t="s">
        <v>99</v>
      </c>
      <c r="F90" s="13"/>
      <c r="K90" s="13"/>
      <c r="N90" s="15"/>
      <c r="R90" s="23"/>
      <c r="S90" s="15"/>
      <c r="X90" s="21"/>
      <c r="Y90" s="16"/>
      <c r="Z90" s="16"/>
      <c r="AA90" s="17"/>
      <c r="AB90" s="16"/>
      <c r="AC90" s="16"/>
      <c r="AD90" s="16"/>
      <c r="AE90" s="16"/>
      <c r="AF90" s="17"/>
      <c r="AG90" s="16"/>
      <c r="AH90" s="16"/>
      <c r="AI90" s="16"/>
      <c r="AJ90" s="17"/>
      <c r="AN90" s="15"/>
      <c r="AR90" s="15"/>
      <c r="AS90" s="16"/>
      <c r="AT90" s="16"/>
      <c r="AU90" s="16"/>
      <c r="AV90" s="18"/>
      <c r="AW90" s="17"/>
      <c r="AX90" s="16"/>
      <c r="BA90" s="17"/>
    </row>
    <row r="91">
      <c r="A91" s="37" t="s">
        <v>100</v>
      </c>
      <c r="F91" s="13"/>
      <c r="K91" s="13"/>
      <c r="N91" s="35"/>
      <c r="O91" s="23"/>
      <c r="P91" s="23"/>
      <c r="Q91" s="23"/>
      <c r="R91" s="23"/>
      <c r="S91" s="35"/>
      <c r="T91" s="23"/>
      <c r="U91" s="23"/>
      <c r="V91" s="23"/>
      <c r="W91" s="35"/>
      <c r="X91" s="23"/>
      <c r="Y91" s="23"/>
      <c r="Z91" s="23"/>
      <c r="AA91" s="35"/>
      <c r="AB91" s="16"/>
      <c r="AC91" s="16"/>
      <c r="AD91" s="16"/>
      <c r="AE91" s="16"/>
      <c r="AF91" s="17"/>
      <c r="AG91" s="16"/>
      <c r="AH91" s="16"/>
      <c r="AI91" s="16"/>
      <c r="AJ91" s="17"/>
      <c r="AN91" s="15"/>
      <c r="AR91" s="15"/>
      <c r="AS91" s="16"/>
      <c r="AT91" s="16"/>
      <c r="AU91" s="16"/>
      <c r="AV91" s="18"/>
      <c r="AW91" s="17"/>
      <c r="AX91" s="16"/>
      <c r="BA91" s="17"/>
    </row>
    <row r="92">
      <c r="A92" s="37" t="s">
        <v>101</v>
      </c>
      <c r="F92" s="13"/>
      <c r="G92" s="23"/>
      <c r="H92" s="23"/>
      <c r="I92" s="23"/>
      <c r="J92" s="23"/>
      <c r="K92" s="13"/>
      <c r="N92" s="15"/>
      <c r="S92" s="15"/>
      <c r="X92" s="21"/>
      <c r="Y92" s="16"/>
      <c r="Z92" s="16"/>
      <c r="AA92" s="17"/>
      <c r="AB92" s="16"/>
      <c r="AC92" s="16"/>
      <c r="AD92" s="16"/>
      <c r="AE92" s="16"/>
      <c r="AF92" s="17"/>
      <c r="AG92" s="16"/>
      <c r="AH92" s="16"/>
      <c r="AI92" s="16"/>
      <c r="AJ92" s="17"/>
      <c r="AN92" s="15"/>
      <c r="AR92" s="15"/>
      <c r="AS92" s="16"/>
      <c r="AT92" s="16"/>
      <c r="AU92" s="16"/>
      <c r="AV92" s="18"/>
      <c r="AW92" s="17"/>
      <c r="AX92" s="16"/>
      <c r="BA92" s="17"/>
    </row>
    <row r="93">
      <c r="A93" s="37" t="s">
        <v>102</v>
      </c>
      <c r="F93" s="13"/>
      <c r="K93" s="13"/>
      <c r="N93" s="15"/>
      <c r="S93" s="15"/>
      <c r="X93" s="21"/>
      <c r="Y93" s="16"/>
      <c r="Z93" s="16"/>
      <c r="AA93" s="17"/>
      <c r="AB93" s="16"/>
      <c r="AC93" s="16"/>
      <c r="AD93" s="16"/>
      <c r="AE93" s="16"/>
      <c r="AF93" s="17"/>
      <c r="AG93" s="16"/>
      <c r="AH93" s="16"/>
      <c r="AI93" s="16"/>
      <c r="AJ93" s="17"/>
      <c r="AN93" s="15"/>
      <c r="AR93" s="15"/>
      <c r="AS93" s="16"/>
      <c r="AT93" s="16"/>
      <c r="AU93" s="16"/>
      <c r="AV93" s="18"/>
      <c r="AW93" s="17"/>
      <c r="AX93" s="16"/>
      <c r="BA93" s="17"/>
    </row>
    <row r="94">
      <c r="A94" s="37" t="s">
        <v>103</v>
      </c>
      <c r="F94" s="13"/>
      <c r="K94" s="13"/>
      <c r="N94" s="15"/>
      <c r="S94" s="15"/>
      <c r="X94" s="21"/>
      <c r="Y94" s="16"/>
      <c r="Z94" s="16"/>
      <c r="AA94" s="17"/>
      <c r="AB94" s="16"/>
      <c r="AC94" s="16"/>
      <c r="AD94" s="16"/>
      <c r="AE94" s="16"/>
      <c r="AF94" s="17"/>
      <c r="AG94" s="16"/>
      <c r="AH94" s="16"/>
      <c r="AI94" s="16"/>
      <c r="AJ94" s="17"/>
      <c r="AN94" s="15"/>
      <c r="AR94" s="15"/>
      <c r="AS94" s="16"/>
      <c r="AT94" s="16"/>
      <c r="AU94" s="16"/>
      <c r="AV94" s="18"/>
      <c r="AW94" s="17"/>
      <c r="AX94" s="16"/>
      <c r="BA94" s="17"/>
    </row>
    <row r="95">
      <c r="A95" s="37" t="s">
        <v>104</v>
      </c>
      <c r="F95" s="13"/>
      <c r="K95" s="13"/>
      <c r="N95" s="15"/>
      <c r="S95" s="15"/>
      <c r="X95" s="21"/>
      <c r="Y95" s="16"/>
      <c r="Z95" s="16"/>
      <c r="AA95" s="17"/>
      <c r="AB95" s="16"/>
      <c r="AC95" s="16"/>
      <c r="AD95" s="16"/>
      <c r="AE95" s="16"/>
      <c r="AF95" s="17"/>
      <c r="AG95" s="16"/>
      <c r="AH95" s="16"/>
      <c r="AI95" s="16"/>
      <c r="AJ95" s="17"/>
      <c r="AN95" s="15"/>
      <c r="AR95" s="15"/>
      <c r="AS95" s="16"/>
      <c r="AT95" s="16"/>
      <c r="AU95" s="16"/>
      <c r="AV95" s="18"/>
      <c r="AW95" s="17"/>
      <c r="AX95" s="16"/>
      <c r="BA95" s="17"/>
    </row>
    <row r="96">
      <c r="A96" s="37" t="s">
        <v>105</v>
      </c>
      <c r="F96" s="13"/>
      <c r="K96" s="13"/>
      <c r="L96" s="23"/>
      <c r="M96" s="23"/>
      <c r="N96" s="15"/>
      <c r="S96" s="15"/>
      <c r="X96" s="21"/>
      <c r="Y96" s="16"/>
      <c r="Z96" s="16"/>
      <c r="AA96" s="17"/>
      <c r="AB96" s="16"/>
      <c r="AC96" s="16"/>
      <c r="AD96" s="16"/>
      <c r="AE96" s="16"/>
      <c r="AF96" s="17"/>
      <c r="AG96" s="16"/>
      <c r="AH96" s="16"/>
      <c r="AI96" s="16"/>
      <c r="AJ96" s="17"/>
      <c r="AN96" s="15"/>
      <c r="AR96" s="15"/>
      <c r="AS96" s="16"/>
      <c r="AT96" s="16"/>
      <c r="AU96" s="16"/>
      <c r="AV96" s="18"/>
      <c r="AW96" s="17"/>
      <c r="AX96" s="16"/>
      <c r="BA96" s="17"/>
    </row>
    <row r="97">
      <c r="A97" s="37" t="s">
        <v>106</v>
      </c>
      <c r="F97" s="13"/>
      <c r="K97" s="13"/>
      <c r="N97" s="35"/>
      <c r="O97" s="23"/>
      <c r="S97" s="15"/>
      <c r="X97" s="21"/>
      <c r="Y97" s="16"/>
      <c r="Z97" s="16"/>
      <c r="AA97" s="17"/>
      <c r="AB97" s="16"/>
      <c r="AC97" s="16"/>
      <c r="AD97" s="16"/>
      <c r="AE97" s="16"/>
      <c r="AF97" s="17"/>
      <c r="AG97" s="16"/>
      <c r="AH97" s="16"/>
      <c r="AI97" s="16"/>
      <c r="AJ97" s="17"/>
      <c r="AN97" s="15"/>
      <c r="AR97" s="15"/>
      <c r="AS97" s="16"/>
      <c r="AT97" s="16"/>
      <c r="AU97" s="16"/>
      <c r="AV97" s="18"/>
      <c r="AW97" s="17"/>
      <c r="AX97" s="16"/>
      <c r="BA97" s="17"/>
    </row>
    <row r="98">
      <c r="A98" s="37" t="s">
        <v>107</v>
      </c>
      <c r="F98" s="13"/>
      <c r="K98" s="13"/>
      <c r="N98" s="15"/>
      <c r="O98" s="23"/>
      <c r="P98" s="23"/>
      <c r="Q98" s="23"/>
      <c r="S98" s="15"/>
      <c r="X98" s="21"/>
      <c r="Y98" s="16"/>
      <c r="Z98" s="16"/>
      <c r="AA98" s="17"/>
      <c r="AB98" s="16"/>
      <c r="AC98" s="16"/>
      <c r="AD98" s="16"/>
      <c r="AE98" s="16"/>
      <c r="AF98" s="17"/>
      <c r="AG98" s="16"/>
      <c r="AH98" s="16"/>
      <c r="AI98" s="16"/>
      <c r="AJ98" s="17"/>
      <c r="AN98" s="15"/>
      <c r="AR98" s="15"/>
      <c r="AS98" s="16"/>
      <c r="AT98" s="16"/>
      <c r="AU98" s="16"/>
      <c r="AV98" s="18"/>
      <c r="AW98" s="17"/>
      <c r="AX98" s="16"/>
      <c r="BA98" s="17"/>
    </row>
    <row r="99">
      <c r="A99" s="37" t="s">
        <v>108</v>
      </c>
      <c r="F99" s="13"/>
      <c r="K99" s="13"/>
      <c r="N99" s="35"/>
      <c r="O99" s="23"/>
      <c r="S99" s="15"/>
      <c r="X99" s="21"/>
      <c r="Y99" s="16"/>
      <c r="Z99" s="16"/>
      <c r="AA99" s="17"/>
      <c r="AB99" s="16"/>
      <c r="AC99" s="16"/>
      <c r="AD99" s="16"/>
      <c r="AE99" s="16"/>
      <c r="AF99" s="17"/>
      <c r="AG99" s="16"/>
      <c r="AH99" s="16"/>
      <c r="AI99" s="16"/>
      <c r="AJ99" s="17"/>
      <c r="AN99" s="15"/>
      <c r="AR99" s="15"/>
      <c r="AS99" s="16"/>
      <c r="AT99" s="16"/>
      <c r="AU99" s="16"/>
      <c r="AV99" s="18"/>
      <c r="AW99" s="17"/>
      <c r="AX99" s="16"/>
      <c r="BA99" s="17"/>
    </row>
    <row r="100">
      <c r="A100" s="37" t="s">
        <v>109</v>
      </c>
      <c r="F100" s="13"/>
      <c r="K100" s="13"/>
      <c r="N100" s="15"/>
      <c r="O100" s="23"/>
      <c r="P100" s="23"/>
      <c r="Q100" s="23"/>
      <c r="S100" s="15"/>
      <c r="X100" s="21"/>
      <c r="Y100" s="16"/>
      <c r="Z100" s="16"/>
      <c r="AA100" s="17"/>
      <c r="AB100" s="16"/>
      <c r="AC100" s="16"/>
      <c r="AD100" s="16"/>
      <c r="AE100" s="16"/>
      <c r="AF100" s="17"/>
      <c r="AG100" s="16"/>
      <c r="AH100" s="16"/>
      <c r="AI100" s="16"/>
      <c r="AJ100" s="17"/>
      <c r="AN100" s="15"/>
      <c r="AR100" s="15"/>
      <c r="AS100" s="16"/>
      <c r="AT100" s="16"/>
      <c r="AU100" s="16"/>
      <c r="AV100" s="18"/>
      <c r="AW100" s="17"/>
      <c r="AX100" s="16"/>
      <c r="BA100" s="17"/>
    </row>
    <row r="101">
      <c r="A101" s="37" t="s">
        <v>110</v>
      </c>
      <c r="F101" s="13"/>
      <c r="K101" s="13"/>
      <c r="N101" s="15"/>
      <c r="P101" s="23"/>
      <c r="Q101" s="23"/>
      <c r="R101" s="23"/>
      <c r="S101" s="15"/>
      <c r="X101" s="21"/>
      <c r="Y101" s="16"/>
      <c r="Z101" s="16"/>
      <c r="AA101" s="17"/>
      <c r="AB101" s="16"/>
      <c r="AC101" s="16"/>
      <c r="AD101" s="16"/>
      <c r="AE101" s="16"/>
      <c r="AF101" s="17"/>
      <c r="AG101" s="16"/>
      <c r="AH101" s="16"/>
      <c r="AI101" s="16"/>
      <c r="AJ101" s="17"/>
      <c r="AN101" s="15"/>
      <c r="AR101" s="15"/>
      <c r="AS101" s="16"/>
      <c r="AT101" s="16"/>
      <c r="AU101" s="16"/>
      <c r="AV101" s="18"/>
      <c r="AW101" s="17"/>
      <c r="AX101" s="16"/>
      <c r="BA101" s="17"/>
    </row>
    <row r="102">
      <c r="A102" s="37" t="s">
        <v>111</v>
      </c>
      <c r="F102" s="13"/>
      <c r="K102" s="13"/>
      <c r="N102" s="15"/>
      <c r="O102" s="23"/>
      <c r="P102" s="23"/>
      <c r="Q102" s="23"/>
      <c r="S102" s="15"/>
      <c r="X102" s="21"/>
      <c r="Y102" s="16"/>
      <c r="Z102" s="16"/>
      <c r="AA102" s="17"/>
      <c r="AB102" s="16"/>
      <c r="AC102" s="16"/>
      <c r="AD102" s="16"/>
      <c r="AE102" s="16"/>
      <c r="AF102" s="17"/>
      <c r="AG102" s="16"/>
      <c r="AH102" s="16"/>
      <c r="AI102" s="16"/>
      <c r="AJ102" s="17"/>
      <c r="AN102" s="15"/>
      <c r="AR102" s="15"/>
      <c r="AS102" s="16"/>
      <c r="AT102" s="16"/>
      <c r="AU102" s="16"/>
      <c r="AV102" s="18"/>
      <c r="AW102" s="17"/>
      <c r="AX102" s="16"/>
      <c r="BA102" s="17"/>
    </row>
    <row r="103">
      <c r="F103" s="13"/>
      <c r="K103" s="13"/>
      <c r="N103" s="15"/>
      <c r="O103" s="16"/>
      <c r="R103" s="16"/>
      <c r="S103" s="17"/>
      <c r="X103" s="21"/>
      <c r="Y103" s="16"/>
      <c r="Z103" s="16"/>
      <c r="AA103" s="17"/>
      <c r="AB103" s="16"/>
      <c r="AC103" s="16"/>
      <c r="AD103" s="16"/>
      <c r="AE103" s="16"/>
      <c r="AF103" s="17"/>
      <c r="AG103" s="16"/>
      <c r="AH103" s="16"/>
      <c r="AI103" s="16"/>
      <c r="AJ103" s="17"/>
      <c r="AN103" s="15"/>
      <c r="AR103" s="15"/>
      <c r="AS103" s="16"/>
      <c r="AT103" s="16"/>
      <c r="AU103" s="16"/>
      <c r="AV103" s="18"/>
      <c r="AW103" s="17"/>
      <c r="AX103" s="16"/>
      <c r="BA103" s="17"/>
    </row>
    <row r="104">
      <c r="A104" s="44" t="s">
        <v>112</v>
      </c>
      <c r="F104" s="13"/>
      <c r="K104" s="13"/>
      <c r="O104" s="21"/>
      <c r="R104" s="16"/>
      <c r="S104" s="17"/>
      <c r="X104" s="21"/>
      <c r="Y104" s="16"/>
      <c r="Z104" s="16"/>
      <c r="AA104" s="17"/>
      <c r="AB104" s="16"/>
      <c r="AC104" s="16"/>
      <c r="AD104" s="16"/>
      <c r="AE104" s="16"/>
      <c r="AF104" s="17"/>
      <c r="AG104" s="16"/>
      <c r="AH104" s="16"/>
      <c r="AI104" s="16"/>
      <c r="AJ104" s="17"/>
      <c r="AK104" s="16"/>
      <c r="AL104" s="16"/>
      <c r="AN104" s="17"/>
      <c r="AR104" s="15"/>
      <c r="AS104" s="16"/>
      <c r="AT104" s="16"/>
      <c r="AU104" s="16"/>
      <c r="AV104" s="18"/>
      <c r="AW104" s="17"/>
      <c r="AX104" s="16"/>
      <c r="BA104" s="17"/>
    </row>
    <row r="105">
      <c r="A105" s="37" t="s">
        <v>113</v>
      </c>
      <c r="F105" s="13"/>
      <c r="K105" s="13"/>
      <c r="O105" s="21"/>
      <c r="R105" s="16"/>
      <c r="S105" s="17"/>
      <c r="X105" s="21"/>
      <c r="Y105" s="16"/>
      <c r="Z105" s="16"/>
      <c r="AA105" s="17"/>
      <c r="AB105" s="16"/>
      <c r="AC105" s="16"/>
      <c r="AD105" s="16"/>
      <c r="AE105" s="16"/>
      <c r="AF105" s="17"/>
      <c r="AG105" s="16"/>
      <c r="AH105" s="16"/>
      <c r="AI105" s="16"/>
      <c r="AJ105" s="17"/>
      <c r="AK105" s="16"/>
      <c r="AL105" s="16"/>
      <c r="AN105" s="15"/>
      <c r="AR105" s="15"/>
      <c r="AS105" s="16"/>
      <c r="AT105" s="16"/>
      <c r="AU105" s="16"/>
      <c r="AV105" s="18"/>
      <c r="AW105" s="17"/>
      <c r="AX105" s="16"/>
      <c r="BA105" s="17"/>
    </row>
    <row r="106">
      <c r="A106" s="37" t="s">
        <v>114</v>
      </c>
      <c r="F106" s="13"/>
      <c r="K106" s="13"/>
      <c r="O106" s="21"/>
      <c r="R106" s="16"/>
      <c r="S106" s="17"/>
      <c r="X106" s="21"/>
      <c r="Y106" s="16"/>
      <c r="Z106" s="16"/>
      <c r="AA106" s="17"/>
      <c r="AB106" s="16"/>
      <c r="AC106" s="16"/>
      <c r="AD106" s="16"/>
      <c r="AE106" s="16"/>
      <c r="AF106" s="17"/>
      <c r="AG106" s="16"/>
      <c r="AH106" s="16"/>
      <c r="AI106" s="16"/>
      <c r="AJ106" s="17"/>
      <c r="AK106" s="16"/>
      <c r="AL106" s="16"/>
      <c r="AN106" s="15"/>
      <c r="AP106" s="16"/>
      <c r="AQ106" s="16"/>
      <c r="AR106" s="17"/>
      <c r="AS106" s="16"/>
      <c r="AT106" s="16"/>
      <c r="AU106" s="16"/>
      <c r="AV106" s="18"/>
      <c r="AW106" s="17"/>
      <c r="AX106" s="16"/>
      <c r="BA106" s="17"/>
    </row>
    <row r="107">
      <c r="A107" s="37" t="s">
        <v>115</v>
      </c>
      <c r="F107" s="13"/>
      <c r="K107" s="21"/>
      <c r="L107" s="16"/>
      <c r="M107" s="16"/>
      <c r="N107" s="17"/>
      <c r="O107" s="21"/>
      <c r="R107" s="16"/>
      <c r="S107" s="17"/>
      <c r="X107" s="21"/>
      <c r="Y107" s="16"/>
      <c r="Z107" s="16"/>
      <c r="AA107" s="17"/>
      <c r="AB107" s="16"/>
      <c r="AC107" s="16"/>
      <c r="AD107" s="16"/>
      <c r="AE107" s="16"/>
      <c r="AF107" s="17"/>
      <c r="AG107" s="16"/>
      <c r="AH107" s="16"/>
      <c r="AI107" s="16"/>
      <c r="AJ107" s="17"/>
      <c r="AK107" s="16"/>
      <c r="AL107" s="16"/>
      <c r="AN107" s="15"/>
      <c r="AP107" s="16"/>
      <c r="AQ107" s="16"/>
      <c r="AR107" s="17"/>
      <c r="AS107" s="16"/>
      <c r="AT107" s="16"/>
      <c r="AU107" s="16"/>
      <c r="AV107" s="18"/>
      <c r="AW107" s="17"/>
      <c r="AX107" s="16"/>
      <c r="BA107" s="17"/>
    </row>
    <row r="108">
      <c r="A108" s="37" t="s">
        <v>116</v>
      </c>
      <c r="F108" s="13"/>
      <c r="K108" s="21"/>
      <c r="L108" s="16"/>
      <c r="M108" s="16"/>
      <c r="N108" s="17"/>
      <c r="O108" s="21"/>
      <c r="R108" s="16"/>
      <c r="S108" s="17"/>
      <c r="X108" s="21"/>
      <c r="Y108" s="16"/>
      <c r="Z108" s="16"/>
      <c r="AA108" s="17"/>
      <c r="AB108" s="16"/>
      <c r="AC108" s="16"/>
      <c r="AD108" s="16"/>
      <c r="AE108" s="16"/>
      <c r="AF108" s="17"/>
      <c r="AG108" s="16"/>
      <c r="AH108" s="16"/>
      <c r="AI108" s="16"/>
      <c r="AJ108" s="17"/>
      <c r="AK108" s="16"/>
      <c r="AL108" s="16"/>
      <c r="AN108" s="15"/>
      <c r="AR108" s="17"/>
      <c r="AS108" s="16"/>
      <c r="AV108" s="18"/>
      <c r="AW108" s="17"/>
      <c r="AX108" s="16"/>
      <c r="BA108" s="17"/>
    </row>
    <row r="109">
      <c r="A109" s="37" t="s">
        <v>117</v>
      </c>
      <c r="F109" s="13"/>
      <c r="K109" s="21"/>
      <c r="L109" s="16"/>
      <c r="M109" s="16"/>
      <c r="N109" s="17"/>
      <c r="O109" s="21"/>
      <c r="R109" s="16"/>
      <c r="S109" s="17"/>
      <c r="X109" s="21"/>
      <c r="Y109" s="16"/>
      <c r="Z109" s="16"/>
      <c r="AA109" s="17"/>
      <c r="AB109" s="16"/>
      <c r="AC109" s="16"/>
      <c r="AD109" s="16"/>
      <c r="AE109" s="16"/>
      <c r="AF109" s="17"/>
      <c r="AG109" s="16"/>
      <c r="AH109" s="16"/>
      <c r="AI109" s="16"/>
      <c r="AJ109" s="17"/>
      <c r="AK109" s="16"/>
      <c r="AL109" s="16"/>
      <c r="AN109" s="15"/>
      <c r="AR109" s="17"/>
      <c r="AS109" s="16"/>
      <c r="AV109" s="18"/>
      <c r="AW109" s="17"/>
      <c r="AX109" s="16"/>
      <c r="BA109" s="17"/>
    </row>
    <row r="110">
      <c r="A110" s="37" t="s">
        <v>118</v>
      </c>
      <c r="F110" s="13"/>
      <c r="K110" s="21"/>
      <c r="L110" s="16"/>
      <c r="M110" s="16"/>
      <c r="N110" s="17"/>
      <c r="O110" s="21"/>
      <c r="S110" s="17"/>
      <c r="T110" s="16"/>
      <c r="U110" s="16"/>
      <c r="V110" s="16"/>
      <c r="W110" s="17"/>
      <c r="X110" s="21"/>
      <c r="Y110" s="16"/>
      <c r="Z110" s="16"/>
      <c r="AA110" s="17"/>
      <c r="AB110" s="16"/>
      <c r="AC110" s="16"/>
      <c r="AD110" s="16"/>
      <c r="AE110" s="16"/>
      <c r="AF110" s="17"/>
      <c r="AG110" s="16"/>
      <c r="AH110" s="16"/>
      <c r="AI110" s="16"/>
      <c r="AJ110" s="17"/>
      <c r="AK110" s="16"/>
      <c r="AL110" s="16"/>
      <c r="AN110" s="17"/>
      <c r="AO110" s="16"/>
      <c r="AR110" s="17"/>
      <c r="AS110" s="16"/>
      <c r="AV110" s="18"/>
      <c r="AW110" s="17"/>
      <c r="AX110" s="16"/>
      <c r="BA110" s="17"/>
    </row>
    <row r="111">
      <c r="A111" s="37" t="s">
        <v>119</v>
      </c>
      <c r="F111" s="13"/>
      <c r="K111" s="21"/>
      <c r="L111" s="16"/>
      <c r="M111" s="16"/>
      <c r="N111" s="17"/>
      <c r="O111" s="21"/>
      <c r="P111" s="16"/>
      <c r="Q111" s="16"/>
      <c r="R111" s="16"/>
      <c r="S111" s="17"/>
      <c r="T111" s="16"/>
      <c r="U111" s="16"/>
      <c r="V111" s="16"/>
      <c r="W111" s="17"/>
      <c r="X111" s="21"/>
      <c r="Y111" s="16"/>
      <c r="Z111" s="16"/>
      <c r="AA111" s="17"/>
      <c r="AB111" s="16"/>
      <c r="AC111" s="16"/>
      <c r="AD111" s="16"/>
      <c r="AE111" s="16"/>
      <c r="AF111" s="17"/>
      <c r="AG111" s="16"/>
      <c r="AH111" s="16"/>
      <c r="AI111" s="16"/>
      <c r="AJ111" s="17"/>
      <c r="AK111" s="16"/>
      <c r="AL111" s="16"/>
      <c r="AN111" s="17"/>
      <c r="AO111" s="16"/>
      <c r="AR111" s="17"/>
      <c r="AS111" s="16"/>
      <c r="AV111" s="18"/>
      <c r="AW111" s="17"/>
      <c r="AX111" s="16"/>
      <c r="BA111" s="17"/>
    </row>
    <row r="112">
      <c r="A112" s="37" t="s">
        <v>120</v>
      </c>
      <c r="F112" s="13"/>
      <c r="J112" s="17"/>
      <c r="K112" s="21"/>
      <c r="L112" s="16"/>
      <c r="M112" s="16"/>
      <c r="N112" s="17"/>
      <c r="O112" s="21"/>
      <c r="P112" s="16"/>
      <c r="Q112" s="16"/>
      <c r="R112" s="16"/>
      <c r="S112" s="17"/>
      <c r="T112" s="16"/>
      <c r="U112" s="16"/>
      <c r="V112" s="16"/>
      <c r="W112" s="17"/>
      <c r="X112" s="21"/>
      <c r="Y112" s="16"/>
      <c r="Z112" s="16"/>
      <c r="AA112" s="17"/>
      <c r="AB112" s="16"/>
      <c r="AC112" s="16"/>
      <c r="AD112" s="16"/>
      <c r="AE112" s="16"/>
      <c r="AF112" s="17"/>
      <c r="AG112" s="16"/>
      <c r="AH112" s="16"/>
      <c r="AI112" s="16"/>
      <c r="AJ112" s="17"/>
      <c r="AK112" s="16"/>
      <c r="AL112" s="16"/>
      <c r="AN112" s="17"/>
      <c r="AO112" s="16"/>
      <c r="AR112" s="17"/>
      <c r="AS112" s="16"/>
      <c r="AV112" s="18"/>
      <c r="AW112" s="17"/>
      <c r="AX112" s="16"/>
      <c r="BA112" s="17"/>
    </row>
    <row r="113">
      <c r="A113" s="37" t="s">
        <v>121</v>
      </c>
      <c r="F113" s="13"/>
      <c r="J113" s="17"/>
      <c r="K113" s="21"/>
      <c r="L113" s="16"/>
      <c r="M113" s="16"/>
      <c r="N113" s="17"/>
      <c r="O113" s="21"/>
      <c r="P113" s="16"/>
      <c r="Q113" s="16"/>
      <c r="R113" s="16"/>
      <c r="S113" s="17"/>
      <c r="T113" s="16"/>
      <c r="U113" s="16"/>
      <c r="V113" s="16"/>
      <c r="W113" s="17"/>
      <c r="X113" s="21"/>
      <c r="Y113" s="16"/>
      <c r="Z113" s="16"/>
      <c r="AA113" s="17"/>
      <c r="AB113" s="16"/>
      <c r="AC113" s="16"/>
      <c r="AD113" s="16"/>
      <c r="AE113" s="16"/>
      <c r="AF113" s="17"/>
      <c r="AG113" s="16"/>
      <c r="AH113" s="16"/>
      <c r="AI113" s="16"/>
      <c r="AJ113" s="17"/>
      <c r="AK113" s="16"/>
      <c r="AL113" s="16"/>
      <c r="AN113" s="17"/>
      <c r="AO113" s="16"/>
      <c r="AR113" s="15"/>
      <c r="AV113" s="18"/>
      <c r="AW113" s="17"/>
      <c r="AX113" s="16"/>
      <c r="BA113" s="17"/>
    </row>
    <row r="114">
      <c r="A114" s="37" t="s">
        <v>122</v>
      </c>
      <c r="F114" s="13"/>
      <c r="J114" s="17"/>
      <c r="K114" s="21"/>
      <c r="L114" s="16"/>
      <c r="M114" s="16"/>
      <c r="N114" s="17"/>
      <c r="O114" s="21"/>
      <c r="P114" s="16"/>
      <c r="Q114" s="16"/>
      <c r="R114" s="16"/>
      <c r="S114" s="17"/>
      <c r="T114" s="16"/>
      <c r="U114" s="16"/>
      <c r="V114" s="16"/>
      <c r="W114" s="17"/>
      <c r="X114" s="21"/>
      <c r="Y114" s="16"/>
      <c r="Z114" s="16"/>
      <c r="AA114" s="17"/>
      <c r="AB114" s="16"/>
      <c r="AC114" s="16"/>
      <c r="AD114" s="16"/>
      <c r="AE114" s="16"/>
      <c r="AF114" s="17"/>
      <c r="AG114" s="16"/>
      <c r="AH114" s="16"/>
      <c r="AI114" s="16"/>
      <c r="AJ114" s="17"/>
      <c r="AK114" s="16"/>
      <c r="AL114" s="16"/>
      <c r="AN114" s="17"/>
      <c r="AO114" s="16"/>
      <c r="AR114" s="15"/>
      <c r="AV114" s="18"/>
      <c r="AW114" s="17"/>
      <c r="AX114" s="16"/>
      <c r="BA114" s="17"/>
    </row>
    <row r="115">
      <c r="A115" s="37" t="s">
        <v>123</v>
      </c>
      <c r="F115" s="13"/>
      <c r="J115" s="17"/>
      <c r="K115" s="21"/>
      <c r="L115" s="16"/>
      <c r="M115" s="16"/>
      <c r="N115" s="17"/>
      <c r="O115" s="21"/>
      <c r="P115" s="16"/>
      <c r="Q115" s="16"/>
      <c r="R115" s="16"/>
      <c r="S115" s="17"/>
      <c r="T115" s="16"/>
      <c r="U115" s="16"/>
      <c r="V115" s="16"/>
      <c r="W115" s="17"/>
      <c r="X115" s="21"/>
      <c r="Y115" s="16"/>
      <c r="Z115" s="16"/>
      <c r="AA115" s="17"/>
      <c r="AB115" s="16"/>
      <c r="AC115" s="16"/>
      <c r="AD115" s="16"/>
      <c r="AE115" s="16"/>
      <c r="AF115" s="17"/>
      <c r="AG115" s="16"/>
      <c r="AH115" s="16"/>
      <c r="AI115" s="16"/>
      <c r="AJ115" s="17"/>
      <c r="AK115" s="16"/>
      <c r="AL115" s="16"/>
      <c r="AM115" s="16"/>
      <c r="AN115" s="17"/>
      <c r="AO115" s="16"/>
      <c r="AR115" s="15"/>
      <c r="AV115" s="18"/>
      <c r="AW115" s="17"/>
      <c r="AX115" s="16"/>
      <c r="BA115" s="17"/>
    </row>
    <row r="116">
      <c r="A116" s="37" t="s">
        <v>124</v>
      </c>
      <c r="F116" s="13"/>
      <c r="J116" s="17"/>
      <c r="K116" s="21"/>
      <c r="L116" s="16"/>
      <c r="M116" s="16"/>
      <c r="N116" s="17"/>
      <c r="O116" s="21"/>
      <c r="P116" s="16"/>
      <c r="Q116" s="16"/>
      <c r="R116" s="16"/>
      <c r="S116" s="17"/>
      <c r="T116" s="16"/>
      <c r="U116" s="16"/>
      <c r="V116" s="16"/>
      <c r="W116" s="17"/>
      <c r="X116" s="21"/>
      <c r="Y116" s="16"/>
      <c r="Z116" s="16"/>
      <c r="AA116" s="17"/>
      <c r="AB116" s="16"/>
      <c r="AC116" s="16"/>
      <c r="AD116" s="16"/>
      <c r="AE116" s="16"/>
      <c r="AF116" s="17"/>
      <c r="AG116" s="16"/>
      <c r="AH116" s="16"/>
      <c r="AI116" s="16"/>
      <c r="AJ116" s="17"/>
      <c r="AK116" s="16"/>
      <c r="AL116" s="16"/>
      <c r="AM116" s="16"/>
      <c r="AN116" s="17"/>
      <c r="AO116" s="16"/>
      <c r="AR116" s="17"/>
      <c r="AS116" s="16"/>
      <c r="AV116" s="18"/>
      <c r="AW116" s="17"/>
      <c r="AX116" s="16"/>
      <c r="BA116" s="17"/>
    </row>
    <row r="117">
      <c r="A117" s="37" t="s">
        <v>125</v>
      </c>
      <c r="F117" s="13"/>
      <c r="J117" s="17"/>
      <c r="K117" s="21"/>
      <c r="L117" s="16"/>
      <c r="M117" s="16"/>
      <c r="N117" s="17"/>
      <c r="O117" s="21"/>
      <c r="P117" s="16"/>
      <c r="Q117" s="16"/>
      <c r="R117" s="16"/>
      <c r="S117" s="17"/>
      <c r="T117" s="16"/>
      <c r="U117" s="16"/>
      <c r="V117" s="16"/>
      <c r="W117" s="17"/>
      <c r="X117" s="21"/>
      <c r="Y117" s="16"/>
      <c r="Z117" s="16"/>
      <c r="AA117" s="17"/>
      <c r="AB117" s="16"/>
      <c r="AC117" s="16"/>
      <c r="AD117" s="16"/>
      <c r="AE117" s="16"/>
      <c r="AF117" s="17"/>
      <c r="AG117" s="16"/>
      <c r="AH117" s="16"/>
      <c r="AI117" s="16"/>
      <c r="AJ117" s="17"/>
      <c r="AK117" s="16"/>
      <c r="AL117" s="16"/>
      <c r="AM117" s="16"/>
      <c r="AN117" s="17"/>
      <c r="AR117" s="17"/>
      <c r="AS117" s="16"/>
      <c r="AV117" s="18"/>
      <c r="AW117" s="17"/>
      <c r="AX117" s="16"/>
      <c r="BA117" s="17"/>
    </row>
    <row r="118">
      <c r="A118" s="37" t="s">
        <v>126</v>
      </c>
      <c r="F118" s="13"/>
      <c r="J118" s="17"/>
      <c r="K118" s="21"/>
      <c r="L118" s="16"/>
      <c r="M118" s="16"/>
      <c r="N118" s="17"/>
      <c r="O118" s="21"/>
      <c r="P118" s="16"/>
      <c r="Q118" s="16"/>
      <c r="R118" s="16"/>
      <c r="S118" s="17"/>
      <c r="T118" s="16"/>
      <c r="U118" s="16"/>
      <c r="V118" s="16"/>
      <c r="W118" s="17"/>
      <c r="X118" s="21"/>
      <c r="Y118" s="16"/>
      <c r="Z118" s="16"/>
      <c r="AA118" s="17"/>
      <c r="AB118" s="16"/>
      <c r="AC118" s="16"/>
      <c r="AD118" s="16"/>
      <c r="AE118" s="16"/>
      <c r="AF118" s="17"/>
      <c r="AG118" s="16"/>
      <c r="AH118" s="16"/>
      <c r="AI118" s="16"/>
      <c r="AJ118" s="17"/>
      <c r="AK118" s="16"/>
      <c r="AL118" s="16"/>
      <c r="AM118" s="16"/>
      <c r="AN118" s="17"/>
      <c r="AR118" s="17"/>
      <c r="AS118" s="16"/>
      <c r="AV118" s="18"/>
      <c r="AW118" s="17"/>
      <c r="AX118" s="16"/>
      <c r="BA118" s="17"/>
    </row>
    <row r="119">
      <c r="A119" s="37" t="s">
        <v>127</v>
      </c>
      <c r="F119" s="13"/>
      <c r="J119" s="17"/>
      <c r="K119" s="21"/>
      <c r="L119" s="16"/>
      <c r="M119" s="16"/>
      <c r="N119" s="17"/>
      <c r="O119" s="21"/>
      <c r="P119" s="16"/>
      <c r="Q119" s="16"/>
      <c r="R119" s="16"/>
      <c r="S119" s="17"/>
      <c r="T119" s="16"/>
      <c r="U119" s="16"/>
      <c r="V119" s="16"/>
      <c r="W119" s="17"/>
      <c r="X119" s="21"/>
      <c r="Y119" s="16"/>
      <c r="Z119" s="16"/>
      <c r="AA119" s="17"/>
      <c r="AB119" s="16"/>
      <c r="AC119" s="16"/>
      <c r="AD119" s="16"/>
      <c r="AE119" s="16"/>
      <c r="AF119" s="17"/>
      <c r="AG119" s="16"/>
      <c r="AH119" s="16"/>
      <c r="AI119" s="16"/>
      <c r="AJ119" s="17"/>
      <c r="AK119" s="16"/>
      <c r="AL119" s="16"/>
      <c r="AM119" s="16"/>
      <c r="AN119" s="17"/>
      <c r="AR119" s="17"/>
      <c r="AS119" s="16"/>
      <c r="AT119" s="16"/>
      <c r="AU119" s="16"/>
      <c r="AV119" s="18"/>
      <c r="AW119" s="17"/>
      <c r="AX119" s="16"/>
      <c r="BA119" s="17"/>
    </row>
    <row r="120">
      <c r="A120" s="37" t="s">
        <v>128</v>
      </c>
      <c r="F120" s="13"/>
      <c r="J120" s="17"/>
      <c r="K120" s="21"/>
      <c r="L120" s="16"/>
      <c r="M120" s="16"/>
      <c r="N120" s="17"/>
      <c r="O120" s="21"/>
      <c r="P120" s="16"/>
      <c r="Q120" s="16"/>
      <c r="R120" s="16"/>
      <c r="S120" s="17"/>
      <c r="T120" s="16"/>
      <c r="U120" s="16"/>
      <c r="V120" s="16"/>
      <c r="W120" s="17"/>
      <c r="X120" s="21"/>
      <c r="Y120" s="16"/>
      <c r="Z120" s="16"/>
      <c r="AA120" s="17"/>
      <c r="AB120" s="16"/>
      <c r="AC120" s="16"/>
      <c r="AD120" s="16"/>
      <c r="AE120" s="16"/>
      <c r="AF120" s="17"/>
      <c r="AG120" s="16"/>
      <c r="AH120" s="16"/>
      <c r="AI120" s="16"/>
      <c r="AJ120" s="17"/>
      <c r="AK120" s="16"/>
      <c r="AL120" s="16"/>
      <c r="AM120" s="16"/>
      <c r="AO120" s="13"/>
      <c r="AR120" s="17"/>
      <c r="AS120" s="16"/>
      <c r="AT120" s="16"/>
      <c r="AU120" s="16"/>
      <c r="AV120" s="18"/>
      <c r="AW120" s="17"/>
      <c r="AX120" s="16"/>
      <c r="BA120" s="17"/>
    </row>
    <row r="121">
      <c r="A121" s="36" t="s">
        <v>129</v>
      </c>
      <c r="F121" s="13"/>
      <c r="J121" s="17"/>
      <c r="K121" s="21"/>
      <c r="L121" s="16"/>
      <c r="M121" s="16"/>
      <c r="N121" s="17"/>
      <c r="O121" s="21"/>
      <c r="P121" s="16"/>
      <c r="Q121" s="16"/>
      <c r="R121" s="16"/>
      <c r="S121" s="17"/>
      <c r="T121" s="16"/>
      <c r="U121" s="16"/>
      <c r="V121" s="16"/>
      <c r="W121" s="17"/>
      <c r="X121" s="21"/>
      <c r="Y121" s="16"/>
      <c r="Z121" s="16"/>
      <c r="AA121" s="17"/>
      <c r="AB121" s="16"/>
      <c r="AC121" s="16"/>
      <c r="AD121" s="16"/>
      <c r="AE121" s="16"/>
      <c r="AF121" s="17"/>
      <c r="AG121" s="16"/>
      <c r="AH121" s="16"/>
      <c r="AI121" s="16"/>
      <c r="AJ121" s="17"/>
      <c r="AK121" s="16"/>
      <c r="AL121" s="16"/>
      <c r="AM121" s="16"/>
      <c r="AN121" s="17"/>
      <c r="AO121" s="16"/>
      <c r="AR121" s="17"/>
      <c r="AS121" s="16"/>
      <c r="AT121" s="16"/>
      <c r="AU121" s="16"/>
      <c r="AV121" s="18"/>
      <c r="AW121" s="17"/>
      <c r="AX121" s="16"/>
      <c r="BA121" s="17"/>
    </row>
    <row r="122">
      <c r="A122" s="37" t="s">
        <v>130</v>
      </c>
      <c r="F122" s="13"/>
      <c r="J122" s="15"/>
      <c r="K122" s="13"/>
      <c r="L122" s="16"/>
      <c r="M122" s="16"/>
      <c r="N122" s="15"/>
      <c r="O122" s="13"/>
      <c r="T122" s="21"/>
      <c r="U122" s="16"/>
      <c r="V122" s="16"/>
      <c r="W122" s="17"/>
      <c r="X122" s="21"/>
      <c r="Y122" s="16"/>
      <c r="Z122" s="16"/>
      <c r="AA122" s="17"/>
      <c r="AB122" s="16"/>
      <c r="AC122" s="16"/>
      <c r="AD122" s="16"/>
      <c r="AE122" s="16"/>
      <c r="AF122" s="17"/>
      <c r="AG122" s="16"/>
      <c r="AH122" s="16"/>
      <c r="AI122" s="16"/>
      <c r="AJ122" s="17"/>
      <c r="AK122" s="16"/>
      <c r="AL122" s="16"/>
      <c r="AM122" s="16"/>
      <c r="AN122" s="17"/>
      <c r="AO122" s="16"/>
      <c r="AR122" s="17"/>
      <c r="AS122" s="16"/>
      <c r="AT122" s="16"/>
      <c r="AU122" s="16"/>
      <c r="AV122" s="18"/>
      <c r="AW122" s="17"/>
    </row>
    <row r="123">
      <c r="A123" s="37" t="s">
        <v>131</v>
      </c>
      <c r="F123" s="13"/>
      <c r="J123" s="17"/>
      <c r="K123" s="21"/>
      <c r="L123" s="16"/>
      <c r="M123" s="16"/>
      <c r="N123" s="17"/>
      <c r="O123" s="21"/>
      <c r="P123" s="16"/>
      <c r="Q123" s="16"/>
      <c r="R123" s="16"/>
      <c r="S123" s="17"/>
      <c r="T123" s="16"/>
      <c r="U123" s="16"/>
      <c r="V123" s="16"/>
      <c r="W123" s="17"/>
      <c r="X123" s="21"/>
      <c r="Y123" s="16"/>
      <c r="Z123" s="16"/>
      <c r="AA123" s="17"/>
      <c r="AB123" s="16"/>
      <c r="AC123" s="16"/>
      <c r="AD123" s="16"/>
      <c r="AE123" s="16"/>
      <c r="AF123" s="17"/>
      <c r="AG123" s="16"/>
      <c r="AH123" s="16"/>
      <c r="AI123" s="16"/>
      <c r="AJ123" s="17"/>
      <c r="AK123" s="16"/>
      <c r="AL123" s="16"/>
      <c r="AM123" s="16"/>
      <c r="AN123" s="17"/>
      <c r="AO123" s="16"/>
      <c r="AP123" s="16"/>
      <c r="AQ123" s="16"/>
      <c r="AR123" s="17"/>
      <c r="AS123" s="16"/>
      <c r="AT123" s="16"/>
      <c r="AU123" s="16"/>
      <c r="AV123" s="18"/>
      <c r="AW123" s="17"/>
      <c r="AX123" s="16"/>
      <c r="BA123" s="17"/>
    </row>
    <row r="124">
      <c r="A124" s="37" t="s">
        <v>132</v>
      </c>
      <c r="F124" s="13"/>
      <c r="J124" s="17"/>
      <c r="K124" s="21"/>
      <c r="L124" s="16"/>
      <c r="M124" s="16"/>
      <c r="N124" s="17"/>
      <c r="O124" s="21"/>
      <c r="P124" s="16"/>
      <c r="Q124" s="16"/>
      <c r="R124" s="16"/>
      <c r="S124" s="17"/>
      <c r="T124" s="16"/>
      <c r="U124" s="16"/>
      <c r="V124" s="16"/>
      <c r="W124" s="17"/>
      <c r="X124" s="21"/>
      <c r="Y124" s="16"/>
      <c r="Z124" s="16"/>
      <c r="AA124" s="17"/>
      <c r="AB124" s="16"/>
      <c r="AC124" s="16"/>
      <c r="AD124" s="16"/>
      <c r="AE124" s="16"/>
      <c r="AF124" s="17"/>
      <c r="AG124" s="16"/>
      <c r="AH124" s="16"/>
      <c r="AI124" s="16"/>
      <c r="AJ124" s="17"/>
      <c r="AK124" s="16"/>
      <c r="AL124" s="16"/>
      <c r="AM124" s="16"/>
      <c r="AN124" s="17"/>
      <c r="AO124" s="16"/>
      <c r="AP124" s="16"/>
      <c r="AQ124" s="16"/>
      <c r="AR124" s="17"/>
      <c r="AS124" s="16"/>
      <c r="AT124" s="16"/>
      <c r="AU124" s="16"/>
      <c r="AV124" s="18"/>
      <c r="AW124" s="17"/>
      <c r="AX124" s="16"/>
      <c r="BA124" s="17"/>
    </row>
    <row r="125">
      <c r="A125" s="37" t="s">
        <v>133</v>
      </c>
      <c r="F125" s="13"/>
      <c r="J125" s="17"/>
      <c r="O125" s="21"/>
      <c r="P125" s="16"/>
      <c r="Q125" s="16"/>
      <c r="R125" s="16"/>
      <c r="S125" s="17"/>
      <c r="T125" s="16"/>
      <c r="U125" s="16"/>
      <c r="V125" s="16"/>
      <c r="W125" s="17"/>
      <c r="X125" s="21"/>
      <c r="Y125" s="16"/>
      <c r="Z125" s="16"/>
      <c r="AA125" s="17"/>
      <c r="AB125" s="16"/>
      <c r="AC125" s="16"/>
      <c r="AD125" s="16"/>
      <c r="AE125" s="16"/>
      <c r="AF125" s="17"/>
      <c r="AG125" s="16"/>
      <c r="AH125" s="16"/>
      <c r="AI125" s="16"/>
      <c r="AJ125" s="17"/>
      <c r="AK125" s="16"/>
      <c r="AL125" s="16"/>
      <c r="AM125" s="16"/>
      <c r="AN125" s="17"/>
      <c r="AO125" s="16"/>
      <c r="AP125" s="16"/>
      <c r="AQ125" s="16"/>
      <c r="AR125" s="17"/>
      <c r="AS125" s="16"/>
      <c r="AT125" s="16"/>
      <c r="AU125" s="16"/>
      <c r="AV125" s="18"/>
      <c r="AW125" s="17"/>
      <c r="AX125" s="16"/>
      <c r="BA125" s="17"/>
    </row>
    <row r="126">
      <c r="A126" s="37" t="s">
        <v>134</v>
      </c>
      <c r="F126" s="13"/>
      <c r="J126" s="15"/>
      <c r="O126" s="21"/>
      <c r="P126" s="16"/>
      <c r="Q126" s="16"/>
      <c r="R126" s="16"/>
      <c r="S126" s="17"/>
      <c r="T126" s="16"/>
      <c r="U126" s="16"/>
      <c r="V126" s="16"/>
      <c r="W126" s="17"/>
      <c r="X126" s="21"/>
      <c r="Y126" s="16"/>
      <c r="Z126" s="16"/>
      <c r="AA126" s="17"/>
      <c r="AB126" s="16"/>
      <c r="AC126" s="16"/>
      <c r="AD126" s="16"/>
      <c r="AE126" s="16"/>
      <c r="AF126" s="17"/>
      <c r="AG126" s="16"/>
      <c r="AH126" s="16"/>
      <c r="AI126" s="16"/>
      <c r="AJ126" s="17"/>
      <c r="AK126" s="16"/>
      <c r="AL126" s="16"/>
      <c r="AM126" s="16"/>
      <c r="AN126" s="17"/>
      <c r="AO126" s="16"/>
      <c r="AP126" s="16"/>
      <c r="AQ126" s="16"/>
      <c r="AR126" s="17"/>
      <c r="AS126" s="16"/>
      <c r="AT126" s="16"/>
      <c r="AU126" s="16"/>
      <c r="AV126" s="18"/>
      <c r="AW126" s="17"/>
      <c r="AX126" s="16"/>
      <c r="BA126" s="17"/>
    </row>
    <row r="127">
      <c r="A127" s="37" t="s">
        <v>135</v>
      </c>
      <c r="F127" s="13"/>
      <c r="J127" s="15"/>
      <c r="O127" s="21"/>
      <c r="P127" s="16"/>
      <c r="Q127" s="16"/>
      <c r="R127" s="16"/>
      <c r="S127" s="17"/>
      <c r="T127" s="16"/>
      <c r="U127" s="16"/>
      <c r="V127" s="16"/>
      <c r="W127" s="17"/>
      <c r="X127" s="21"/>
      <c r="Y127" s="16"/>
      <c r="Z127" s="16"/>
      <c r="AA127" s="17"/>
      <c r="AB127" s="16"/>
      <c r="AC127" s="16"/>
      <c r="AD127" s="16"/>
      <c r="AE127" s="16"/>
      <c r="AF127" s="17"/>
      <c r="AG127" s="16"/>
      <c r="AH127" s="16"/>
      <c r="AI127" s="16"/>
      <c r="AJ127" s="17"/>
      <c r="AK127" s="16"/>
      <c r="AL127" s="16"/>
      <c r="AM127" s="16"/>
      <c r="AN127" s="17"/>
      <c r="AO127" s="16"/>
      <c r="AP127" s="16"/>
      <c r="AQ127" s="16"/>
      <c r="AR127" s="17"/>
      <c r="AS127" s="16"/>
      <c r="AT127" s="16"/>
      <c r="AU127" s="16"/>
      <c r="AV127" s="18"/>
      <c r="AW127" s="17"/>
      <c r="AX127" s="16"/>
      <c r="BA127" s="17"/>
    </row>
    <row r="128">
      <c r="A128" s="37" t="s">
        <v>136</v>
      </c>
      <c r="F128" s="13"/>
      <c r="J128" s="15"/>
      <c r="O128" s="21"/>
      <c r="P128" s="16"/>
      <c r="Q128" s="16"/>
      <c r="R128" s="16"/>
      <c r="S128" s="17"/>
      <c r="T128" s="16"/>
      <c r="U128" s="16"/>
      <c r="V128" s="16"/>
      <c r="W128" s="17"/>
      <c r="X128" s="21"/>
      <c r="Y128" s="16"/>
      <c r="Z128" s="16"/>
      <c r="AA128" s="17"/>
      <c r="AB128" s="16"/>
      <c r="AC128" s="16"/>
      <c r="AD128" s="16"/>
      <c r="AE128" s="16"/>
      <c r="AF128" s="17"/>
      <c r="AG128" s="16"/>
      <c r="AH128" s="16"/>
      <c r="AI128" s="16"/>
      <c r="AJ128" s="17"/>
      <c r="AK128" s="16"/>
      <c r="AL128" s="16"/>
      <c r="AM128" s="16"/>
      <c r="AN128" s="17"/>
      <c r="AO128" s="16"/>
      <c r="AP128" s="16"/>
      <c r="AQ128" s="16"/>
      <c r="AR128" s="17"/>
      <c r="AS128" s="16"/>
      <c r="AT128" s="16"/>
      <c r="AU128" s="16"/>
      <c r="AV128" s="18"/>
      <c r="AW128" s="17"/>
      <c r="AX128" s="16"/>
      <c r="BA128" s="17"/>
    </row>
    <row r="129">
      <c r="A129" s="37" t="s">
        <v>137</v>
      </c>
      <c r="F129" s="13"/>
      <c r="J129" s="17"/>
      <c r="O129" s="21"/>
      <c r="P129" s="16"/>
      <c r="Q129" s="16"/>
      <c r="R129" s="16"/>
      <c r="S129" s="17"/>
      <c r="T129" s="16"/>
      <c r="U129" s="16"/>
      <c r="V129" s="16"/>
      <c r="W129" s="17"/>
      <c r="X129" s="21"/>
      <c r="Y129" s="16"/>
      <c r="Z129" s="16"/>
      <c r="AA129" s="17"/>
      <c r="AB129" s="16"/>
      <c r="AC129" s="16"/>
      <c r="AD129" s="16"/>
      <c r="AE129" s="16"/>
      <c r="AF129" s="17"/>
      <c r="AG129" s="16"/>
      <c r="AH129" s="16"/>
      <c r="AI129" s="16"/>
      <c r="AJ129" s="17"/>
      <c r="AK129" s="16"/>
      <c r="AL129" s="16"/>
      <c r="AM129" s="16"/>
      <c r="AN129" s="17"/>
      <c r="AO129" s="16"/>
      <c r="AP129" s="16"/>
      <c r="AQ129" s="16"/>
      <c r="AR129" s="17"/>
      <c r="AS129" s="16"/>
      <c r="AT129" s="16"/>
      <c r="AU129" s="16"/>
      <c r="AV129" s="18"/>
      <c r="AW129" s="17"/>
      <c r="AX129" s="16"/>
      <c r="BA129" s="17"/>
    </row>
    <row r="130">
      <c r="A130" s="37" t="s">
        <v>138</v>
      </c>
      <c r="F130" s="13"/>
      <c r="J130" s="17"/>
      <c r="O130" s="13"/>
      <c r="Q130" s="16"/>
      <c r="R130" s="16"/>
      <c r="S130" s="17"/>
      <c r="T130" s="16"/>
      <c r="U130" s="16"/>
      <c r="V130" s="16"/>
      <c r="W130" s="17"/>
      <c r="X130" s="21"/>
      <c r="Y130" s="16"/>
      <c r="Z130" s="16"/>
      <c r="AA130" s="17"/>
      <c r="AB130" s="16"/>
      <c r="AC130" s="16"/>
      <c r="AD130" s="16"/>
      <c r="AE130" s="16"/>
      <c r="AF130" s="17"/>
      <c r="AG130" s="16"/>
      <c r="AH130" s="16"/>
      <c r="AI130" s="16"/>
      <c r="AJ130" s="17"/>
      <c r="AK130" s="16"/>
      <c r="AL130" s="16"/>
      <c r="AM130" s="16"/>
      <c r="AN130" s="17"/>
      <c r="AO130" s="16"/>
      <c r="AP130" s="16"/>
      <c r="AQ130" s="16"/>
      <c r="AR130" s="17"/>
      <c r="AS130" s="16"/>
      <c r="AT130" s="16"/>
      <c r="AU130" s="16"/>
      <c r="AV130" s="18"/>
      <c r="AW130" s="17"/>
      <c r="AX130" s="16"/>
      <c r="BA130" s="17"/>
    </row>
    <row r="131">
      <c r="A131" s="37" t="s">
        <v>139</v>
      </c>
      <c r="F131" s="13"/>
      <c r="J131" s="17"/>
      <c r="O131" s="13"/>
      <c r="Q131" s="16"/>
      <c r="R131" s="16"/>
      <c r="S131" s="17"/>
      <c r="T131" s="16"/>
      <c r="U131" s="16"/>
      <c r="V131" s="16"/>
      <c r="W131" s="17"/>
      <c r="X131" s="21"/>
      <c r="Y131" s="16"/>
      <c r="Z131" s="16"/>
      <c r="AA131" s="17"/>
      <c r="AB131" s="16"/>
      <c r="AC131" s="16"/>
      <c r="AD131" s="16"/>
      <c r="AE131" s="16"/>
      <c r="AF131" s="17"/>
      <c r="AG131" s="16"/>
      <c r="AH131" s="16"/>
      <c r="AI131" s="16"/>
      <c r="AJ131" s="17"/>
      <c r="AK131" s="16"/>
      <c r="AL131" s="16"/>
      <c r="AM131" s="16"/>
      <c r="AN131" s="17"/>
      <c r="AO131" s="16"/>
      <c r="AP131" s="16"/>
      <c r="AQ131" s="16"/>
      <c r="AR131" s="17"/>
      <c r="AS131" s="16"/>
      <c r="AT131" s="16"/>
      <c r="AU131" s="16"/>
      <c r="AV131" s="18"/>
      <c r="AW131" s="17"/>
      <c r="AX131" s="16"/>
      <c r="BA131" s="17"/>
    </row>
    <row r="132">
      <c r="A132" s="37" t="s">
        <v>140</v>
      </c>
      <c r="F132" s="13"/>
      <c r="J132" s="17"/>
      <c r="O132" s="13"/>
      <c r="Q132" s="16"/>
      <c r="R132" s="16"/>
      <c r="S132" s="17"/>
      <c r="T132" s="16"/>
      <c r="U132" s="16"/>
      <c r="V132" s="16"/>
      <c r="W132" s="17"/>
      <c r="X132" s="21"/>
      <c r="Y132" s="16"/>
      <c r="Z132" s="16"/>
      <c r="AA132" s="17"/>
      <c r="AB132" s="16"/>
      <c r="AC132" s="16"/>
      <c r="AD132" s="16"/>
      <c r="AE132" s="16"/>
      <c r="AF132" s="17"/>
      <c r="AG132" s="16"/>
      <c r="AH132" s="16"/>
      <c r="AI132" s="16"/>
      <c r="AJ132" s="17"/>
      <c r="AK132" s="16"/>
      <c r="AL132" s="16"/>
      <c r="AM132" s="16"/>
      <c r="AN132" s="17"/>
      <c r="AO132" s="16"/>
      <c r="AP132" s="16"/>
      <c r="AQ132" s="16"/>
      <c r="AR132" s="17"/>
      <c r="AS132" s="16"/>
      <c r="AT132" s="16"/>
      <c r="AU132" s="16"/>
      <c r="AV132" s="18"/>
      <c r="AW132" s="17"/>
      <c r="AX132" s="16"/>
      <c r="BA132" s="17"/>
    </row>
    <row r="133">
      <c r="A133" s="37" t="s">
        <v>141</v>
      </c>
      <c r="F133" s="13"/>
      <c r="J133" s="17"/>
      <c r="O133" s="13"/>
      <c r="Q133" s="16"/>
      <c r="R133" s="16"/>
      <c r="S133" s="17"/>
      <c r="T133" s="16"/>
      <c r="U133" s="16"/>
      <c r="V133" s="16"/>
      <c r="W133" s="17"/>
      <c r="X133" s="16"/>
      <c r="Y133" s="16"/>
      <c r="Z133" s="16"/>
      <c r="AA133" s="17"/>
      <c r="AB133" s="16"/>
      <c r="AC133" s="16"/>
      <c r="AD133" s="16"/>
      <c r="AE133" s="16"/>
      <c r="AF133" s="17"/>
      <c r="AG133" s="16"/>
      <c r="AH133" s="16"/>
      <c r="AI133" s="16"/>
      <c r="AJ133" s="17"/>
      <c r="AK133" s="16"/>
      <c r="AL133" s="16"/>
      <c r="AM133" s="16"/>
      <c r="AN133" s="17"/>
      <c r="AO133" s="16"/>
      <c r="AP133" s="16"/>
      <c r="AQ133" s="16"/>
      <c r="AR133" s="17"/>
      <c r="AS133" s="16"/>
      <c r="AT133" s="16"/>
      <c r="AU133" s="16"/>
      <c r="AV133" s="18"/>
      <c r="AW133" s="17"/>
      <c r="AX133" s="16"/>
      <c r="BA133" s="17"/>
    </row>
    <row r="134">
      <c r="A134" s="37" t="s">
        <v>142</v>
      </c>
      <c r="F134" s="13"/>
      <c r="J134" s="17"/>
      <c r="O134" s="13"/>
      <c r="Q134" s="16"/>
      <c r="R134" s="16"/>
      <c r="S134" s="17"/>
      <c r="T134" s="16"/>
      <c r="U134" s="16"/>
      <c r="V134" s="16"/>
      <c r="W134" s="17"/>
      <c r="X134" s="16"/>
      <c r="Y134" s="16"/>
      <c r="Z134" s="16"/>
      <c r="AA134" s="17"/>
      <c r="AB134" s="16"/>
      <c r="AC134" s="16"/>
      <c r="AD134" s="16"/>
      <c r="AE134" s="16"/>
      <c r="AF134" s="17"/>
      <c r="AG134" s="16"/>
      <c r="AH134" s="16"/>
      <c r="AI134" s="16"/>
      <c r="AJ134" s="17"/>
      <c r="AK134" s="16"/>
      <c r="AL134" s="16"/>
      <c r="AM134" s="16"/>
      <c r="AN134" s="17"/>
      <c r="AO134" s="16"/>
      <c r="AP134" s="16"/>
      <c r="AQ134" s="16"/>
      <c r="AR134" s="17"/>
      <c r="AS134" s="16"/>
      <c r="AT134" s="16"/>
      <c r="AU134" s="16"/>
      <c r="AV134" s="18"/>
      <c r="AW134" s="17"/>
      <c r="BA134" s="17"/>
    </row>
    <row r="135">
      <c r="A135" s="37" t="s">
        <v>143</v>
      </c>
      <c r="F135" s="13"/>
      <c r="J135" s="17"/>
      <c r="O135" s="13"/>
      <c r="Q135" s="16"/>
      <c r="R135" s="16"/>
      <c r="S135" s="17"/>
      <c r="T135" s="16"/>
      <c r="U135" s="16"/>
      <c r="V135" s="16"/>
      <c r="W135" s="17"/>
      <c r="X135" s="16"/>
      <c r="Y135" s="16"/>
      <c r="Z135" s="16"/>
      <c r="AA135" s="17"/>
      <c r="AB135" s="16"/>
      <c r="AC135" s="16"/>
      <c r="AD135" s="16"/>
      <c r="AE135" s="16"/>
      <c r="AF135" s="17"/>
      <c r="AG135" s="16"/>
      <c r="AH135" s="16"/>
      <c r="AI135" s="16"/>
      <c r="AJ135" s="17"/>
      <c r="AK135" s="16"/>
      <c r="AL135" s="16"/>
      <c r="AM135" s="16"/>
      <c r="AN135" s="17"/>
      <c r="AO135" s="16"/>
      <c r="AP135" s="16"/>
      <c r="AQ135" s="16"/>
      <c r="AR135" s="17"/>
      <c r="AS135" s="16"/>
      <c r="AT135" s="16"/>
      <c r="AU135" s="16"/>
      <c r="AV135" s="18"/>
      <c r="AW135" s="17"/>
      <c r="BA135" s="17"/>
    </row>
    <row r="136">
      <c r="A136" s="37" t="s">
        <v>144</v>
      </c>
      <c r="F136" s="21"/>
      <c r="G136" s="16"/>
      <c r="H136" s="16"/>
      <c r="I136" s="16"/>
      <c r="J136" s="17"/>
      <c r="K136" s="21"/>
      <c r="L136" s="16"/>
      <c r="M136" s="16"/>
      <c r="N136" s="17"/>
      <c r="Q136" s="16"/>
      <c r="R136" s="16"/>
      <c r="S136" s="17"/>
      <c r="T136" s="16"/>
      <c r="U136" s="16"/>
      <c r="V136" s="16"/>
      <c r="W136" s="17"/>
      <c r="X136" s="16"/>
      <c r="Y136" s="16"/>
      <c r="Z136" s="16"/>
      <c r="AA136" s="17"/>
      <c r="AB136" s="16"/>
      <c r="AC136" s="16"/>
      <c r="AD136" s="16"/>
      <c r="AE136" s="16"/>
      <c r="AF136" s="17"/>
      <c r="AG136" s="16"/>
      <c r="AH136" s="16"/>
      <c r="AI136" s="16"/>
      <c r="AJ136" s="17"/>
      <c r="AK136" s="16"/>
      <c r="AL136" s="16"/>
      <c r="AM136" s="16"/>
      <c r="AN136" s="17"/>
      <c r="AO136" s="16"/>
      <c r="AP136" s="16"/>
      <c r="AQ136" s="16"/>
      <c r="AR136" s="17"/>
      <c r="AS136" s="16"/>
      <c r="AT136" s="16"/>
      <c r="AU136" s="16"/>
      <c r="AV136" s="18"/>
      <c r="AW136" s="17"/>
      <c r="BA136" s="17"/>
    </row>
    <row r="137">
      <c r="A137" s="19" t="s">
        <v>145</v>
      </c>
      <c r="B137" s="45"/>
      <c r="C137" s="46"/>
      <c r="D137" s="46"/>
      <c r="E137" s="47"/>
      <c r="F137" s="45"/>
      <c r="G137" s="46"/>
      <c r="H137" s="46"/>
      <c r="I137" s="46"/>
      <c r="J137" s="47"/>
      <c r="K137" s="48"/>
      <c r="L137" s="49"/>
      <c r="M137" s="49"/>
      <c r="N137" s="50"/>
      <c r="O137" s="48"/>
      <c r="P137" s="49"/>
      <c r="Q137" s="49"/>
      <c r="R137" s="49"/>
      <c r="S137" s="50"/>
      <c r="T137" s="49"/>
      <c r="U137" s="49"/>
      <c r="V137" s="49"/>
      <c r="W137" s="50"/>
      <c r="X137" s="49"/>
      <c r="Y137" s="49"/>
      <c r="Z137" s="49"/>
      <c r="AA137" s="50"/>
      <c r="AB137" s="49"/>
      <c r="AC137" s="49"/>
      <c r="AD137" s="49"/>
      <c r="AE137" s="49"/>
      <c r="AF137" s="50"/>
      <c r="AG137" s="49"/>
      <c r="AH137" s="49"/>
      <c r="AI137" s="49"/>
      <c r="AJ137" s="50"/>
      <c r="AK137" s="49"/>
      <c r="AL137" s="49"/>
      <c r="AM137" s="49"/>
      <c r="AN137" s="50"/>
      <c r="AO137" s="46"/>
      <c r="AP137" s="46"/>
      <c r="AQ137" s="46"/>
      <c r="AR137" s="47"/>
      <c r="AS137" s="46"/>
      <c r="AT137" s="46"/>
      <c r="AU137" s="46"/>
      <c r="AV137" s="18"/>
      <c r="AW137" s="47"/>
      <c r="BA137" s="15"/>
    </row>
    <row r="138">
      <c r="A138" s="22" t="s">
        <v>146</v>
      </c>
      <c r="B138" s="21"/>
      <c r="C138" s="16"/>
      <c r="D138" s="16"/>
      <c r="E138" s="17"/>
      <c r="F138" s="21"/>
      <c r="G138" s="16"/>
      <c r="H138" s="16"/>
      <c r="I138" s="16"/>
      <c r="J138" s="17"/>
      <c r="K138" s="21"/>
      <c r="L138" s="16"/>
      <c r="M138" s="16"/>
      <c r="N138" s="17"/>
      <c r="O138" s="21"/>
      <c r="P138" s="16"/>
      <c r="Q138" s="16"/>
      <c r="R138" s="16"/>
      <c r="S138" s="17"/>
      <c r="T138" s="16"/>
      <c r="U138" s="16"/>
      <c r="V138" s="16"/>
      <c r="W138" s="17"/>
      <c r="X138" s="16"/>
      <c r="Y138" s="51"/>
      <c r="Z138" s="52"/>
      <c r="AA138" s="17"/>
      <c r="AB138" s="16"/>
      <c r="AC138" s="16"/>
      <c r="AD138" s="16"/>
      <c r="AE138" s="16"/>
      <c r="AF138" s="17"/>
      <c r="AG138" s="16"/>
      <c r="AH138" s="16"/>
      <c r="AI138" s="16"/>
      <c r="AJ138" s="17"/>
      <c r="AK138" s="16"/>
      <c r="AL138" s="16"/>
      <c r="AM138" s="16"/>
      <c r="AN138" s="17"/>
      <c r="AO138" s="16"/>
      <c r="AP138" s="16"/>
      <c r="AQ138" s="16"/>
      <c r="AR138" s="17"/>
      <c r="AT138" s="16"/>
      <c r="AU138" s="16"/>
      <c r="AV138" s="18"/>
      <c r="AW138" s="17"/>
      <c r="BA138" s="17"/>
    </row>
    <row r="139">
      <c r="A139" s="22" t="s">
        <v>147</v>
      </c>
      <c r="B139" s="21"/>
      <c r="C139" s="16"/>
      <c r="D139" s="16"/>
      <c r="E139" s="17"/>
      <c r="F139" s="21"/>
      <c r="G139" s="16"/>
      <c r="H139" s="16"/>
      <c r="I139" s="16"/>
      <c r="J139" s="17"/>
      <c r="K139" s="21"/>
      <c r="L139" s="16"/>
      <c r="M139" s="16"/>
      <c r="N139" s="17"/>
      <c r="O139" s="21"/>
      <c r="P139" s="16"/>
      <c r="Q139" s="16"/>
      <c r="R139" s="16"/>
      <c r="S139" s="17"/>
      <c r="T139" s="16"/>
      <c r="U139" s="16"/>
      <c r="V139" s="16"/>
      <c r="W139" s="17"/>
      <c r="X139" s="16"/>
      <c r="Y139" s="16"/>
      <c r="Z139" s="16"/>
      <c r="AA139" s="53"/>
      <c r="AB139" s="51"/>
      <c r="AC139" s="51"/>
      <c r="AD139" s="51"/>
      <c r="AE139" s="16"/>
      <c r="AF139" s="17"/>
      <c r="AG139" s="16"/>
      <c r="AH139" s="16"/>
      <c r="AI139" s="16"/>
      <c r="AJ139" s="17"/>
      <c r="AK139" s="16"/>
      <c r="AL139" s="16"/>
      <c r="AM139" s="16"/>
      <c r="AN139" s="17"/>
      <c r="AO139" s="16"/>
      <c r="AP139" s="16"/>
      <c r="AQ139" s="16"/>
      <c r="AR139" s="17"/>
      <c r="AS139" s="16"/>
      <c r="AT139" s="16"/>
      <c r="AU139" s="16"/>
      <c r="AV139" s="18"/>
      <c r="AW139" s="17"/>
      <c r="BA139" s="17"/>
    </row>
    <row r="140">
      <c r="A140" s="22" t="s">
        <v>148</v>
      </c>
      <c r="B140" s="54"/>
      <c r="C140" s="38"/>
      <c r="D140" s="38"/>
      <c r="E140" s="39"/>
      <c r="F140" s="54"/>
      <c r="G140" s="38"/>
      <c r="H140" s="38"/>
      <c r="I140" s="38"/>
      <c r="J140" s="39"/>
      <c r="K140" s="54"/>
      <c r="L140" s="38"/>
      <c r="M140" s="38"/>
      <c r="N140" s="39"/>
      <c r="O140" s="54"/>
      <c r="P140" s="38"/>
      <c r="Q140" s="38"/>
      <c r="R140" s="38"/>
      <c r="S140" s="39"/>
      <c r="T140" s="38"/>
      <c r="U140" s="38"/>
      <c r="V140" s="38"/>
      <c r="W140" s="39"/>
      <c r="X140" s="38"/>
      <c r="Y140" s="38"/>
      <c r="Z140" s="38"/>
      <c r="AA140" s="39"/>
      <c r="AB140" s="38"/>
      <c r="AC140" s="38"/>
      <c r="AD140" s="51"/>
      <c r="AE140" s="51"/>
      <c r="AF140" s="51"/>
      <c r="AG140" s="54"/>
      <c r="AH140" s="38"/>
      <c r="AI140" s="38"/>
      <c r="AJ140" s="39"/>
      <c r="AK140" s="38"/>
      <c r="AL140" s="38"/>
      <c r="AM140" s="38"/>
      <c r="AN140" s="39"/>
      <c r="AO140" s="38"/>
      <c r="AP140" s="38"/>
      <c r="AQ140" s="38"/>
      <c r="AR140" s="39"/>
      <c r="AS140" s="38"/>
      <c r="AT140" s="38"/>
      <c r="AU140" s="38"/>
      <c r="AV140" s="18"/>
      <c r="AW140" s="39"/>
      <c r="BA140" s="17"/>
    </row>
    <row r="141">
      <c r="A141" s="37" t="s">
        <v>149</v>
      </c>
      <c r="B141" s="21"/>
      <c r="C141" s="16"/>
      <c r="D141" s="16"/>
      <c r="E141" s="17"/>
      <c r="F141" s="21"/>
      <c r="G141" s="16"/>
      <c r="H141" s="16"/>
      <c r="I141" s="16"/>
      <c r="J141" s="17"/>
      <c r="K141" s="21"/>
      <c r="L141" s="16"/>
      <c r="M141" s="16"/>
      <c r="N141" s="17"/>
      <c r="P141" s="16"/>
      <c r="Q141" s="16"/>
      <c r="R141" s="16"/>
      <c r="S141" s="17"/>
      <c r="T141" s="16"/>
      <c r="U141" s="16"/>
      <c r="V141" s="16"/>
      <c r="W141" s="17"/>
      <c r="X141" s="16"/>
      <c r="Y141" s="16"/>
      <c r="Z141" s="16"/>
      <c r="AA141" s="17"/>
      <c r="AB141" s="16"/>
      <c r="AD141" s="55" t="s">
        <v>150</v>
      </c>
      <c r="AE141" s="56"/>
      <c r="AF141" s="16"/>
      <c r="AG141" s="21"/>
      <c r="AJ141" s="17"/>
      <c r="AK141" s="16"/>
      <c r="AL141" s="16"/>
      <c r="AM141" s="16"/>
      <c r="AN141" s="17"/>
      <c r="AO141" s="16"/>
      <c r="AP141" s="16"/>
      <c r="AQ141" s="16"/>
      <c r="AR141" s="17"/>
      <c r="AS141" s="16"/>
      <c r="AT141" s="16"/>
      <c r="AU141" s="16"/>
      <c r="AV141" s="18"/>
      <c r="AW141" s="17"/>
      <c r="BA141" s="17"/>
    </row>
    <row r="142">
      <c r="A142" s="37" t="s">
        <v>151</v>
      </c>
      <c r="B142" s="21"/>
      <c r="C142" s="16"/>
      <c r="D142" s="16"/>
      <c r="E142" s="17"/>
      <c r="F142" s="21"/>
      <c r="G142" s="16"/>
      <c r="H142" s="16"/>
      <c r="I142" s="16"/>
      <c r="J142" s="17"/>
      <c r="K142" s="21"/>
      <c r="L142" s="16"/>
      <c r="M142" s="16"/>
      <c r="N142" s="17"/>
      <c r="P142" s="16"/>
      <c r="Q142" s="16"/>
      <c r="R142" s="16"/>
      <c r="S142" s="17"/>
      <c r="T142" s="16"/>
      <c r="U142" s="16"/>
      <c r="V142" s="16"/>
      <c r="W142" s="17"/>
      <c r="X142" s="16"/>
      <c r="Y142" s="16"/>
      <c r="Z142" s="16"/>
      <c r="AA142" s="17"/>
      <c r="AB142" s="21"/>
      <c r="AD142" s="56"/>
      <c r="AE142" s="56"/>
      <c r="AF142" s="51"/>
      <c r="AG142" s="57"/>
      <c r="AH142" s="58"/>
      <c r="AJ142" s="17"/>
      <c r="AK142" s="16"/>
      <c r="AL142" s="16"/>
      <c r="AM142" s="16"/>
      <c r="AN142" s="17"/>
      <c r="AO142" s="16"/>
      <c r="AP142" s="16"/>
      <c r="AQ142" s="16"/>
      <c r="AR142" s="17"/>
      <c r="AS142" s="16"/>
      <c r="AT142" s="16"/>
      <c r="AU142" s="16"/>
      <c r="AV142" s="18"/>
      <c r="AW142" s="17"/>
      <c r="BA142" s="17"/>
    </row>
    <row r="143">
      <c r="A143" s="22" t="s">
        <v>152</v>
      </c>
      <c r="B143" s="21"/>
      <c r="C143" s="16"/>
      <c r="D143" s="16"/>
      <c r="E143" s="17"/>
      <c r="F143" s="21"/>
      <c r="G143" s="16"/>
      <c r="H143" s="16"/>
      <c r="I143" s="16"/>
      <c r="J143" s="17"/>
      <c r="K143" s="21"/>
      <c r="L143" s="16"/>
      <c r="M143" s="16"/>
      <c r="N143" s="17"/>
      <c r="O143" s="16"/>
      <c r="P143" s="16"/>
      <c r="Q143" s="16"/>
      <c r="R143" s="16"/>
      <c r="S143" s="17"/>
      <c r="W143" s="15"/>
      <c r="AB143" s="21"/>
      <c r="AD143" s="56"/>
      <c r="AE143" s="56"/>
      <c r="AF143" s="59"/>
      <c r="AG143" s="60"/>
      <c r="AJ143" s="17"/>
      <c r="AK143" s="16"/>
      <c r="AL143" s="16"/>
      <c r="AM143" s="16"/>
      <c r="AN143" s="17"/>
      <c r="AO143" s="16"/>
      <c r="AP143" s="16"/>
      <c r="AQ143" s="16"/>
      <c r="AR143" s="17"/>
      <c r="AS143" s="16"/>
      <c r="AT143" s="16"/>
      <c r="AU143" s="16"/>
      <c r="AV143" s="18"/>
      <c r="AW143" s="17"/>
      <c r="BA143" s="17"/>
    </row>
    <row r="144">
      <c r="A144" s="22" t="s">
        <v>153</v>
      </c>
      <c r="B144" s="21"/>
      <c r="C144" s="16"/>
      <c r="D144" s="16"/>
      <c r="E144" s="17"/>
      <c r="F144" s="21"/>
      <c r="G144" s="16"/>
      <c r="H144" s="16"/>
      <c r="I144" s="16"/>
      <c r="J144" s="17"/>
      <c r="K144" s="21"/>
      <c r="L144" s="16"/>
      <c r="M144" s="16"/>
      <c r="N144" s="17"/>
      <c r="O144" s="16"/>
      <c r="P144" s="16"/>
      <c r="Q144" s="16"/>
      <c r="R144" s="16"/>
      <c r="S144" s="17"/>
      <c r="W144" s="15"/>
      <c r="AB144" s="21"/>
      <c r="AE144" s="56"/>
      <c r="AF144" s="17"/>
      <c r="AG144" s="16"/>
      <c r="AJ144" s="17"/>
      <c r="AK144" s="16"/>
      <c r="AL144" s="16"/>
      <c r="AM144" s="16"/>
      <c r="AN144" s="17"/>
      <c r="AO144" s="16"/>
      <c r="AP144" s="16"/>
      <c r="AQ144" s="16"/>
      <c r="AR144" s="17"/>
      <c r="AS144" s="16"/>
      <c r="AT144" s="16"/>
      <c r="AU144" s="16"/>
      <c r="AV144" s="18"/>
      <c r="AW144" s="17"/>
      <c r="BA144" s="17"/>
    </row>
    <row r="145">
      <c r="A145" s="22" t="s">
        <v>154</v>
      </c>
      <c r="B145" s="21"/>
      <c r="C145" s="16"/>
      <c r="D145" s="16"/>
      <c r="E145" s="17"/>
      <c r="F145" s="21"/>
      <c r="G145" s="16"/>
      <c r="H145" s="16"/>
      <c r="I145" s="16"/>
      <c r="J145" s="17"/>
      <c r="K145" s="21"/>
      <c r="L145" s="16"/>
      <c r="M145" s="16"/>
      <c r="N145" s="17"/>
      <c r="O145" s="16"/>
      <c r="P145" s="16"/>
      <c r="Q145" s="16"/>
      <c r="R145" s="16"/>
      <c r="S145" s="17"/>
      <c r="W145" s="15"/>
      <c r="AB145" s="21"/>
      <c r="AE145" s="56"/>
      <c r="AF145" s="53"/>
      <c r="AG145" s="16"/>
      <c r="AJ145" s="17"/>
      <c r="AK145" s="16"/>
      <c r="AL145" s="16"/>
      <c r="AM145" s="16"/>
      <c r="AN145" s="17"/>
      <c r="AO145" s="16"/>
      <c r="AP145" s="16"/>
      <c r="AQ145" s="16"/>
      <c r="AR145" s="17"/>
      <c r="AS145" s="16"/>
      <c r="AT145" s="16"/>
      <c r="AU145" s="16"/>
      <c r="AV145" s="18"/>
      <c r="AW145" s="17"/>
      <c r="BA145" s="17"/>
    </row>
    <row r="146">
      <c r="A146" s="22" t="s">
        <v>155</v>
      </c>
      <c r="B146" s="21"/>
      <c r="C146" s="16"/>
      <c r="D146" s="16"/>
      <c r="E146" s="17"/>
      <c r="F146" s="21"/>
      <c r="G146" s="16"/>
      <c r="H146" s="16"/>
      <c r="I146" s="16"/>
      <c r="J146" s="17"/>
      <c r="K146" s="21"/>
      <c r="L146" s="16"/>
      <c r="M146" s="16"/>
      <c r="N146" s="17"/>
      <c r="O146" s="16"/>
      <c r="P146" s="16"/>
      <c r="Q146" s="16"/>
      <c r="R146" s="16"/>
      <c r="S146" s="17"/>
      <c r="W146" s="15"/>
      <c r="AB146" s="21"/>
      <c r="AF146" s="17"/>
      <c r="AG146" s="51"/>
      <c r="AH146" s="56"/>
      <c r="AJ146" s="17"/>
      <c r="AK146" s="16"/>
      <c r="AL146" s="16"/>
      <c r="AM146" s="16"/>
      <c r="AN146" s="17"/>
      <c r="AO146" s="16"/>
      <c r="AP146" s="16"/>
      <c r="AQ146" s="16"/>
      <c r="AR146" s="17"/>
      <c r="AS146" s="16"/>
      <c r="AT146" s="16"/>
      <c r="AU146" s="16"/>
      <c r="AV146" s="18"/>
      <c r="AW146" s="17"/>
      <c r="BA146" s="17"/>
    </row>
    <row r="147">
      <c r="A147" s="22" t="s">
        <v>156</v>
      </c>
      <c r="B147" s="21"/>
      <c r="C147" s="16"/>
      <c r="D147" s="16"/>
      <c r="E147" s="17"/>
      <c r="F147" s="21"/>
      <c r="G147" s="16"/>
      <c r="H147" s="16"/>
      <c r="I147" s="16"/>
      <c r="J147" s="17"/>
      <c r="K147" s="21"/>
      <c r="L147" s="16"/>
      <c r="M147" s="16"/>
      <c r="N147" s="17"/>
      <c r="O147" s="16"/>
      <c r="P147" s="16"/>
      <c r="Q147" s="16"/>
      <c r="R147" s="16"/>
      <c r="S147" s="17"/>
      <c r="W147" s="15"/>
      <c r="Y147" s="56"/>
      <c r="Z147" s="56"/>
      <c r="AB147" s="21"/>
      <c r="AF147" s="17"/>
      <c r="AG147" s="16"/>
      <c r="AJ147" s="17"/>
      <c r="AK147" s="16"/>
      <c r="AL147" s="16"/>
      <c r="AM147" s="16"/>
      <c r="AN147" s="17"/>
      <c r="AO147" s="16"/>
      <c r="AP147" s="16"/>
      <c r="AQ147" s="16"/>
      <c r="AR147" s="17"/>
      <c r="AS147" s="16"/>
      <c r="AT147" s="16"/>
      <c r="AU147" s="16"/>
      <c r="AV147" s="18"/>
      <c r="AW147" s="17"/>
      <c r="BA147" s="17"/>
    </row>
    <row r="148">
      <c r="A148" s="22" t="s">
        <v>157</v>
      </c>
      <c r="B148" s="21"/>
      <c r="C148" s="16"/>
      <c r="D148" s="16"/>
      <c r="E148" s="17"/>
      <c r="F148" s="21"/>
      <c r="G148" s="16"/>
      <c r="H148" s="16"/>
      <c r="I148" s="16"/>
      <c r="J148" s="17"/>
      <c r="K148" s="21"/>
      <c r="L148" s="16"/>
      <c r="M148" s="16"/>
      <c r="N148" s="17"/>
      <c r="O148" s="16"/>
      <c r="P148" s="16"/>
      <c r="Q148" s="16"/>
      <c r="R148" s="16"/>
      <c r="S148" s="17"/>
      <c r="W148" s="15"/>
      <c r="Z148" s="56"/>
      <c r="AA148" s="56"/>
      <c r="AB148" s="21"/>
      <c r="AF148" s="17"/>
      <c r="AG148" s="16"/>
      <c r="AJ148" s="17"/>
      <c r="AK148" s="16"/>
      <c r="AL148" s="16"/>
      <c r="AM148" s="16"/>
      <c r="AN148" s="17"/>
      <c r="AO148" s="16"/>
      <c r="AP148" s="16"/>
      <c r="AQ148" s="16"/>
      <c r="AR148" s="17"/>
      <c r="AS148" s="16"/>
      <c r="AT148" s="16"/>
      <c r="AU148" s="16"/>
      <c r="AV148" s="18"/>
      <c r="AW148" s="17"/>
      <c r="BA148" s="17"/>
    </row>
    <row r="149">
      <c r="A149" s="22" t="s">
        <v>158</v>
      </c>
      <c r="B149" s="21"/>
      <c r="C149" s="16"/>
      <c r="D149" s="16"/>
      <c r="E149" s="17"/>
      <c r="F149" s="21"/>
      <c r="G149" s="16"/>
      <c r="H149" s="16"/>
      <c r="I149" s="16"/>
      <c r="J149" s="17"/>
      <c r="K149" s="21"/>
      <c r="L149" s="16"/>
      <c r="M149" s="16"/>
      <c r="N149" s="17"/>
      <c r="O149" s="16"/>
      <c r="P149" s="16"/>
      <c r="Q149" s="16"/>
      <c r="R149" s="16"/>
      <c r="S149" s="17"/>
      <c r="W149" s="15"/>
      <c r="AA149" s="56"/>
      <c r="AB149" s="61"/>
      <c r="AC149" s="16"/>
      <c r="AF149" s="17"/>
      <c r="AG149" s="16"/>
      <c r="AJ149" s="15"/>
      <c r="AL149" s="16"/>
      <c r="AM149" s="16"/>
      <c r="AN149" s="17"/>
      <c r="AO149" s="16"/>
      <c r="AP149" s="16"/>
      <c r="AQ149" s="16"/>
      <c r="AR149" s="17"/>
      <c r="AS149" s="16"/>
      <c r="AT149" s="16"/>
      <c r="AU149" s="16"/>
      <c r="AV149" s="18"/>
      <c r="AW149" s="17"/>
      <c r="BA149" s="17"/>
    </row>
    <row r="150">
      <c r="A150" s="22" t="s">
        <v>159</v>
      </c>
      <c r="B150" s="21"/>
      <c r="C150" s="16"/>
      <c r="D150" s="16"/>
      <c r="E150" s="17"/>
      <c r="F150" s="21"/>
      <c r="G150" s="16"/>
      <c r="H150" s="16"/>
      <c r="I150" s="16"/>
      <c r="J150" s="17"/>
      <c r="K150" s="21"/>
      <c r="L150" s="16"/>
      <c r="M150" s="16"/>
      <c r="N150" s="17"/>
      <c r="O150" s="16"/>
      <c r="P150" s="16"/>
      <c r="Q150" s="16"/>
      <c r="R150" s="16"/>
      <c r="S150" s="17"/>
      <c r="W150" s="15"/>
      <c r="AB150" s="61"/>
      <c r="AC150" s="51"/>
      <c r="AD150" s="56"/>
      <c r="AF150" s="17"/>
      <c r="AG150" s="16"/>
      <c r="AK150" s="13"/>
      <c r="AL150" s="16"/>
      <c r="AM150" s="16"/>
      <c r="AN150" s="17"/>
      <c r="AO150" s="16"/>
      <c r="AP150" s="16"/>
      <c r="AQ150" s="16"/>
      <c r="AR150" s="17"/>
      <c r="AS150" s="16"/>
      <c r="AT150" s="16"/>
      <c r="AU150" s="16"/>
      <c r="AV150" s="18"/>
      <c r="AW150" s="17"/>
      <c r="BA150" s="17"/>
    </row>
    <row r="151">
      <c r="A151" s="22" t="s">
        <v>160</v>
      </c>
      <c r="B151" s="21"/>
      <c r="C151" s="16"/>
      <c r="D151" s="16"/>
      <c r="E151" s="17"/>
      <c r="F151" s="21"/>
      <c r="G151" s="16"/>
      <c r="H151" s="16"/>
      <c r="I151" s="16"/>
      <c r="J151" s="17"/>
      <c r="K151" s="21"/>
      <c r="L151" s="16"/>
      <c r="M151" s="16"/>
      <c r="N151" s="17"/>
      <c r="O151" s="16"/>
      <c r="P151" s="16"/>
      <c r="Q151" s="16"/>
      <c r="R151" s="16"/>
      <c r="S151" s="17"/>
      <c r="W151" s="15"/>
      <c r="AB151" s="21"/>
      <c r="AE151" s="56"/>
      <c r="AF151" s="17"/>
      <c r="AG151" s="16"/>
      <c r="AJ151" s="17"/>
      <c r="AK151" s="16"/>
      <c r="AL151" s="16"/>
      <c r="AM151" s="16"/>
      <c r="AN151" s="17"/>
      <c r="AO151" s="16"/>
      <c r="AP151" s="16"/>
      <c r="AQ151" s="16"/>
      <c r="AR151" s="17"/>
      <c r="AS151" s="16"/>
      <c r="AT151" s="16"/>
      <c r="AU151" s="16"/>
      <c r="AV151" s="18"/>
      <c r="AW151" s="17"/>
      <c r="BA151" s="17"/>
    </row>
    <row r="152">
      <c r="A152" s="22" t="s">
        <v>161</v>
      </c>
      <c r="B152" s="21"/>
      <c r="C152" s="16"/>
      <c r="D152" s="16"/>
      <c r="E152" s="17"/>
      <c r="F152" s="21"/>
      <c r="G152" s="16"/>
      <c r="H152" s="16"/>
      <c r="I152" s="16"/>
      <c r="J152" s="17"/>
      <c r="K152" s="21"/>
      <c r="L152" s="16"/>
      <c r="M152" s="16"/>
      <c r="N152" s="17"/>
      <c r="O152" s="16"/>
      <c r="P152" s="16"/>
      <c r="Q152" s="16"/>
      <c r="R152" s="16"/>
      <c r="S152" s="17"/>
      <c r="W152" s="15"/>
      <c r="AB152" s="21"/>
      <c r="AD152" s="16"/>
      <c r="AF152" s="53"/>
      <c r="AG152" s="51"/>
      <c r="AH152" s="62"/>
      <c r="AI152" s="62"/>
      <c r="AJ152" s="53"/>
      <c r="AK152" s="16"/>
      <c r="AL152" s="16"/>
      <c r="AM152" s="16"/>
      <c r="AN152" s="17"/>
      <c r="AO152" s="16"/>
      <c r="AP152" s="16"/>
      <c r="AQ152" s="16"/>
      <c r="AR152" s="17"/>
      <c r="AS152" s="16"/>
      <c r="AT152" s="16"/>
      <c r="AU152" s="16"/>
      <c r="AV152" s="18"/>
      <c r="AW152" s="17"/>
      <c r="BA152" s="17"/>
    </row>
    <row r="153">
      <c r="A153" s="22" t="s">
        <v>162</v>
      </c>
      <c r="B153" s="21"/>
      <c r="C153" s="16"/>
      <c r="D153" s="16"/>
      <c r="E153" s="17"/>
      <c r="F153" s="21"/>
      <c r="G153" s="16"/>
      <c r="H153" s="16"/>
      <c r="I153" s="16"/>
      <c r="J153" s="17"/>
      <c r="K153" s="21"/>
      <c r="L153" s="16"/>
      <c r="M153" s="16"/>
      <c r="N153" s="17"/>
      <c r="O153" s="16"/>
      <c r="P153" s="16"/>
      <c r="Q153" s="16"/>
      <c r="R153" s="16"/>
      <c r="S153" s="17"/>
      <c r="W153" s="15"/>
      <c r="AB153" s="21"/>
      <c r="AD153" s="16"/>
      <c r="AF153" s="53"/>
      <c r="AG153" s="51"/>
      <c r="AH153" s="56"/>
      <c r="AI153" s="56"/>
      <c r="AJ153" s="17"/>
      <c r="AK153" s="16"/>
      <c r="AL153" s="16"/>
      <c r="AM153" s="16"/>
      <c r="AN153" s="17"/>
      <c r="AO153" s="16"/>
      <c r="AP153" s="16"/>
      <c r="AQ153" s="16"/>
      <c r="AR153" s="17"/>
      <c r="AS153" s="16"/>
      <c r="AT153" s="16"/>
      <c r="AU153" s="16"/>
      <c r="AV153" s="18"/>
      <c r="AW153" s="17"/>
      <c r="BA153" s="17"/>
    </row>
    <row r="154">
      <c r="A154" s="22" t="s">
        <v>163</v>
      </c>
      <c r="B154" s="21"/>
      <c r="C154" s="16"/>
      <c r="D154" s="16"/>
      <c r="E154" s="17"/>
      <c r="F154" s="21"/>
      <c r="G154" s="16"/>
      <c r="H154" s="16"/>
      <c r="I154" s="16"/>
      <c r="J154" s="17"/>
      <c r="K154" s="21"/>
      <c r="L154" s="16"/>
      <c r="M154" s="16"/>
      <c r="N154" s="17"/>
      <c r="O154" s="16"/>
      <c r="P154" s="16"/>
      <c r="Q154" s="16"/>
      <c r="R154" s="16"/>
      <c r="S154" s="17"/>
      <c r="W154" s="15"/>
      <c r="Y154" s="56"/>
      <c r="Z154" s="56"/>
      <c r="AA154" s="56"/>
      <c r="AB154" s="21"/>
      <c r="AF154" s="17"/>
      <c r="AG154" s="16"/>
      <c r="AJ154" s="17"/>
      <c r="AK154" s="16"/>
      <c r="AL154" s="16"/>
      <c r="AM154" s="16"/>
      <c r="AN154" s="17"/>
      <c r="AO154" s="16"/>
      <c r="AR154" s="17"/>
      <c r="AS154" s="16"/>
      <c r="AT154" s="16"/>
      <c r="AU154" s="16"/>
      <c r="AV154" s="18"/>
      <c r="AW154" s="17"/>
      <c r="BA154" s="17"/>
    </row>
    <row r="155">
      <c r="A155" s="22" t="s">
        <v>164</v>
      </c>
      <c r="B155" s="21"/>
      <c r="C155" s="16"/>
      <c r="D155" s="16"/>
      <c r="E155" s="17"/>
      <c r="F155" s="21"/>
      <c r="G155" s="16"/>
      <c r="H155" s="16"/>
      <c r="I155" s="16"/>
      <c r="J155" s="17"/>
      <c r="K155" s="21"/>
      <c r="L155" s="16"/>
      <c r="M155" s="16"/>
      <c r="N155" s="17"/>
      <c r="O155" s="16"/>
      <c r="P155" s="16"/>
      <c r="Q155" s="16"/>
      <c r="R155" s="16"/>
      <c r="S155" s="17"/>
      <c r="W155" s="15"/>
      <c r="AB155" s="63"/>
      <c r="AC155" s="56"/>
      <c r="AF155" s="17"/>
      <c r="AG155" s="16"/>
      <c r="AJ155" s="17"/>
      <c r="AK155" s="16"/>
      <c r="AL155" s="16"/>
      <c r="AM155" s="16"/>
      <c r="AN155" s="17"/>
      <c r="AO155" s="16"/>
      <c r="AR155" s="17"/>
      <c r="AS155" s="16"/>
      <c r="AT155" s="16"/>
      <c r="AU155" s="16"/>
      <c r="AV155" s="18"/>
      <c r="AW155" s="17"/>
      <c r="BA155" s="17"/>
    </row>
    <row r="156">
      <c r="A156" s="22" t="s">
        <v>165</v>
      </c>
      <c r="B156" s="21"/>
      <c r="C156" s="16"/>
      <c r="D156" s="16"/>
      <c r="E156" s="17"/>
      <c r="F156" s="21"/>
      <c r="G156" s="16"/>
      <c r="H156" s="16"/>
      <c r="I156" s="16"/>
      <c r="J156" s="17"/>
      <c r="K156" s="21"/>
      <c r="L156" s="16"/>
      <c r="M156" s="16"/>
      <c r="N156" s="17"/>
      <c r="P156" s="16"/>
      <c r="Q156" s="16"/>
      <c r="R156" s="16"/>
      <c r="S156" s="17"/>
      <c r="W156" s="15"/>
      <c r="AB156" s="21"/>
      <c r="AD156" s="56"/>
      <c r="AE156" s="56"/>
      <c r="AF156" s="59"/>
      <c r="AG156" s="60"/>
      <c r="AJ156" s="17"/>
      <c r="AK156" s="16"/>
      <c r="AL156" s="16"/>
      <c r="AM156" s="16"/>
      <c r="AN156" s="17"/>
      <c r="AO156" s="16"/>
      <c r="AR156" s="17"/>
      <c r="AS156" s="21"/>
      <c r="AT156" s="16"/>
      <c r="AU156" s="16"/>
      <c r="AV156" s="18"/>
      <c r="AW156" s="17"/>
      <c r="BA156" s="17"/>
    </row>
    <row r="157">
      <c r="A157" s="22" t="s">
        <v>166</v>
      </c>
      <c r="B157" s="21"/>
      <c r="C157" s="16"/>
      <c r="D157" s="16"/>
      <c r="E157" s="17"/>
      <c r="F157" s="21"/>
      <c r="G157" s="16"/>
      <c r="H157" s="16"/>
      <c r="I157" s="16"/>
      <c r="J157" s="17"/>
      <c r="K157" s="21"/>
      <c r="L157" s="16"/>
      <c r="M157" s="16"/>
      <c r="N157" s="17"/>
      <c r="O157" s="16"/>
      <c r="P157" s="16"/>
      <c r="Q157" s="16"/>
      <c r="R157" s="16"/>
      <c r="S157" s="17"/>
      <c r="W157" s="15"/>
      <c r="AB157" s="21"/>
      <c r="AF157" s="53"/>
      <c r="AG157" s="60"/>
      <c r="AH157" s="58"/>
      <c r="AI157" s="58"/>
      <c r="AJ157" s="17"/>
      <c r="AK157" s="16"/>
      <c r="AL157" s="16"/>
      <c r="AM157" s="16"/>
      <c r="AN157" s="17"/>
      <c r="AS157" s="21"/>
      <c r="AT157" s="16"/>
      <c r="AU157" s="16"/>
      <c r="AV157" s="18"/>
      <c r="AW157" s="17"/>
      <c r="BA157" s="17"/>
    </row>
    <row r="158">
      <c r="A158" s="22" t="s">
        <v>167</v>
      </c>
      <c r="B158" s="21"/>
      <c r="C158" s="16"/>
      <c r="D158" s="16"/>
      <c r="E158" s="17"/>
      <c r="F158" s="21"/>
      <c r="G158" s="16"/>
      <c r="H158" s="16"/>
      <c r="I158" s="16"/>
      <c r="J158" s="17"/>
      <c r="K158" s="21"/>
      <c r="L158" s="16"/>
      <c r="M158" s="16"/>
      <c r="N158" s="17"/>
      <c r="O158" s="21"/>
      <c r="P158" s="16"/>
      <c r="Q158" s="16"/>
      <c r="R158" s="16"/>
      <c r="S158" s="17"/>
      <c r="W158" s="15"/>
      <c r="AB158" s="21"/>
      <c r="AF158" s="53"/>
      <c r="AG158" s="51"/>
      <c r="AH158" s="56"/>
      <c r="AJ158" s="17"/>
      <c r="AK158" s="16"/>
      <c r="AL158" s="16"/>
      <c r="AM158" s="16"/>
      <c r="AN158" s="17"/>
      <c r="AS158" s="21"/>
      <c r="AT158" s="16"/>
      <c r="AU158" s="16"/>
      <c r="AV158" s="18"/>
      <c r="AW158" s="17"/>
      <c r="BA158" s="17"/>
    </row>
    <row r="159">
      <c r="A159" s="22" t="s">
        <v>168</v>
      </c>
      <c r="B159" s="21"/>
      <c r="C159" s="16"/>
      <c r="D159" s="16"/>
      <c r="E159" s="17"/>
      <c r="F159" s="21"/>
      <c r="G159" s="16"/>
      <c r="H159" s="16"/>
      <c r="I159" s="16"/>
      <c r="J159" s="17"/>
      <c r="K159" s="21"/>
      <c r="L159" s="16"/>
      <c r="M159" s="16"/>
      <c r="N159" s="17"/>
      <c r="O159" s="21"/>
      <c r="P159" s="16"/>
      <c r="Q159" s="16"/>
      <c r="R159" s="16"/>
      <c r="S159" s="17"/>
      <c r="W159" s="15"/>
      <c r="AB159" s="21"/>
      <c r="AE159" s="56"/>
      <c r="AF159" s="53"/>
      <c r="AG159" s="51"/>
      <c r="AH159" s="56"/>
      <c r="AI159" s="56"/>
      <c r="AJ159" s="17"/>
      <c r="AK159" s="16"/>
      <c r="AL159" s="16"/>
      <c r="AM159" s="16"/>
      <c r="AN159" s="17"/>
      <c r="AS159" s="21"/>
      <c r="AV159" s="18"/>
      <c r="AW159" s="17"/>
      <c r="BA159" s="17"/>
    </row>
    <row r="160">
      <c r="A160" s="22" t="s">
        <v>169</v>
      </c>
      <c r="B160" s="21"/>
      <c r="C160" s="16"/>
      <c r="D160" s="16"/>
      <c r="E160" s="17"/>
      <c r="F160" s="21"/>
      <c r="G160" s="16"/>
      <c r="H160" s="16"/>
      <c r="I160" s="16"/>
      <c r="J160" s="17"/>
      <c r="K160" s="21"/>
      <c r="L160" s="16"/>
      <c r="M160" s="16"/>
      <c r="N160" s="17"/>
      <c r="O160" s="21"/>
      <c r="P160" s="16"/>
      <c r="Q160" s="16"/>
      <c r="R160" s="16"/>
      <c r="S160" s="17"/>
      <c r="W160" s="15"/>
      <c r="AB160" s="21"/>
      <c r="AE160" s="56"/>
      <c r="AF160" s="53"/>
      <c r="AG160" s="51"/>
      <c r="AH160" s="56"/>
      <c r="AI160" s="56"/>
      <c r="AJ160" s="17"/>
      <c r="AK160" s="16"/>
      <c r="AL160" s="16"/>
      <c r="AM160" s="16"/>
      <c r="AN160" s="17"/>
      <c r="AS160" s="13"/>
      <c r="AV160" s="18"/>
      <c r="AW160" s="17"/>
      <c r="BA160" s="17"/>
    </row>
    <row r="161">
      <c r="A161" s="22" t="s">
        <v>170</v>
      </c>
      <c r="B161" s="21"/>
      <c r="C161" s="16"/>
      <c r="D161" s="16"/>
      <c r="E161" s="17"/>
      <c r="F161" s="21"/>
      <c r="G161" s="16"/>
      <c r="H161" s="16"/>
      <c r="I161" s="16"/>
      <c r="J161" s="17"/>
      <c r="K161" s="21"/>
      <c r="L161" s="16"/>
      <c r="M161" s="16"/>
      <c r="N161" s="17"/>
      <c r="O161" s="21"/>
      <c r="P161" s="16"/>
      <c r="Q161" s="16"/>
      <c r="R161" s="16"/>
      <c r="S161" s="17"/>
      <c r="W161" s="15"/>
      <c r="AB161" s="21"/>
      <c r="AF161" s="17"/>
      <c r="AG161" s="16"/>
      <c r="AJ161" s="53"/>
      <c r="AK161" s="16"/>
      <c r="AN161" s="17"/>
      <c r="AS161" s="13"/>
      <c r="AV161" s="18"/>
      <c r="AW161" s="17"/>
      <c r="BA161" s="17"/>
    </row>
    <row r="162">
      <c r="A162" s="22" t="s">
        <v>171</v>
      </c>
      <c r="B162" s="21"/>
      <c r="C162" s="16"/>
      <c r="D162" s="16"/>
      <c r="E162" s="17"/>
      <c r="F162" s="21"/>
      <c r="J162" s="17"/>
      <c r="O162" s="21"/>
      <c r="P162" s="16"/>
      <c r="Q162" s="16"/>
      <c r="R162" s="16"/>
      <c r="S162" s="17"/>
      <c r="W162" s="15"/>
      <c r="AB162" s="21"/>
      <c r="AF162" s="17"/>
      <c r="AG162" s="16"/>
      <c r="AJ162" s="53"/>
      <c r="AK162" s="16"/>
      <c r="AN162" s="17"/>
      <c r="AS162" s="13"/>
      <c r="AV162" s="18"/>
      <c r="AW162" s="17"/>
      <c r="BA162" s="17"/>
    </row>
    <row r="163">
      <c r="A163" s="22" t="s">
        <v>172</v>
      </c>
      <c r="E163" s="17"/>
      <c r="F163" s="21"/>
      <c r="J163" s="17"/>
      <c r="O163" s="21"/>
      <c r="S163" s="17"/>
      <c r="W163" s="15"/>
      <c r="AB163" s="13"/>
      <c r="AF163" s="15"/>
      <c r="AG163" s="16"/>
      <c r="AJ163" s="64"/>
      <c r="AK163" s="16"/>
      <c r="AN163" s="17"/>
      <c r="AS163" s="13"/>
      <c r="AV163" s="18"/>
      <c r="AW163" s="15"/>
      <c r="BA163" s="17"/>
    </row>
    <row r="164">
      <c r="A164" s="22" t="s">
        <v>173</v>
      </c>
      <c r="E164" s="17"/>
      <c r="F164" s="21"/>
      <c r="J164" s="17"/>
      <c r="O164" s="21"/>
      <c r="S164" s="17"/>
      <c r="W164" s="15"/>
      <c r="AB164" s="13"/>
      <c r="AF164" s="15"/>
      <c r="AG164" s="16"/>
      <c r="AJ164" s="17"/>
      <c r="AK164" s="18"/>
      <c r="AN164" s="17"/>
      <c r="AS164" s="13"/>
      <c r="AV164" s="18"/>
      <c r="AW164" s="15"/>
      <c r="BA164" s="17"/>
    </row>
    <row r="165">
      <c r="A165" s="19" t="s">
        <v>174</v>
      </c>
      <c r="E165" s="15"/>
      <c r="K165" s="13"/>
      <c r="O165" s="21"/>
      <c r="S165" s="15"/>
      <c r="W165" s="15"/>
      <c r="AB165" s="13"/>
      <c r="AF165" s="15"/>
      <c r="AJ165" s="15"/>
      <c r="AO165" s="13"/>
      <c r="AS165" s="13"/>
      <c r="AV165" s="18"/>
      <c r="AW165" s="17"/>
      <c r="BA165" s="17"/>
    </row>
    <row r="166">
      <c r="A166" s="37" t="s">
        <v>175</v>
      </c>
      <c r="E166" s="15"/>
      <c r="K166" s="13"/>
      <c r="O166" s="21"/>
      <c r="S166" s="15"/>
      <c r="W166" s="15"/>
      <c r="AB166" s="13"/>
      <c r="AF166" s="15"/>
      <c r="AJ166" s="15"/>
      <c r="AL166" s="58"/>
      <c r="AM166" s="58"/>
      <c r="AO166" s="13"/>
      <c r="AS166" s="13"/>
      <c r="AV166" s="18"/>
      <c r="AW166" s="17"/>
      <c r="BA166" s="17"/>
    </row>
    <row r="167">
      <c r="A167" s="22" t="s">
        <v>176</v>
      </c>
      <c r="E167" s="15"/>
      <c r="K167" s="13"/>
      <c r="O167" s="21"/>
      <c r="S167" s="15"/>
      <c r="W167" s="15"/>
      <c r="AB167" s="13"/>
      <c r="AF167" s="15"/>
      <c r="AJ167" s="15"/>
      <c r="AO167" s="13"/>
      <c r="AS167" s="13"/>
      <c r="AV167" s="18"/>
      <c r="AW167" s="17"/>
      <c r="AX167" s="16"/>
      <c r="BA167" s="17"/>
    </row>
    <row r="168">
      <c r="E168" s="15"/>
      <c r="K168" s="13"/>
      <c r="O168" s="21"/>
      <c r="S168" s="15"/>
      <c r="W168" s="15"/>
      <c r="AB168" s="13"/>
      <c r="AF168" s="15"/>
      <c r="AJ168" s="15"/>
      <c r="AO168" s="13"/>
      <c r="AS168" s="13"/>
      <c r="AV168" s="18"/>
      <c r="AW168" s="17"/>
      <c r="AX168" s="16"/>
      <c r="BA168" s="17"/>
    </row>
    <row r="169">
      <c r="E169" s="15"/>
      <c r="K169" s="13"/>
      <c r="O169" s="21"/>
      <c r="S169" s="15"/>
      <c r="W169" s="15"/>
      <c r="AB169" s="13"/>
      <c r="AF169" s="15"/>
      <c r="AJ169" s="15"/>
      <c r="AO169" s="13"/>
      <c r="AS169" s="13"/>
      <c r="AV169" s="18"/>
      <c r="AW169" s="17"/>
      <c r="AX169" s="16"/>
      <c r="BA169" s="17"/>
    </row>
    <row r="170">
      <c r="E170" s="15"/>
      <c r="K170" s="13"/>
      <c r="O170" s="21"/>
      <c r="S170" s="15"/>
      <c r="W170" s="15"/>
      <c r="AB170" s="13"/>
      <c r="AF170" s="15"/>
      <c r="AJ170" s="15"/>
      <c r="AO170" s="13"/>
      <c r="AS170" s="13"/>
      <c r="AV170" s="18"/>
      <c r="AW170" s="17"/>
      <c r="AX170" s="16"/>
      <c r="BA170" s="17"/>
    </row>
    <row r="171">
      <c r="E171" s="15"/>
      <c r="K171" s="13"/>
      <c r="O171" s="21"/>
      <c r="S171" s="15"/>
      <c r="W171" s="15"/>
      <c r="AB171" s="13"/>
      <c r="AF171" s="15"/>
      <c r="AJ171" s="15"/>
      <c r="AO171" s="13"/>
      <c r="AS171" s="13"/>
      <c r="AV171" s="18"/>
      <c r="AW171" s="17"/>
      <c r="AX171" s="16"/>
      <c r="BA171" s="17"/>
    </row>
    <row r="172">
      <c r="E172" s="15"/>
      <c r="K172" s="13"/>
      <c r="O172" s="21"/>
      <c r="S172" s="15"/>
      <c r="W172" s="15"/>
      <c r="AB172" s="13"/>
      <c r="AF172" s="15"/>
      <c r="AJ172" s="15"/>
      <c r="AO172" s="13"/>
      <c r="AS172" s="13"/>
      <c r="AV172" s="18"/>
      <c r="AW172" s="17"/>
      <c r="AX172" s="16"/>
      <c r="BA172" s="17"/>
    </row>
    <row r="173">
      <c r="A173" s="1"/>
      <c r="E173" s="15"/>
      <c r="K173" s="13"/>
      <c r="O173" s="21"/>
      <c r="S173" s="15"/>
      <c r="W173" s="15"/>
      <c r="AB173" s="13"/>
      <c r="AF173" s="15"/>
      <c r="AJ173" s="15"/>
      <c r="AO173" s="13"/>
      <c r="AS173" s="13"/>
      <c r="AV173" s="18"/>
      <c r="AW173" s="17"/>
      <c r="AX173" s="16"/>
      <c r="BA173" s="17"/>
    </row>
    <row r="174">
      <c r="A174" s="19" t="s">
        <v>177</v>
      </c>
      <c r="E174" s="15"/>
      <c r="K174" s="13"/>
      <c r="O174" s="21"/>
      <c r="S174" s="15"/>
      <c r="W174" s="15"/>
      <c r="AB174" s="13"/>
      <c r="AF174" s="15"/>
      <c r="AJ174" s="15"/>
      <c r="AO174" s="13"/>
      <c r="AS174" s="13"/>
      <c r="AV174" s="18"/>
      <c r="AW174" s="17"/>
      <c r="AX174" s="16"/>
      <c r="BA174" s="17"/>
    </row>
    <row r="175">
      <c r="A175" s="22" t="s">
        <v>178</v>
      </c>
      <c r="E175" s="15"/>
      <c r="K175" s="13"/>
      <c r="O175" s="21"/>
      <c r="S175" s="15"/>
      <c r="W175" s="15"/>
      <c r="AB175" s="13"/>
      <c r="AF175" s="15"/>
      <c r="AJ175" s="15"/>
      <c r="AO175" s="13"/>
      <c r="AS175" s="13"/>
      <c r="AV175" s="18"/>
      <c r="AW175" s="17"/>
      <c r="AX175" s="16"/>
      <c r="BA175" s="17"/>
    </row>
    <row r="176">
      <c r="A176" s="22" t="s">
        <v>179</v>
      </c>
      <c r="E176" s="15"/>
      <c r="K176" s="13"/>
      <c r="O176" s="21"/>
      <c r="S176" s="15"/>
      <c r="W176" s="15"/>
      <c r="AB176" s="13"/>
      <c r="AF176" s="15"/>
      <c r="AJ176" s="15"/>
      <c r="AO176" s="13"/>
      <c r="AS176" s="13"/>
      <c r="AV176" s="18"/>
      <c r="AW176" s="17"/>
      <c r="AX176" s="16"/>
      <c r="BA176" s="17"/>
    </row>
    <row r="177">
      <c r="A177" s="22" t="s">
        <v>180</v>
      </c>
      <c r="E177" s="15"/>
      <c r="K177" s="13"/>
      <c r="O177" s="21"/>
      <c r="S177" s="15"/>
      <c r="W177" s="15"/>
      <c r="AB177" s="13"/>
      <c r="AF177" s="15"/>
      <c r="AJ177" s="15"/>
      <c r="AO177" s="13"/>
      <c r="AS177" s="13"/>
      <c r="AV177" s="18"/>
      <c r="AW177" s="17"/>
      <c r="AX177" s="16"/>
      <c r="BA177" s="17"/>
    </row>
    <row r="178">
      <c r="A178" s="22" t="s">
        <v>181</v>
      </c>
      <c r="B178" s="21"/>
      <c r="C178" s="16"/>
      <c r="D178" s="16"/>
      <c r="E178" s="15"/>
      <c r="K178" s="13"/>
      <c r="O178" s="21"/>
      <c r="S178" s="15"/>
      <c r="W178" s="15"/>
      <c r="AB178" s="13"/>
      <c r="AF178" s="15"/>
      <c r="AJ178" s="15"/>
      <c r="AO178" s="13"/>
      <c r="AS178" s="13"/>
      <c r="AV178" s="18"/>
      <c r="AW178" s="17"/>
      <c r="AX178" s="16"/>
      <c r="BA178" s="17"/>
    </row>
    <row r="179">
      <c r="A179" s="22" t="s">
        <v>182</v>
      </c>
      <c r="B179" s="21"/>
      <c r="C179" s="16"/>
      <c r="D179" s="16"/>
      <c r="E179" s="15"/>
      <c r="K179" s="13"/>
      <c r="O179" s="21"/>
      <c r="R179" s="65"/>
      <c r="S179" s="15"/>
      <c r="W179" s="15"/>
      <c r="AB179" s="13"/>
      <c r="AF179" s="15"/>
      <c r="AJ179" s="15"/>
      <c r="AO179" s="13"/>
      <c r="AS179" s="13"/>
      <c r="AV179" s="18"/>
      <c r="AW179" s="17"/>
      <c r="AX179" s="16"/>
      <c r="BA179" s="17"/>
    </row>
    <row r="180">
      <c r="A180" s="22" t="s">
        <v>183</v>
      </c>
      <c r="B180" s="21"/>
      <c r="C180" s="16"/>
      <c r="D180" s="16"/>
      <c r="E180" s="15"/>
      <c r="K180" s="13"/>
      <c r="O180" s="21"/>
      <c r="S180" s="66"/>
      <c r="W180" s="15"/>
      <c r="AB180" s="13"/>
      <c r="AF180" s="15"/>
      <c r="AJ180" s="15"/>
      <c r="AO180" s="13"/>
      <c r="AS180" s="13"/>
      <c r="AV180" s="18"/>
      <c r="AW180" s="17"/>
      <c r="AX180" s="16"/>
      <c r="BA180" s="17"/>
    </row>
    <row r="181">
      <c r="A181" s="22" t="s">
        <v>184</v>
      </c>
      <c r="B181" s="21"/>
      <c r="C181" s="16"/>
      <c r="D181" s="16"/>
      <c r="E181" s="15"/>
      <c r="K181" s="13"/>
      <c r="O181" s="21"/>
      <c r="S181" s="15"/>
      <c r="T181" s="65"/>
      <c r="W181" s="15"/>
      <c r="AB181" s="13"/>
      <c r="AF181" s="15"/>
      <c r="AJ181" s="15"/>
      <c r="AO181" s="13"/>
      <c r="AS181" s="13"/>
      <c r="AV181" s="18"/>
      <c r="AW181" s="17"/>
      <c r="AX181" s="16"/>
      <c r="BA181" s="17"/>
    </row>
    <row r="182">
      <c r="A182" s="22" t="s">
        <v>185</v>
      </c>
      <c r="B182" s="21"/>
      <c r="C182" s="16"/>
      <c r="D182" s="16"/>
      <c r="E182" s="15"/>
      <c r="K182" s="13"/>
      <c r="O182" s="21"/>
      <c r="S182" s="15"/>
      <c r="W182" s="15"/>
      <c r="AB182" s="13"/>
      <c r="AF182" s="15"/>
      <c r="AJ182" s="15"/>
      <c r="AO182" s="13"/>
      <c r="AS182" s="13"/>
      <c r="AV182" s="18"/>
      <c r="AW182" s="17"/>
      <c r="AX182" s="16"/>
      <c r="BA182" s="17"/>
    </row>
    <row r="183">
      <c r="A183" s="22" t="s">
        <v>186</v>
      </c>
      <c r="B183" s="21"/>
      <c r="C183" s="16"/>
      <c r="D183" s="16"/>
      <c r="E183" s="15"/>
      <c r="K183" s="13"/>
      <c r="O183" s="21"/>
      <c r="S183" s="15"/>
      <c r="W183" s="15"/>
      <c r="AB183" s="13"/>
      <c r="AF183" s="15"/>
      <c r="AJ183" s="15"/>
      <c r="AO183" s="13"/>
      <c r="AS183" s="13"/>
      <c r="AV183" s="18"/>
      <c r="AW183" s="17"/>
      <c r="AX183" s="16"/>
      <c r="BA183" s="17"/>
    </row>
    <row r="184">
      <c r="A184" s="22" t="s">
        <v>187</v>
      </c>
      <c r="B184" s="21"/>
      <c r="C184" s="16"/>
      <c r="D184" s="16"/>
      <c r="E184" s="15"/>
      <c r="K184" s="13"/>
      <c r="O184" s="21"/>
      <c r="S184" s="15"/>
      <c r="W184" s="15"/>
      <c r="AB184" s="13"/>
      <c r="AF184" s="15"/>
      <c r="AJ184" s="15"/>
      <c r="AO184" s="13"/>
      <c r="AS184" s="13"/>
      <c r="AV184" s="18"/>
      <c r="AW184" s="17"/>
      <c r="AX184" s="16"/>
      <c r="BA184" s="17"/>
    </row>
    <row r="185">
      <c r="A185" s="22" t="s">
        <v>188</v>
      </c>
      <c r="B185" s="21"/>
      <c r="C185" s="16"/>
      <c r="D185" s="16"/>
      <c r="E185" s="15"/>
      <c r="K185" s="13"/>
      <c r="O185" s="21"/>
      <c r="S185" s="15"/>
      <c r="W185" s="15"/>
      <c r="AB185" s="13"/>
      <c r="AF185" s="15"/>
      <c r="AJ185" s="15"/>
      <c r="AO185" s="13"/>
      <c r="AS185" s="13"/>
      <c r="AV185" s="18"/>
      <c r="AW185" s="17"/>
      <c r="AX185" s="16"/>
      <c r="BA185" s="17"/>
    </row>
    <row r="186">
      <c r="A186" s="22" t="s">
        <v>189</v>
      </c>
      <c r="B186" s="21"/>
      <c r="C186" s="16"/>
      <c r="D186" s="16"/>
      <c r="E186" s="15"/>
      <c r="K186" s="13"/>
      <c r="O186" s="21"/>
      <c r="S186" s="15"/>
      <c r="W186" s="15"/>
      <c r="AB186" s="13"/>
      <c r="AF186" s="15"/>
      <c r="AJ186" s="15"/>
      <c r="AO186" s="13"/>
      <c r="AS186" s="13"/>
      <c r="AV186" s="18"/>
      <c r="AW186" s="17"/>
      <c r="AX186" s="16"/>
      <c r="BA186" s="17"/>
    </row>
    <row r="187">
      <c r="A187" s="22" t="s">
        <v>190</v>
      </c>
      <c r="B187" s="21"/>
      <c r="C187" s="16"/>
      <c r="D187" s="16"/>
      <c r="E187" s="15"/>
      <c r="K187" s="13"/>
      <c r="O187" s="21"/>
      <c r="S187" s="15"/>
      <c r="W187" s="15"/>
      <c r="AB187" s="13"/>
      <c r="AF187" s="15"/>
      <c r="AJ187" s="15"/>
      <c r="AO187" s="13"/>
      <c r="AS187" s="13"/>
      <c r="AV187" s="18"/>
      <c r="AW187" s="17"/>
      <c r="AX187" s="16"/>
      <c r="BA187" s="17"/>
    </row>
    <row r="188">
      <c r="A188" s="22" t="s">
        <v>191</v>
      </c>
      <c r="B188" s="21"/>
      <c r="C188" s="16"/>
      <c r="D188" s="16"/>
      <c r="E188" s="15"/>
      <c r="K188" s="13"/>
      <c r="O188" s="21"/>
      <c r="S188" s="15"/>
      <c r="W188" s="15"/>
      <c r="AB188" s="13"/>
      <c r="AF188" s="15"/>
      <c r="AJ188" s="15"/>
      <c r="AO188" s="13"/>
      <c r="AS188" s="13"/>
      <c r="AV188" s="18"/>
      <c r="AW188" s="17"/>
      <c r="AX188" s="16"/>
      <c r="BA188" s="17"/>
    </row>
    <row r="189">
      <c r="A189" s="1"/>
      <c r="B189" s="21"/>
      <c r="C189" s="16"/>
      <c r="D189" s="16"/>
      <c r="E189" s="15"/>
      <c r="K189" s="13"/>
      <c r="O189" s="21"/>
      <c r="S189" s="15"/>
      <c r="W189" s="15"/>
      <c r="X189" s="16"/>
      <c r="AA189" s="17"/>
      <c r="AB189" s="13"/>
      <c r="AF189" s="15"/>
      <c r="AJ189" s="15"/>
      <c r="AO189" s="13"/>
      <c r="AS189" s="13"/>
      <c r="AV189" s="18"/>
      <c r="AW189" s="17"/>
      <c r="AX189" s="16"/>
      <c r="BA189" s="17"/>
    </row>
    <row r="190">
      <c r="A190" s="19" t="s">
        <v>192</v>
      </c>
      <c r="B190" s="21"/>
      <c r="C190" s="16"/>
      <c r="D190" s="16"/>
      <c r="E190" s="15"/>
      <c r="K190" s="21"/>
      <c r="N190" s="17"/>
      <c r="O190" s="21"/>
      <c r="S190" s="15"/>
      <c r="W190" s="15"/>
      <c r="X190" s="16"/>
      <c r="AA190" s="17"/>
      <c r="AB190" s="13"/>
      <c r="AF190" s="15"/>
      <c r="AJ190" s="15"/>
      <c r="AO190" s="13"/>
      <c r="AS190" s="13"/>
      <c r="AV190" s="18"/>
      <c r="AW190" s="17"/>
      <c r="AX190" s="16"/>
      <c r="BA190" s="17"/>
    </row>
    <row r="191">
      <c r="A191" s="22" t="s">
        <v>193</v>
      </c>
      <c r="B191" s="21"/>
      <c r="C191" s="16"/>
      <c r="D191" s="16"/>
      <c r="E191" s="15"/>
      <c r="K191" s="21"/>
      <c r="N191" s="17"/>
      <c r="O191" s="21"/>
      <c r="S191" s="15"/>
      <c r="W191" s="15"/>
      <c r="X191" s="16"/>
      <c r="AA191" s="17"/>
      <c r="AF191" s="15"/>
      <c r="AJ191" s="15"/>
      <c r="AO191" s="13"/>
      <c r="AS191" s="13"/>
      <c r="AV191" s="18"/>
      <c r="AW191" s="17"/>
      <c r="AX191" s="16"/>
      <c r="BA191" s="17"/>
    </row>
    <row r="192">
      <c r="A192" s="22" t="s">
        <v>194</v>
      </c>
      <c r="B192" s="21"/>
      <c r="C192" s="16"/>
      <c r="D192" s="16"/>
      <c r="E192" s="15"/>
      <c r="K192" s="21"/>
      <c r="N192" s="17"/>
      <c r="O192" s="21"/>
      <c r="S192" s="15"/>
      <c r="T192" s="16"/>
      <c r="W192" s="17"/>
      <c r="X192" s="16"/>
      <c r="AA192" s="17"/>
      <c r="AF192" s="15"/>
      <c r="AJ192" s="15"/>
      <c r="AO192" s="13"/>
      <c r="AS192" s="13"/>
      <c r="AV192" s="18"/>
      <c r="AW192" s="17"/>
      <c r="AX192" s="16"/>
      <c r="BA192" s="17"/>
    </row>
    <row r="193">
      <c r="A193" s="22" t="s">
        <v>195</v>
      </c>
      <c r="B193" s="21"/>
      <c r="C193" s="16"/>
      <c r="D193" s="16"/>
      <c r="E193" s="17"/>
      <c r="F193" s="21"/>
      <c r="G193" s="16"/>
      <c r="H193" s="16"/>
      <c r="I193" s="16"/>
      <c r="J193" s="17"/>
      <c r="K193" s="21"/>
      <c r="N193" s="17"/>
      <c r="O193" s="21"/>
      <c r="P193" s="16"/>
      <c r="Q193" s="16"/>
      <c r="R193" s="16"/>
      <c r="S193" s="15"/>
      <c r="T193" s="16"/>
      <c r="W193" s="17"/>
      <c r="X193" s="16"/>
      <c r="AA193" s="17"/>
      <c r="AF193" s="15"/>
      <c r="AJ193" s="15"/>
      <c r="AO193" s="13"/>
      <c r="AS193" s="13"/>
      <c r="AV193" s="18"/>
      <c r="AW193" s="17"/>
      <c r="AX193" s="16"/>
      <c r="BA193" s="17"/>
    </row>
    <row r="194">
      <c r="A194" s="22" t="s">
        <v>196</v>
      </c>
      <c r="B194" s="21"/>
      <c r="C194" s="16"/>
      <c r="D194" s="16"/>
      <c r="E194" s="17"/>
      <c r="F194" s="21"/>
      <c r="G194" s="16"/>
      <c r="H194" s="16"/>
      <c r="I194" s="16"/>
      <c r="J194" s="17"/>
      <c r="K194" s="21"/>
      <c r="N194" s="17"/>
      <c r="O194" s="21"/>
      <c r="P194" s="16"/>
      <c r="Q194" s="16"/>
      <c r="R194" s="16"/>
      <c r="S194" s="15"/>
      <c r="T194" s="16"/>
      <c r="W194" s="17"/>
      <c r="X194" s="16"/>
      <c r="AA194" s="17"/>
      <c r="AF194" s="15"/>
      <c r="AJ194" s="15"/>
      <c r="AO194" s="13"/>
      <c r="AS194" s="13"/>
      <c r="AV194" s="18"/>
      <c r="AW194" s="17"/>
      <c r="AX194" s="16"/>
      <c r="BA194" s="17"/>
    </row>
    <row r="195">
      <c r="A195" s="22" t="s">
        <v>197</v>
      </c>
      <c r="B195" s="21"/>
      <c r="C195" s="16"/>
      <c r="D195" s="16"/>
      <c r="E195" s="17"/>
      <c r="F195" s="21"/>
      <c r="G195" s="16"/>
      <c r="H195" s="16"/>
      <c r="I195" s="16"/>
      <c r="J195" s="17"/>
      <c r="K195" s="21"/>
      <c r="L195" s="16"/>
      <c r="M195" s="16"/>
      <c r="N195" s="17"/>
      <c r="O195" s="21"/>
      <c r="P195" s="16"/>
      <c r="Q195" s="16"/>
      <c r="R195" s="16"/>
      <c r="S195" s="15"/>
      <c r="T195" s="16"/>
      <c r="W195" s="17"/>
      <c r="X195" s="16"/>
      <c r="AA195" s="17"/>
      <c r="AF195" s="15"/>
      <c r="AJ195" s="15"/>
      <c r="AO195" s="13"/>
      <c r="AS195" s="13"/>
      <c r="AV195" s="18"/>
      <c r="AW195" s="17"/>
      <c r="AX195" s="16"/>
      <c r="BA195" s="17"/>
    </row>
    <row r="196">
      <c r="A196" s="22" t="s">
        <v>198</v>
      </c>
      <c r="B196" s="21"/>
      <c r="C196" s="16"/>
      <c r="D196" s="16"/>
      <c r="E196" s="17"/>
      <c r="F196" s="21"/>
      <c r="G196" s="16"/>
      <c r="H196" s="16"/>
      <c r="I196" s="16"/>
      <c r="J196" s="17"/>
      <c r="K196" s="21"/>
      <c r="L196" s="16"/>
      <c r="M196" s="16"/>
      <c r="N196" s="17"/>
      <c r="O196" s="21"/>
      <c r="P196" s="16"/>
      <c r="Q196" s="16"/>
      <c r="R196" s="16"/>
      <c r="S196" s="15"/>
      <c r="T196" s="16"/>
      <c r="W196" s="17"/>
      <c r="X196" s="16"/>
      <c r="AA196" s="17"/>
      <c r="AF196" s="15"/>
      <c r="AJ196" s="15"/>
      <c r="AO196" s="13"/>
      <c r="AS196" s="13"/>
      <c r="AV196" s="18"/>
      <c r="AW196" s="17"/>
      <c r="AX196" s="16"/>
      <c r="BA196" s="17"/>
    </row>
    <row r="197">
      <c r="A197" s="22" t="s">
        <v>199</v>
      </c>
      <c r="B197" s="21"/>
      <c r="C197" s="16"/>
      <c r="D197" s="16"/>
      <c r="E197" s="17"/>
      <c r="F197" s="21"/>
      <c r="G197" s="16"/>
      <c r="H197" s="16"/>
      <c r="I197" s="16"/>
      <c r="J197" s="17"/>
      <c r="K197" s="21"/>
      <c r="L197" s="16"/>
      <c r="M197" s="16"/>
      <c r="N197" s="17"/>
      <c r="O197" s="21"/>
      <c r="P197" s="16"/>
      <c r="Q197" s="16"/>
      <c r="R197" s="16"/>
      <c r="S197" s="17"/>
      <c r="T197" s="16"/>
      <c r="U197" s="16"/>
      <c r="V197" s="16"/>
      <c r="W197" s="17"/>
      <c r="X197" s="16"/>
      <c r="AA197" s="17"/>
      <c r="AF197" s="15"/>
      <c r="AJ197" s="15"/>
      <c r="AO197" s="13"/>
      <c r="AS197" s="13"/>
      <c r="AV197" s="18"/>
      <c r="AW197" s="17"/>
      <c r="AX197" s="16"/>
      <c r="BA197" s="17"/>
    </row>
    <row r="198">
      <c r="A198" s="22" t="s">
        <v>200</v>
      </c>
      <c r="B198" s="21"/>
      <c r="C198" s="16"/>
      <c r="D198" s="16"/>
      <c r="E198" s="17"/>
      <c r="F198" s="21"/>
      <c r="G198" s="16"/>
      <c r="H198" s="16"/>
      <c r="I198" s="16"/>
      <c r="J198" s="17"/>
      <c r="K198" s="21"/>
      <c r="L198" s="16"/>
      <c r="M198" s="16"/>
      <c r="N198" s="17"/>
      <c r="O198" s="21"/>
      <c r="S198" s="15"/>
      <c r="T198" s="16"/>
      <c r="U198" s="16"/>
      <c r="V198" s="16"/>
      <c r="W198" s="17"/>
      <c r="X198" s="16"/>
      <c r="AA198" s="17"/>
      <c r="AF198" s="15"/>
      <c r="AJ198" s="15"/>
      <c r="AO198" s="13"/>
      <c r="AS198" s="13"/>
      <c r="AV198" s="18"/>
      <c r="AW198" s="17"/>
      <c r="AX198" s="16"/>
      <c r="BA198" s="17"/>
    </row>
    <row r="199">
      <c r="A199" s="22" t="s">
        <v>201</v>
      </c>
      <c r="B199" s="21"/>
      <c r="C199" s="16"/>
      <c r="D199" s="16"/>
      <c r="E199" s="17"/>
      <c r="F199" s="21"/>
      <c r="G199" s="16"/>
      <c r="H199" s="16"/>
      <c r="I199" s="16"/>
      <c r="J199" s="17"/>
      <c r="K199" s="21"/>
      <c r="L199" s="16"/>
      <c r="M199" s="16"/>
      <c r="N199" s="17"/>
      <c r="O199" s="21"/>
      <c r="P199" s="16"/>
      <c r="Q199" s="16"/>
      <c r="R199" s="16"/>
      <c r="S199" s="17"/>
      <c r="T199" s="16"/>
      <c r="U199" s="16"/>
      <c r="V199" s="16"/>
      <c r="W199" s="17"/>
      <c r="X199" s="16"/>
      <c r="AA199" s="17"/>
      <c r="AF199" s="15"/>
      <c r="AJ199" s="15"/>
      <c r="AO199" s="13"/>
      <c r="AS199" s="13"/>
      <c r="AV199" s="18"/>
      <c r="AW199" s="17"/>
      <c r="AX199" s="16"/>
      <c r="BA199" s="17"/>
    </row>
    <row r="200">
      <c r="A200" s="22" t="s">
        <v>202</v>
      </c>
      <c r="B200" s="21"/>
      <c r="C200" s="16"/>
      <c r="D200" s="16"/>
      <c r="E200" s="17"/>
      <c r="F200" s="21"/>
      <c r="G200" s="16"/>
      <c r="H200" s="16"/>
      <c r="I200" s="16"/>
      <c r="J200" s="17"/>
      <c r="K200" s="21"/>
      <c r="L200" s="16"/>
      <c r="M200" s="16"/>
      <c r="N200" s="17"/>
      <c r="O200" s="21"/>
      <c r="P200" s="16"/>
      <c r="Q200" s="16"/>
      <c r="R200" s="16"/>
      <c r="S200" s="17"/>
      <c r="T200" s="16"/>
      <c r="U200" s="16"/>
      <c r="V200" s="16"/>
      <c r="W200" s="17"/>
      <c r="X200" s="16"/>
      <c r="AA200" s="17"/>
      <c r="AF200" s="15"/>
      <c r="AJ200" s="15"/>
      <c r="AO200" s="13"/>
      <c r="AS200" s="13"/>
      <c r="AV200" s="18"/>
      <c r="AW200" s="17"/>
      <c r="AX200" s="16"/>
      <c r="BA200" s="17"/>
    </row>
    <row r="201">
      <c r="A201" s="22" t="s">
        <v>203</v>
      </c>
      <c r="B201" s="21"/>
      <c r="C201" s="16"/>
      <c r="D201" s="16"/>
      <c r="E201" s="17"/>
      <c r="F201" s="21"/>
      <c r="G201" s="16"/>
      <c r="H201" s="16"/>
      <c r="I201" s="16"/>
      <c r="J201" s="17"/>
      <c r="K201" s="21"/>
      <c r="L201" s="16"/>
      <c r="M201" s="16"/>
      <c r="N201" s="17"/>
      <c r="O201" s="21"/>
      <c r="P201" s="16"/>
      <c r="Q201" s="16"/>
      <c r="R201" s="16"/>
      <c r="S201" s="17"/>
      <c r="T201" s="16"/>
      <c r="U201" s="16"/>
      <c r="V201" s="16"/>
      <c r="W201" s="17"/>
      <c r="X201" s="16"/>
      <c r="AA201" s="17"/>
      <c r="AF201" s="15"/>
      <c r="AJ201" s="15"/>
      <c r="AO201" s="13"/>
      <c r="AS201" s="13"/>
      <c r="AV201" s="18"/>
      <c r="AW201" s="17"/>
      <c r="AX201" s="16"/>
      <c r="BA201" s="17"/>
    </row>
    <row r="202">
      <c r="A202" s="22" t="s">
        <v>204</v>
      </c>
      <c r="B202" s="21"/>
      <c r="C202" s="16"/>
      <c r="D202" s="16"/>
      <c r="E202" s="17"/>
      <c r="F202" s="21"/>
      <c r="G202" s="16"/>
      <c r="H202" s="16"/>
      <c r="I202" s="16"/>
      <c r="J202" s="17"/>
      <c r="K202" s="21"/>
      <c r="L202" s="16"/>
      <c r="M202" s="16"/>
      <c r="N202" s="17"/>
      <c r="O202" s="21"/>
      <c r="P202" s="16"/>
      <c r="Q202" s="16"/>
      <c r="R202" s="16"/>
      <c r="S202" s="17"/>
      <c r="T202" s="16"/>
      <c r="U202" s="16"/>
      <c r="V202" s="16"/>
      <c r="W202" s="17"/>
      <c r="X202" s="16"/>
      <c r="AA202" s="17"/>
      <c r="AF202" s="15"/>
      <c r="AJ202" s="15"/>
      <c r="AO202" s="13"/>
      <c r="AS202" s="13"/>
      <c r="AV202" s="18"/>
      <c r="AW202" s="17"/>
      <c r="AX202" s="16"/>
      <c r="BA202" s="17"/>
    </row>
    <row r="203">
      <c r="A203" s="22" t="s">
        <v>205</v>
      </c>
      <c r="B203" s="21"/>
      <c r="C203" s="16"/>
      <c r="D203" s="16"/>
      <c r="E203" s="17"/>
      <c r="F203" s="21"/>
      <c r="G203" s="16"/>
      <c r="H203" s="16"/>
      <c r="I203" s="16"/>
      <c r="J203" s="17"/>
      <c r="K203" s="21"/>
      <c r="L203" s="16"/>
      <c r="M203" s="16"/>
      <c r="N203" s="17"/>
      <c r="O203" s="21"/>
      <c r="P203" s="16"/>
      <c r="Q203" s="16"/>
      <c r="R203" s="16"/>
      <c r="S203" s="17"/>
      <c r="T203" s="16"/>
      <c r="U203" s="16"/>
      <c r="V203" s="16"/>
      <c r="W203" s="17"/>
      <c r="X203" s="16"/>
      <c r="AA203" s="17"/>
      <c r="AF203" s="15"/>
      <c r="AJ203" s="15"/>
      <c r="AO203" s="13"/>
      <c r="AS203" s="13"/>
      <c r="AV203" s="18"/>
      <c r="AW203" s="17"/>
      <c r="AX203" s="16"/>
      <c r="BA203" s="17"/>
    </row>
    <row r="204">
      <c r="A204" s="22" t="s">
        <v>206</v>
      </c>
      <c r="B204" s="21"/>
      <c r="C204" s="16"/>
      <c r="D204" s="16"/>
      <c r="E204" s="17"/>
      <c r="F204" s="21"/>
      <c r="G204" s="16"/>
      <c r="H204" s="16"/>
      <c r="I204" s="16"/>
      <c r="J204" s="17"/>
      <c r="K204" s="21"/>
      <c r="L204" s="16"/>
      <c r="M204" s="16"/>
      <c r="N204" s="17"/>
      <c r="O204" s="21"/>
      <c r="P204" s="16"/>
      <c r="Q204" s="16"/>
      <c r="R204" s="16"/>
      <c r="S204" s="17"/>
      <c r="T204" s="16"/>
      <c r="U204" s="16"/>
      <c r="V204" s="16"/>
      <c r="W204" s="17"/>
      <c r="X204" s="16"/>
      <c r="Y204" s="16"/>
      <c r="Z204" s="16"/>
      <c r="AA204" s="17"/>
      <c r="AF204" s="15"/>
      <c r="AJ204" s="15"/>
      <c r="AO204" s="13"/>
      <c r="AS204" s="13"/>
      <c r="AV204" s="18"/>
      <c r="AW204" s="17"/>
      <c r="AX204" s="16"/>
      <c r="BA204" s="17"/>
    </row>
    <row r="205">
      <c r="A205" s="22" t="s">
        <v>207</v>
      </c>
      <c r="B205" s="21"/>
      <c r="C205" s="16"/>
      <c r="D205" s="16"/>
      <c r="E205" s="17"/>
      <c r="F205" s="21"/>
      <c r="G205" s="16"/>
      <c r="H205" s="16"/>
      <c r="I205" s="16"/>
      <c r="J205" s="17"/>
      <c r="K205" s="21"/>
      <c r="L205" s="16"/>
      <c r="M205" s="16"/>
      <c r="N205" s="17"/>
      <c r="O205" s="21"/>
      <c r="P205" s="16"/>
      <c r="Q205" s="16"/>
      <c r="R205" s="16"/>
      <c r="S205" s="17"/>
      <c r="T205" s="16"/>
      <c r="U205" s="16"/>
      <c r="V205" s="16"/>
      <c r="W205" s="17"/>
      <c r="X205" s="16"/>
      <c r="Y205" s="16"/>
      <c r="Z205" s="16"/>
      <c r="AA205" s="17"/>
      <c r="AF205" s="15"/>
      <c r="AJ205" s="15"/>
      <c r="AO205" s="13"/>
      <c r="AS205" s="13"/>
      <c r="AV205" s="18"/>
      <c r="AW205" s="17"/>
      <c r="AX205" s="16"/>
      <c r="BA205" s="17"/>
    </row>
    <row r="206">
      <c r="A206" s="22" t="s">
        <v>208</v>
      </c>
      <c r="B206" s="21"/>
      <c r="C206" s="16"/>
      <c r="D206" s="16"/>
      <c r="E206" s="17"/>
      <c r="F206" s="21"/>
      <c r="G206" s="16"/>
      <c r="H206" s="16"/>
      <c r="I206" s="16"/>
      <c r="J206" s="17"/>
      <c r="K206" s="21"/>
      <c r="L206" s="16"/>
      <c r="M206" s="16"/>
      <c r="N206" s="17"/>
      <c r="O206" s="21"/>
      <c r="P206" s="16"/>
      <c r="Q206" s="16"/>
      <c r="R206" s="16"/>
      <c r="S206" s="17"/>
      <c r="T206" s="16"/>
      <c r="U206" s="16"/>
      <c r="V206" s="16"/>
      <c r="W206" s="17"/>
      <c r="X206" s="16"/>
      <c r="Y206" s="16"/>
      <c r="Z206" s="16"/>
      <c r="AA206" s="17"/>
      <c r="AF206" s="15"/>
      <c r="AJ206" s="15"/>
      <c r="AO206" s="13"/>
      <c r="AS206" s="13"/>
      <c r="AV206" s="18"/>
      <c r="AW206" s="17"/>
      <c r="AX206" s="16"/>
      <c r="BA206" s="17"/>
    </row>
    <row r="207">
      <c r="A207" s="22" t="s">
        <v>209</v>
      </c>
      <c r="B207" s="21"/>
      <c r="C207" s="16"/>
      <c r="D207" s="16"/>
      <c r="E207" s="17"/>
      <c r="F207" s="21"/>
      <c r="G207" s="16"/>
      <c r="H207" s="16"/>
      <c r="I207" s="16"/>
      <c r="J207" s="17"/>
      <c r="K207" s="21"/>
      <c r="L207" s="16"/>
      <c r="M207" s="16"/>
      <c r="N207" s="17"/>
      <c r="O207" s="21"/>
      <c r="P207" s="16"/>
      <c r="Q207" s="16"/>
      <c r="R207" s="16"/>
      <c r="S207" s="17"/>
      <c r="T207" s="16"/>
      <c r="U207" s="16"/>
      <c r="V207" s="16"/>
      <c r="W207" s="17"/>
      <c r="X207" s="16"/>
      <c r="Y207" s="16"/>
      <c r="Z207" s="16"/>
      <c r="AA207" s="17"/>
      <c r="AF207" s="15"/>
      <c r="AJ207" s="15"/>
      <c r="AO207" s="13"/>
      <c r="AS207" s="21"/>
      <c r="AV207" s="18"/>
      <c r="AW207" s="17"/>
      <c r="AX207" s="16"/>
      <c r="BA207" s="17"/>
    </row>
    <row r="208">
      <c r="A208" s="22" t="s">
        <v>210</v>
      </c>
      <c r="B208" s="21"/>
      <c r="C208" s="16"/>
      <c r="D208" s="16"/>
      <c r="E208" s="17"/>
      <c r="F208" s="21"/>
      <c r="G208" s="16"/>
      <c r="H208" s="16"/>
      <c r="I208" s="16"/>
      <c r="J208" s="17"/>
      <c r="K208" s="21"/>
      <c r="L208" s="16"/>
      <c r="M208" s="16"/>
      <c r="N208" s="17"/>
      <c r="O208" s="21"/>
      <c r="P208" s="16"/>
      <c r="Q208" s="16"/>
      <c r="R208" s="16"/>
      <c r="S208" s="17"/>
      <c r="T208" s="16"/>
      <c r="U208" s="16"/>
      <c r="V208" s="16"/>
      <c r="W208" s="17"/>
      <c r="X208" s="16"/>
      <c r="Y208" s="16"/>
      <c r="Z208" s="16"/>
      <c r="AA208" s="17"/>
      <c r="AF208" s="15"/>
      <c r="AJ208" s="15"/>
      <c r="AO208" s="13"/>
      <c r="AS208" s="21"/>
      <c r="AV208" s="18"/>
      <c r="AW208" s="17"/>
      <c r="AX208" s="16"/>
      <c r="BA208" s="17"/>
    </row>
    <row r="209">
      <c r="A209" s="22" t="s">
        <v>211</v>
      </c>
      <c r="B209" s="21"/>
      <c r="C209" s="16"/>
      <c r="D209" s="16"/>
      <c r="E209" s="17"/>
      <c r="F209" s="21"/>
      <c r="G209" s="16"/>
      <c r="H209" s="16"/>
      <c r="I209" s="16"/>
      <c r="J209" s="17"/>
      <c r="K209" s="21"/>
      <c r="L209" s="16"/>
      <c r="M209" s="16"/>
      <c r="N209" s="17"/>
      <c r="O209" s="21"/>
      <c r="P209" s="16"/>
      <c r="Q209" s="16"/>
      <c r="R209" s="16"/>
      <c r="S209" s="17"/>
      <c r="T209" s="16"/>
      <c r="U209" s="16"/>
      <c r="V209" s="16"/>
      <c r="W209" s="17"/>
      <c r="X209" s="16"/>
      <c r="Y209" s="16"/>
      <c r="Z209" s="16"/>
      <c r="AA209" s="17"/>
      <c r="AF209" s="15"/>
      <c r="AJ209" s="15"/>
      <c r="AO209" s="13"/>
      <c r="AS209" s="21"/>
      <c r="AV209" s="18"/>
      <c r="AW209" s="17"/>
      <c r="AX209" s="16"/>
      <c r="BA209" s="67"/>
    </row>
    <row r="210">
      <c r="A210" s="22" t="s">
        <v>212</v>
      </c>
      <c r="B210" s="21"/>
      <c r="C210" s="16"/>
      <c r="D210" s="16"/>
      <c r="E210" s="17"/>
      <c r="F210" s="21"/>
      <c r="G210" s="16"/>
      <c r="H210" s="16"/>
      <c r="I210" s="16"/>
      <c r="J210" s="17"/>
      <c r="K210" s="21"/>
      <c r="L210" s="16"/>
      <c r="M210" s="16"/>
      <c r="N210" s="17"/>
      <c r="O210" s="21"/>
      <c r="P210" s="16"/>
      <c r="Q210" s="16"/>
      <c r="R210" s="16"/>
      <c r="S210" s="16"/>
      <c r="T210" s="16"/>
      <c r="U210" s="16"/>
      <c r="V210" s="16"/>
      <c r="W210" s="16"/>
      <c r="X210" s="16"/>
      <c r="Y210" s="16"/>
      <c r="Z210" s="16"/>
      <c r="AA210" s="16"/>
      <c r="AB210" s="16"/>
      <c r="AC210" s="16"/>
      <c r="AD210" s="16"/>
      <c r="AE210" s="16"/>
      <c r="AF210" s="16"/>
      <c r="AG210" s="16"/>
      <c r="AH210" s="16"/>
      <c r="AI210" s="16"/>
      <c r="AJ210" s="16"/>
      <c r="AO210" s="16"/>
      <c r="AP210" s="16"/>
      <c r="AQ210" s="16"/>
    </row>
    <row r="211">
      <c r="A211" s="22" t="s">
        <v>213</v>
      </c>
      <c r="B211" s="21"/>
      <c r="C211" s="16"/>
      <c r="D211" s="16"/>
      <c r="E211" s="17"/>
      <c r="F211" s="21"/>
      <c r="G211" s="16"/>
      <c r="H211" s="16"/>
      <c r="I211" s="16"/>
      <c r="J211" s="17"/>
      <c r="K211" s="21"/>
      <c r="L211" s="16"/>
      <c r="M211" s="16"/>
      <c r="N211" s="17"/>
      <c r="O211" s="21"/>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row>
    <row r="212">
      <c r="A212" s="22" t="s">
        <v>214</v>
      </c>
      <c r="B212" s="21"/>
      <c r="C212" s="16"/>
      <c r="D212" s="16"/>
      <c r="E212" s="17"/>
      <c r="F212" s="21"/>
      <c r="G212" s="16"/>
      <c r="H212" s="16"/>
      <c r="I212" s="16"/>
      <c r="J212" s="17"/>
      <c r="K212" s="21"/>
      <c r="L212" s="16"/>
      <c r="M212" s="16"/>
      <c r="N212" s="17"/>
      <c r="O212" s="21"/>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row>
    <row r="213">
      <c r="A213" s="22" t="s">
        <v>215</v>
      </c>
      <c r="B213" s="21"/>
      <c r="C213" s="16"/>
      <c r="D213" s="16"/>
      <c r="E213" s="17"/>
      <c r="F213" s="21"/>
      <c r="G213" s="16"/>
      <c r="H213" s="16"/>
      <c r="I213" s="16"/>
      <c r="J213" s="17"/>
      <c r="K213" s="21"/>
      <c r="L213" s="16"/>
      <c r="M213" s="16"/>
      <c r="N213" s="17"/>
      <c r="O213" s="21"/>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row>
    <row r="214">
      <c r="A214" s="22" t="s">
        <v>216</v>
      </c>
      <c r="B214" s="21"/>
      <c r="C214" s="16"/>
      <c r="D214" s="16"/>
      <c r="E214" s="17"/>
      <c r="F214" s="21"/>
      <c r="G214" s="16"/>
      <c r="H214" s="16"/>
      <c r="I214" s="16"/>
      <c r="J214" s="17"/>
      <c r="K214" s="21"/>
      <c r="L214" s="16"/>
      <c r="M214" s="16"/>
      <c r="N214" s="17"/>
      <c r="O214" s="21"/>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row>
    <row r="215">
      <c r="A215" s="22" t="s">
        <v>217</v>
      </c>
      <c r="B215" s="21"/>
      <c r="C215" s="16"/>
      <c r="D215" s="16"/>
      <c r="E215" s="17"/>
      <c r="F215" s="21"/>
      <c r="G215" s="16"/>
      <c r="H215" s="16"/>
      <c r="I215" s="16"/>
      <c r="J215" s="17"/>
      <c r="K215" s="21"/>
      <c r="L215" s="16"/>
      <c r="M215" s="16"/>
      <c r="N215" s="17"/>
      <c r="O215" s="21"/>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row>
    <row r="216">
      <c r="A216" s="22" t="s">
        <v>218</v>
      </c>
      <c r="B216" s="21"/>
      <c r="C216" s="16"/>
      <c r="D216" s="16"/>
      <c r="E216" s="17"/>
      <c r="F216" s="21"/>
      <c r="G216" s="16"/>
      <c r="H216" s="16"/>
      <c r="I216" s="16"/>
      <c r="J216" s="17"/>
      <c r="K216" s="21"/>
      <c r="L216" s="16"/>
      <c r="M216" s="16"/>
      <c r="N216" s="17"/>
      <c r="O216" s="21"/>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row>
    <row r="217">
      <c r="A217" s="22" t="s">
        <v>219</v>
      </c>
      <c r="B217" s="21"/>
      <c r="C217" s="16"/>
      <c r="D217" s="16"/>
      <c r="E217" s="17"/>
      <c r="F217" s="21"/>
      <c r="G217" s="16"/>
      <c r="H217" s="16"/>
      <c r="I217" s="16"/>
      <c r="J217" s="17"/>
      <c r="K217" s="21"/>
      <c r="L217" s="16"/>
      <c r="M217" s="16"/>
      <c r="N217" s="17"/>
      <c r="O217" s="21"/>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row>
    <row r="218">
      <c r="A218" s="22" t="s">
        <v>220</v>
      </c>
      <c r="B218" s="21"/>
      <c r="C218" s="16"/>
      <c r="D218" s="16"/>
      <c r="E218" s="17"/>
      <c r="F218" s="21"/>
      <c r="G218" s="16"/>
      <c r="H218" s="16"/>
      <c r="I218" s="16"/>
      <c r="J218" s="17"/>
      <c r="K218" s="21"/>
      <c r="L218" s="16"/>
      <c r="M218" s="16"/>
      <c r="N218" s="17"/>
      <c r="O218" s="21"/>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row>
    <row r="219">
      <c r="A219" s="22" t="s">
        <v>221</v>
      </c>
      <c r="B219" s="21"/>
      <c r="C219" s="16"/>
      <c r="D219" s="16"/>
      <c r="E219" s="17"/>
      <c r="F219" s="21"/>
      <c r="G219" s="16"/>
      <c r="H219" s="16"/>
      <c r="I219" s="16"/>
      <c r="J219" s="17"/>
      <c r="K219" s="21"/>
      <c r="L219" s="16"/>
      <c r="M219" s="16"/>
      <c r="N219" s="17"/>
      <c r="O219" s="21"/>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row>
    <row r="220">
      <c r="A220" s="22" t="s">
        <v>222</v>
      </c>
      <c r="B220" s="21"/>
      <c r="C220" s="16"/>
      <c r="D220" s="16"/>
      <c r="E220" s="17"/>
      <c r="F220" s="21"/>
      <c r="G220" s="16"/>
      <c r="H220" s="16"/>
      <c r="I220" s="16"/>
      <c r="J220" s="17"/>
      <c r="K220" s="21"/>
      <c r="L220" s="16"/>
      <c r="M220" s="16"/>
      <c r="N220" s="17"/>
      <c r="O220" s="21"/>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row>
    <row r="221">
      <c r="A221" s="22" t="s">
        <v>223</v>
      </c>
      <c r="B221" s="21"/>
      <c r="C221" s="16"/>
      <c r="D221" s="16"/>
      <c r="E221" s="17"/>
      <c r="F221" s="21"/>
      <c r="G221" s="16"/>
      <c r="H221" s="16"/>
      <c r="I221" s="16"/>
      <c r="J221" s="17"/>
      <c r="K221" s="21"/>
      <c r="L221" s="16"/>
      <c r="M221" s="16"/>
      <c r="N221" s="17"/>
      <c r="O221" s="21"/>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row>
    <row r="222">
      <c r="A222" s="22" t="s">
        <v>224</v>
      </c>
      <c r="B222" s="21"/>
      <c r="C222" s="16"/>
      <c r="D222" s="16"/>
      <c r="E222" s="17"/>
      <c r="F222" s="21"/>
      <c r="G222" s="16"/>
      <c r="H222" s="16"/>
      <c r="I222" s="16"/>
      <c r="J222" s="17"/>
      <c r="K222" s="21"/>
      <c r="L222" s="16"/>
      <c r="M222" s="16"/>
      <c r="N222" s="17"/>
      <c r="O222" s="21"/>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row>
    <row r="223">
      <c r="A223" s="22" t="s">
        <v>225</v>
      </c>
      <c r="B223" s="21"/>
      <c r="C223" s="16"/>
      <c r="D223" s="16"/>
      <c r="E223" s="17"/>
      <c r="F223" s="21"/>
      <c r="G223" s="16"/>
      <c r="H223" s="16"/>
      <c r="I223" s="16"/>
      <c r="J223" s="17"/>
      <c r="K223" s="21"/>
      <c r="L223" s="16"/>
      <c r="M223" s="16"/>
      <c r="N223" s="17"/>
      <c r="O223" s="21"/>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row>
    <row r="224">
      <c r="A224" s="22" t="s">
        <v>226</v>
      </c>
      <c r="B224" s="21"/>
      <c r="C224" s="16"/>
      <c r="D224" s="16"/>
      <c r="E224" s="17"/>
      <c r="F224" s="21"/>
      <c r="G224" s="16"/>
      <c r="H224" s="16"/>
      <c r="I224" s="16"/>
      <c r="J224" s="17"/>
      <c r="K224" s="21"/>
      <c r="L224" s="16"/>
      <c r="M224" s="16"/>
      <c r="N224" s="17"/>
      <c r="O224" s="21"/>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row>
    <row r="225">
      <c r="A225" s="22" t="s">
        <v>227</v>
      </c>
      <c r="B225" s="21"/>
      <c r="C225" s="16"/>
      <c r="D225" s="16"/>
      <c r="E225" s="17"/>
      <c r="F225" s="21"/>
      <c r="G225" s="16"/>
      <c r="H225" s="16"/>
      <c r="I225" s="16"/>
      <c r="J225" s="17"/>
      <c r="K225" s="21"/>
      <c r="L225" s="16"/>
      <c r="M225" s="16"/>
      <c r="N225" s="17"/>
      <c r="O225" s="21"/>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row>
    <row r="226">
      <c r="A226" s="22" t="s">
        <v>228</v>
      </c>
      <c r="B226" s="21"/>
      <c r="C226" s="16"/>
      <c r="D226" s="16"/>
      <c r="E226" s="17"/>
      <c r="F226" s="21"/>
      <c r="G226" s="16"/>
      <c r="H226" s="16"/>
      <c r="I226" s="16"/>
      <c r="J226" s="17"/>
      <c r="K226" s="21"/>
      <c r="L226" s="16"/>
      <c r="M226" s="16"/>
      <c r="N226" s="17"/>
      <c r="O226" s="21"/>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row>
    <row r="227">
      <c r="A227" s="22" t="s">
        <v>229</v>
      </c>
      <c r="B227" s="21"/>
      <c r="C227" s="16"/>
      <c r="D227" s="16"/>
      <c r="E227" s="17"/>
      <c r="F227" s="21"/>
      <c r="G227" s="16"/>
      <c r="H227" s="16"/>
      <c r="I227" s="16"/>
      <c r="J227" s="17"/>
      <c r="K227" s="21"/>
      <c r="L227" s="16"/>
      <c r="M227" s="16"/>
      <c r="N227" s="17"/>
      <c r="O227" s="21"/>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row>
    <row r="228">
      <c r="A228" s="22" t="s">
        <v>230</v>
      </c>
      <c r="B228" s="21"/>
      <c r="C228" s="16"/>
      <c r="D228" s="16"/>
      <c r="E228" s="17"/>
      <c r="F228" s="21"/>
      <c r="G228" s="16"/>
      <c r="H228" s="16"/>
      <c r="I228" s="16"/>
      <c r="J228" s="17"/>
      <c r="K228" s="21"/>
      <c r="L228" s="16"/>
      <c r="M228" s="16"/>
      <c r="N228" s="17"/>
      <c r="O228" s="21"/>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row>
    <row r="229">
      <c r="A229" s="22" t="s">
        <v>231</v>
      </c>
      <c r="B229" s="21"/>
      <c r="C229" s="16"/>
      <c r="D229" s="16"/>
      <c r="E229" s="17"/>
      <c r="F229" s="21"/>
      <c r="G229" s="16"/>
      <c r="H229" s="16"/>
      <c r="I229" s="16"/>
      <c r="J229" s="17"/>
      <c r="K229" s="21"/>
      <c r="L229" s="16"/>
      <c r="M229" s="16"/>
      <c r="N229" s="17"/>
      <c r="O229" s="21"/>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row>
    <row r="230">
      <c r="A230" s="22" t="s">
        <v>232</v>
      </c>
      <c r="B230" s="21"/>
      <c r="C230" s="16"/>
      <c r="D230" s="16"/>
      <c r="E230" s="17"/>
      <c r="F230" s="21"/>
      <c r="G230" s="16"/>
      <c r="H230" s="16"/>
      <c r="I230" s="16"/>
      <c r="J230" s="17"/>
      <c r="K230" s="21"/>
      <c r="L230" s="16"/>
      <c r="M230" s="16"/>
      <c r="N230" s="17"/>
      <c r="O230" s="21"/>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row>
    <row r="231">
      <c r="A231" s="22" t="s">
        <v>233</v>
      </c>
      <c r="B231" s="21"/>
      <c r="C231" s="16"/>
      <c r="D231" s="16"/>
      <c r="E231" s="17"/>
      <c r="F231" s="21"/>
      <c r="G231" s="16"/>
      <c r="H231" s="16"/>
      <c r="I231" s="16"/>
      <c r="J231" s="17"/>
      <c r="K231" s="21"/>
      <c r="L231" s="16"/>
      <c r="M231" s="16"/>
      <c r="N231" s="17"/>
      <c r="O231" s="21"/>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row>
    <row r="232">
      <c r="A232" s="22" t="s">
        <v>234</v>
      </c>
      <c r="B232" s="21"/>
      <c r="C232" s="16"/>
      <c r="D232" s="16"/>
      <c r="E232" s="17"/>
      <c r="F232" s="21"/>
      <c r="G232" s="16"/>
      <c r="H232" s="16"/>
      <c r="I232" s="16"/>
      <c r="J232" s="17"/>
      <c r="K232" s="21"/>
      <c r="L232" s="16"/>
      <c r="M232" s="16"/>
      <c r="N232" s="17"/>
      <c r="O232" s="21"/>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row>
    <row r="233">
      <c r="A233" s="22" t="s">
        <v>235</v>
      </c>
      <c r="B233" s="21"/>
      <c r="C233" s="16"/>
      <c r="D233" s="16"/>
      <c r="E233" s="17"/>
      <c r="F233" s="21"/>
      <c r="G233" s="16"/>
      <c r="H233" s="16"/>
      <c r="I233" s="16"/>
      <c r="J233" s="17"/>
      <c r="K233" s="21"/>
      <c r="L233" s="16"/>
      <c r="M233" s="16"/>
      <c r="N233" s="17"/>
      <c r="O233" s="21"/>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row>
    <row r="234">
      <c r="A234" s="22" t="s">
        <v>236</v>
      </c>
      <c r="B234" s="21"/>
      <c r="C234" s="16"/>
      <c r="D234" s="16"/>
      <c r="E234" s="17"/>
      <c r="F234" s="21"/>
      <c r="G234" s="16"/>
      <c r="H234" s="16"/>
      <c r="I234" s="16"/>
      <c r="J234" s="17"/>
      <c r="K234" s="21"/>
      <c r="L234" s="16"/>
      <c r="M234" s="16"/>
      <c r="N234" s="17"/>
      <c r="O234" s="21"/>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row>
    <row r="235">
      <c r="A235" s="22" t="s">
        <v>237</v>
      </c>
      <c r="B235" s="21"/>
      <c r="C235" s="16"/>
      <c r="D235" s="16"/>
      <c r="E235" s="17"/>
      <c r="F235" s="21"/>
      <c r="G235" s="16"/>
      <c r="H235" s="16"/>
      <c r="I235" s="16"/>
      <c r="J235" s="17"/>
      <c r="K235" s="21"/>
      <c r="L235" s="16"/>
      <c r="M235" s="16"/>
      <c r="N235" s="17"/>
      <c r="O235" s="21"/>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row>
    <row r="236">
      <c r="A236" s="22" t="s">
        <v>238</v>
      </c>
      <c r="B236" s="21"/>
      <c r="C236" s="16"/>
      <c r="D236" s="16"/>
      <c r="E236" s="17"/>
      <c r="F236" s="21"/>
      <c r="G236" s="16"/>
      <c r="H236" s="16"/>
      <c r="I236" s="16"/>
      <c r="J236" s="17"/>
      <c r="K236" s="21"/>
      <c r="L236" s="16"/>
      <c r="M236" s="16"/>
      <c r="N236" s="17"/>
      <c r="O236" s="21"/>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row>
    <row r="237">
      <c r="A237" s="19" t="s">
        <v>239</v>
      </c>
      <c r="B237" s="21"/>
      <c r="C237" s="16"/>
      <c r="D237" s="16"/>
      <c r="E237" s="17"/>
      <c r="F237" s="21"/>
      <c r="G237" s="16"/>
      <c r="H237" s="16"/>
      <c r="I237" s="16"/>
      <c r="J237" s="17"/>
      <c r="K237" s="21"/>
      <c r="L237" s="16"/>
      <c r="M237" s="16"/>
      <c r="N237" s="17"/>
      <c r="O237" s="21"/>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row>
    <row r="238">
      <c r="A238" s="22" t="s">
        <v>240</v>
      </c>
      <c r="B238" s="21"/>
      <c r="C238" s="16"/>
      <c r="D238" s="16"/>
      <c r="E238" s="17"/>
      <c r="F238" s="21"/>
      <c r="G238" s="16"/>
      <c r="H238" s="16"/>
      <c r="I238" s="16"/>
      <c r="J238" s="17"/>
      <c r="K238" s="21"/>
      <c r="L238" s="16"/>
      <c r="M238" s="16"/>
      <c r="N238" s="17"/>
      <c r="O238" s="21"/>
      <c r="P238" s="16"/>
      <c r="Q238" s="16"/>
      <c r="R238" s="16"/>
      <c r="S238" s="16"/>
      <c r="T238" s="16"/>
      <c r="U238" s="16"/>
      <c r="V238" s="16"/>
      <c r="W238" s="16"/>
      <c r="X238" s="16"/>
      <c r="Y238" s="16"/>
      <c r="Z238" s="68"/>
      <c r="AA238" s="68"/>
      <c r="AB238" s="68"/>
      <c r="AC238" s="68"/>
      <c r="AD238" s="68"/>
      <c r="AE238" s="16"/>
      <c r="AF238" s="16"/>
      <c r="AG238" s="16"/>
      <c r="AH238" s="16"/>
      <c r="AI238" s="16"/>
      <c r="AJ238" s="16"/>
      <c r="AK238" s="16"/>
      <c r="AL238" s="16"/>
      <c r="AM238" s="16"/>
      <c r="AN238" s="16"/>
      <c r="AO238" s="16"/>
      <c r="AP238" s="16"/>
      <c r="AQ238" s="16"/>
    </row>
    <row r="239">
      <c r="A239" s="69" t="s">
        <v>241</v>
      </c>
      <c r="B239" s="21"/>
      <c r="C239" s="16"/>
      <c r="D239" s="16"/>
      <c r="E239" s="17"/>
      <c r="F239" s="21"/>
      <c r="G239" s="16"/>
      <c r="H239" s="16"/>
      <c r="I239" s="16"/>
      <c r="J239" s="17"/>
      <c r="K239" s="21"/>
      <c r="L239" s="16"/>
      <c r="M239" s="16"/>
      <c r="N239" s="17"/>
      <c r="O239" s="21"/>
      <c r="P239" s="16"/>
      <c r="Q239" s="16"/>
      <c r="R239" s="16"/>
      <c r="S239" s="16"/>
      <c r="T239" s="16"/>
      <c r="U239" s="16"/>
      <c r="V239" s="16"/>
      <c r="W239" s="16"/>
      <c r="X239" s="16"/>
      <c r="Y239" s="16"/>
      <c r="Z239" s="16"/>
      <c r="AA239" s="16"/>
      <c r="AB239" s="16"/>
      <c r="AC239" s="16"/>
      <c r="AD239" s="16"/>
      <c r="AE239" s="68"/>
      <c r="AF239" s="68"/>
      <c r="AG239" s="16"/>
      <c r="AH239" s="16"/>
      <c r="AI239" s="16"/>
      <c r="AJ239" s="16"/>
      <c r="AK239" s="16"/>
      <c r="AL239" s="16"/>
      <c r="AM239" s="16"/>
      <c r="AN239" s="16"/>
      <c r="AO239" s="16"/>
      <c r="AP239" s="16"/>
      <c r="AQ239" s="16"/>
    </row>
    <row r="240">
      <c r="A240" s="69" t="s">
        <v>242</v>
      </c>
      <c r="B240" s="21"/>
      <c r="C240" s="16"/>
      <c r="D240" s="16"/>
      <c r="E240" s="17"/>
      <c r="F240" s="21"/>
      <c r="G240" s="16"/>
      <c r="H240" s="16"/>
      <c r="I240" s="16"/>
      <c r="J240" s="17"/>
      <c r="K240" s="21"/>
      <c r="L240" s="16"/>
      <c r="M240" s="16"/>
      <c r="N240" s="17"/>
      <c r="O240" s="21"/>
      <c r="P240" s="16"/>
      <c r="Q240" s="16"/>
      <c r="R240" s="16"/>
      <c r="S240" s="16"/>
      <c r="T240" s="16"/>
      <c r="U240" s="16"/>
      <c r="V240" s="16"/>
      <c r="W240" s="16"/>
      <c r="X240" s="16"/>
      <c r="Y240" s="16"/>
      <c r="Z240" s="16"/>
      <c r="AA240" s="16"/>
      <c r="AB240" s="16"/>
      <c r="AC240" s="16"/>
      <c r="AD240" s="16"/>
      <c r="AE240" s="16"/>
      <c r="AF240" s="16"/>
      <c r="AG240" s="68"/>
      <c r="AH240" s="16"/>
      <c r="AI240" s="16"/>
      <c r="AJ240" s="16"/>
      <c r="AK240" s="16"/>
      <c r="AL240" s="16"/>
      <c r="AM240" s="16"/>
      <c r="AN240" s="16"/>
      <c r="AO240" s="16"/>
      <c r="AP240" s="16"/>
      <c r="AQ240" s="16"/>
    </row>
    <row r="241">
      <c r="A241" s="22" t="s">
        <v>243</v>
      </c>
      <c r="B241" s="21"/>
      <c r="C241" s="16"/>
      <c r="D241" s="16"/>
      <c r="E241" s="17"/>
      <c r="F241" s="21"/>
      <c r="G241" s="16"/>
      <c r="H241" s="16"/>
      <c r="I241" s="16"/>
      <c r="J241" s="17"/>
      <c r="K241" s="21"/>
      <c r="L241" s="16"/>
      <c r="M241" s="16"/>
      <c r="N241" s="17"/>
      <c r="O241" s="21"/>
      <c r="P241" s="16"/>
      <c r="Q241" s="16"/>
      <c r="R241" s="16"/>
      <c r="S241" s="16"/>
      <c r="T241" s="16"/>
      <c r="U241" s="16"/>
      <c r="V241" s="16"/>
      <c r="W241" s="16"/>
      <c r="X241" s="16"/>
      <c r="Y241" s="16"/>
      <c r="Z241" s="16"/>
      <c r="AA241" s="16"/>
      <c r="AB241" s="16"/>
      <c r="AC241" s="16"/>
      <c r="AD241" s="16"/>
      <c r="AE241" s="16"/>
      <c r="AF241" s="16"/>
      <c r="AG241" s="16"/>
      <c r="AH241" s="68"/>
      <c r="AI241" s="68"/>
      <c r="AJ241" s="68"/>
      <c r="AK241" s="68"/>
      <c r="AL241" s="16"/>
      <c r="AM241" s="16"/>
      <c r="AN241" s="16"/>
      <c r="AO241" s="16"/>
      <c r="AP241" s="16"/>
      <c r="AQ241" s="16"/>
    </row>
    <row r="242" ht="29.25" customHeight="1">
      <c r="A242" s="69" t="s">
        <v>244</v>
      </c>
      <c r="B242" s="21"/>
      <c r="C242" s="16"/>
      <c r="D242" s="16"/>
      <c r="E242" s="17"/>
      <c r="F242" s="21"/>
      <c r="G242" s="16"/>
      <c r="H242" s="16"/>
      <c r="I242" s="16"/>
      <c r="J242" s="17"/>
      <c r="K242" s="21"/>
      <c r="L242" s="16"/>
      <c r="M242" s="16"/>
      <c r="N242" s="17"/>
      <c r="O242" s="21"/>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68"/>
      <c r="AM242" s="16"/>
      <c r="AN242" s="16"/>
      <c r="AO242" s="16"/>
      <c r="AP242" s="16"/>
      <c r="AQ242" s="16"/>
    </row>
    <row r="243" ht="29.25" customHeight="1">
      <c r="A243" s="69" t="s">
        <v>245</v>
      </c>
      <c r="B243" s="21"/>
      <c r="C243" s="16"/>
      <c r="D243" s="16"/>
      <c r="E243" s="17"/>
      <c r="F243" s="21"/>
      <c r="G243" s="16"/>
      <c r="H243" s="16"/>
      <c r="I243" s="16"/>
      <c r="J243" s="17"/>
      <c r="K243" s="21"/>
      <c r="L243" s="16"/>
      <c r="M243" s="16"/>
      <c r="N243" s="17"/>
      <c r="O243" s="21"/>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68"/>
      <c r="AM243" s="16"/>
      <c r="AN243" s="16"/>
      <c r="AO243" s="16"/>
      <c r="AP243" s="16"/>
      <c r="AQ243" s="16"/>
    </row>
    <row r="244">
      <c r="A244" s="69" t="s">
        <v>246</v>
      </c>
      <c r="B244" s="21"/>
      <c r="C244" s="16"/>
      <c r="D244" s="16"/>
      <c r="E244" s="17"/>
      <c r="F244" s="21"/>
      <c r="G244" s="16"/>
      <c r="H244" s="16"/>
      <c r="I244" s="16"/>
      <c r="J244" s="17"/>
      <c r="K244" s="21"/>
      <c r="L244" s="16"/>
      <c r="M244" s="16"/>
      <c r="N244" s="17"/>
      <c r="O244" s="21"/>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68"/>
      <c r="AN244" s="68"/>
      <c r="AO244" s="16"/>
      <c r="AP244" s="16"/>
      <c r="AQ244" s="16"/>
    </row>
    <row r="245">
      <c r="A245" s="69" t="s">
        <v>247</v>
      </c>
      <c r="B245" s="21"/>
      <c r="C245" s="16"/>
      <c r="D245" s="16"/>
      <c r="E245" s="17"/>
      <c r="F245" s="21"/>
      <c r="G245" s="16"/>
      <c r="H245" s="16"/>
      <c r="I245" s="16"/>
      <c r="J245" s="17"/>
      <c r="K245" s="21"/>
      <c r="L245" s="16"/>
      <c r="M245" s="16"/>
      <c r="N245" s="17"/>
      <c r="O245" s="21"/>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68"/>
      <c r="AP245" s="16"/>
      <c r="AQ245" s="16"/>
    </row>
    <row r="246">
      <c r="A246" s="69" t="s">
        <v>248</v>
      </c>
      <c r="B246" s="21"/>
      <c r="C246" s="16"/>
      <c r="D246" s="16"/>
      <c r="E246" s="17"/>
      <c r="F246" s="21"/>
      <c r="G246" s="16"/>
      <c r="H246" s="16"/>
      <c r="I246" s="16"/>
      <c r="J246" s="17"/>
      <c r="K246" s="21"/>
      <c r="L246" s="16"/>
      <c r="M246" s="16"/>
      <c r="N246" s="17"/>
      <c r="O246" s="21"/>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68"/>
      <c r="AQ246" s="16"/>
    </row>
    <row r="247">
      <c r="A247" s="69" t="s">
        <v>249</v>
      </c>
      <c r="B247" s="21"/>
      <c r="C247" s="16"/>
      <c r="D247" s="16"/>
      <c r="E247" s="17"/>
      <c r="F247" s="21"/>
      <c r="G247" s="16"/>
      <c r="H247" s="16"/>
      <c r="I247" s="16"/>
      <c r="J247" s="17"/>
      <c r="K247" s="21"/>
      <c r="L247" s="16"/>
      <c r="M247" s="16"/>
      <c r="N247" s="17"/>
      <c r="O247" s="21"/>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68"/>
    </row>
    <row r="248">
      <c r="A248" s="69" t="s">
        <v>250</v>
      </c>
      <c r="B248" s="21"/>
      <c r="C248" s="16"/>
      <c r="D248" s="16"/>
      <c r="E248" s="17"/>
      <c r="F248" s="21"/>
      <c r="G248" s="16"/>
      <c r="H248" s="16"/>
      <c r="I248" s="16"/>
      <c r="J248" s="17"/>
      <c r="K248" s="21"/>
      <c r="L248" s="16"/>
      <c r="M248" s="16"/>
      <c r="N248" s="17"/>
      <c r="O248" s="21"/>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68"/>
      <c r="AS248" s="68"/>
      <c r="AT248" s="68"/>
      <c r="AU248" s="68"/>
    </row>
    <row r="249">
      <c r="A249" s="19" t="s">
        <v>251</v>
      </c>
      <c r="B249" s="21"/>
      <c r="C249" s="16"/>
      <c r="D249" s="16"/>
      <c r="E249" s="17"/>
      <c r="F249" s="21"/>
      <c r="G249" s="16"/>
      <c r="H249" s="16"/>
      <c r="I249" s="16"/>
      <c r="J249" s="17"/>
      <c r="K249" s="21"/>
      <c r="L249" s="16"/>
      <c r="M249" s="16"/>
      <c r="N249" s="17"/>
      <c r="O249" s="21"/>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row>
    <row r="250">
      <c r="A250" s="70" t="s">
        <v>252</v>
      </c>
      <c r="B250" s="21"/>
      <c r="C250" s="16"/>
      <c r="D250" s="16"/>
      <c r="E250" s="17"/>
      <c r="F250" s="21"/>
      <c r="G250" s="16"/>
      <c r="H250" s="16"/>
      <c r="I250" s="16"/>
      <c r="J250" s="71"/>
      <c r="K250" s="72"/>
      <c r="L250" s="52"/>
      <c r="M250" s="52"/>
      <c r="N250" s="17"/>
      <c r="O250" s="21"/>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row>
    <row r="251">
      <c r="A251" s="70" t="s">
        <v>253</v>
      </c>
      <c r="B251" s="21"/>
      <c r="C251" s="16"/>
      <c r="D251" s="16"/>
      <c r="E251" s="17"/>
      <c r="F251" s="21"/>
      <c r="G251" s="16"/>
      <c r="H251" s="16"/>
      <c r="I251" s="16"/>
      <c r="J251" s="17"/>
      <c r="K251" s="21"/>
      <c r="L251" s="16"/>
      <c r="M251" s="16"/>
      <c r="N251" s="71"/>
      <c r="O251" s="21"/>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row>
    <row r="252">
      <c r="A252" s="70" t="s">
        <v>254</v>
      </c>
      <c r="B252" s="21"/>
      <c r="C252" s="16"/>
      <c r="D252" s="16"/>
      <c r="E252" s="17"/>
      <c r="F252" s="21"/>
      <c r="G252" s="16"/>
      <c r="H252" s="16"/>
      <c r="I252" s="16"/>
      <c r="J252" s="17"/>
      <c r="K252" s="21"/>
      <c r="L252" s="16"/>
      <c r="M252" s="16"/>
      <c r="N252" s="17"/>
      <c r="O252" s="72"/>
      <c r="P252" s="52"/>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row>
    <row r="253">
      <c r="A253" s="70" t="s">
        <v>255</v>
      </c>
      <c r="B253" s="21"/>
      <c r="C253" s="16"/>
      <c r="D253" s="16"/>
      <c r="E253" s="17"/>
      <c r="F253" s="21"/>
      <c r="G253" s="16"/>
      <c r="H253" s="16"/>
      <c r="I253" s="16"/>
      <c r="J253" s="17"/>
      <c r="K253" s="21"/>
      <c r="L253" s="16"/>
      <c r="M253" s="16"/>
      <c r="N253" s="17"/>
      <c r="O253" s="21"/>
      <c r="P253" s="16"/>
      <c r="Q253" s="52"/>
      <c r="R253" s="52"/>
      <c r="S253" s="52"/>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row>
    <row r="254">
      <c r="A254" s="70" t="s">
        <v>256</v>
      </c>
      <c r="B254" s="21"/>
      <c r="C254" s="16"/>
      <c r="D254" s="16"/>
      <c r="E254" s="17"/>
      <c r="F254" s="21"/>
      <c r="G254" s="16"/>
      <c r="H254" s="16"/>
      <c r="I254" s="16"/>
      <c r="J254" s="17"/>
      <c r="K254" s="21"/>
      <c r="L254" s="16"/>
      <c r="M254" s="16"/>
      <c r="N254" s="17"/>
      <c r="O254" s="21"/>
      <c r="P254" s="16"/>
      <c r="Q254" s="16"/>
      <c r="R254" s="16"/>
      <c r="S254" s="16"/>
      <c r="T254" s="16"/>
      <c r="U254" s="16"/>
      <c r="V254" s="16"/>
      <c r="W254" s="16"/>
      <c r="X254" s="16"/>
      <c r="Y254" s="16"/>
      <c r="Z254" s="16"/>
      <c r="AA254" s="16"/>
      <c r="AB254" s="16"/>
      <c r="AC254" s="68"/>
      <c r="AD254" s="68"/>
      <c r="AE254" s="68"/>
      <c r="AF254" s="16"/>
      <c r="AG254" s="16"/>
      <c r="AH254" s="16"/>
      <c r="AI254" s="16"/>
      <c r="AJ254" s="16"/>
      <c r="AK254" s="16"/>
      <c r="AL254" s="16"/>
      <c r="AM254" s="16"/>
      <c r="AN254" s="16"/>
      <c r="AO254" s="16"/>
      <c r="AP254" s="16"/>
      <c r="AQ254" s="16"/>
    </row>
    <row r="255">
      <c r="A255" s="70" t="s">
        <v>257</v>
      </c>
      <c r="B255" s="21"/>
      <c r="C255" s="16"/>
      <c r="D255" s="16"/>
      <c r="E255" s="17"/>
      <c r="F255" s="21"/>
      <c r="G255" s="16"/>
      <c r="H255" s="16"/>
      <c r="I255" s="16"/>
      <c r="J255" s="17"/>
      <c r="K255" s="21"/>
      <c r="L255" s="16"/>
      <c r="M255" s="16"/>
      <c r="N255" s="17"/>
      <c r="O255" s="21"/>
      <c r="P255" s="16"/>
      <c r="Q255" s="16"/>
      <c r="R255" s="16"/>
      <c r="S255" s="16"/>
      <c r="T255" s="16"/>
      <c r="U255" s="16"/>
      <c r="V255" s="16"/>
      <c r="W255" s="16"/>
      <c r="X255" s="16"/>
      <c r="Y255" s="16"/>
      <c r="Z255" s="16"/>
      <c r="AA255" s="16"/>
      <c r="AB255" s="16"/>
      <c r="AC255" s="16"/>
      <c r="AD255" s="16"/>
      <c r="AE255" s="16"/>
      <c r="AF255" s="68"/>
      <c r="AG255" s="68"/>
      <c r="AH255" s="68"/>
      <c r="AI255" s="68"/>
      <c r="AJ255" s="16"/>
      <c r="AK255" s="16"/>
      <c r="AL255" s="16"/>
      <c r="AM255" s="16"/>
      <c r="AN255" s="16"/>
      <c r="AO255" s="16"/>
      <c r="AP255" s="16"/>
      <c r="AQ255" s="16"/>
    </row>
    <row r="256">
      <c r="A256" s="70" t="s">
        <v>258</v>
      </c>
      <c r="B256" s="21"/>
      <c r="C256" s="16"/>
      <c r="D256" s="16"/>
      <c r="E256" s="17"/>
      <c r="F256" s="21"/>
      <c r="G256" s="16"/>
      <c r="H256" s="16"/>
      <c r="I256" s="16"/>
      <c r="J256" s="17"/>
      <c r="K256" s="21"/>
      <c r="L256" s="16"/>
      <c r="M256" s="16"/>
      <c r="N256" s="17"/>
      <c r="O256" s="21"/>
      <c r="P256" s="16"/>
      <c r="Q256" s="16"/>
      <c r="R256" s="16"/>
      <c r="S256" s="16"/>
      <c r="T256" s="16"/>
      <c r="U256" s="16"/>
      <c r="V256" s="16"/>
      <c r="W256" s="16"/>
      <c r="X256" s="16"/>
      <c r="Y256" s="16"/>
      <c r="Z256" s="16"/>
      <c r="AA256" s="16"/>
      <c r="AB256" s="16"/>
      <c r="AC256" s="16"/>
      <c r="AD256" s="16"/>
      <c r="AE256" s="16"/>
      <c r="AF256" s="16"/>
      <c r="AG256" s="16"/>
      <c r="AH256" s="16"/>
      <c r="AJ256" s="68"/>
      <c r="AK256" s="73"/>
      <c r="AL256" s="16"/>
      <c r="AM256" s="16"/>
      <c r="AN256" s="16"/>
      <c r="AO256" s="16"/>
      <c r="AP256" s="16"/>
      <c r="AQ256" s="16"/>
    </row>
    <row r="257">
      <c r="A257" s="70" t="s">
        <v>259</v>
      </c>
      <c r="B257" s="21"/>
      <c r="C257" s="16"/>
      <c r="D257" s="16"/>
      <c r="E257" s="17"/>
      <c r="F257" s="21"/>
      <c r="G257" s="16"/>
      <c r="H257" s="16"/>
      <c r="I257" s="16"/>
      <c r="J257" s="17"/>
      <c r="K257" s="21"/>
      <c r="L257" s="16"/>
      <c r="M257" s="16"/>
      <c r="N257" s="17"/>
      <c r="O257" s="21"/>
      <c r="P257" s="16"/>
      <c r="Q257" s="16"/>
      <c r="R257" s="16"/>
      <c r="S257" s="16"/>
      <c r="T257" s="16"/>
      <c r="U257" s="16"/>
      <c r="V257" s="16"/>
      <c r="W257" s="16"/>
      <c r="X257" s="16"/>
      <c r="Y257" s="16"/>
      <c r="Z257" s="16"/>
      <c r="AA257" s="16"/>
      <c r="AB257" s="16"/>
      <c r="AC257" s="16"/>
      <c r="AD257" s="16"/>
      <c r="AE257" s="16"/>
      <c r="AF257" s="16"/>
      <c r="AG257" s="16"/>
      <c r="AH257" s="16"/>
      <c r="AI257" s="16"/>
      <c r="AJ257" s="74"/>
      <c r="AK257" s="16"/>
      <c r="AL257" s="73"/>
      <c r="AM257" s="73"/>
      <c r="AN257" s="16"/>
      <c r="AO257" s="16"/>
      <c r="AP257" s="16"/>
      <c r="AQ257" s="16"/>
    </row>
    <row r="258">
      <c r="A258" s="22"/>
      <c r="B258" s="21"/>
      <c r="C258" s="16"/>
      <c r="D258" s="16"/>
      <c r="E258" s="17"/>
      <c r="F258" s="21"/>
      <c r="G258" s="16"/>
      <c r="H258" s="16"/>
      <c r="I258" s="16"/>
      <c r="J258" s="17"/>
      <c r="K258" s="21"/>
      <c r="L258" s="16"/>
      <c r="M258" s="16"/>
      <c r="N258" s="17"/>
      <c r="O258" s="21"/>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row>
    <row r="259">
      <c r="A259" s="22"/>
      <c r="B259" s="21"/>
      <c r="C259" s="16"/>
      <c r="D259" s="16"/>
      <c r="E259" s="17"/>
      <c r="F259" s="21"/>
      <c r="G259" s="16"/>
      <c r="H259" s="16"/>
      <c r="I259" s="16"/>
      <c r="J259" s="17"/>
      <c r="K259" s="21"/>
      <c r="L259" s="16"/>
      <c r="M259" s="16"/>
      <c r="N259" s="17"/>
      <c r="O259" s="21"/>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row>
    <row r="260">
      <c r="A260" s="22"/>
      <c r="B260" s="21"/>
      <c r="C260" s="16"/>
      <c r="D260" s="16"/>
      <c r="E260" s="17"/>
      <c r="F260" s="21"/>
      <c r="G260" s="16"/>
      <c r="H260" s="16"/>
      <c r="I260" s="16"/>
      <c r="J260" s="17"/>
      <c r="K260" s="21"/>
      <c r="L260" s="16"/>
      <c r="M260" s="16"/>
      <c r="N260" s="17"/>
      <c r="O260" s="21"/>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row>
    <row r="261">
      <c r="A261" s="22"/>
      <c r="B261" s="21"/>
      <c r="C261" s="16"/>
      <c r="D261" s="16"/>
      <c r="E261" s="17"/>
      <c r="F261" s="21"/>
      <c r="G261" s="16"/>
      <c r="H261" s="16"/>
      <c r="I261" s="16"/>
      <c r="J261" s="17"/>
      <c r="K261" s="21"/>
      <c r="L261" s="16"/>
      <c r="M261" s="16"/>
      <c r="N261" s="17"/>
      <c r="O261" s="21"/>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row>
    <row r="262">
      <c r="A262" s="22"/>
      <c r="B262" s="21"/>
      <c r="C262" s="16"/>
      <c r="D262" s="16"/>
      <c r="E262" s="17"/>
      <c r="F262" s="21"/>
      <c r="G262" s="16"/>
      <c r="H262" s="16"/>
      <c r="I262" s="16"/>
      <c r="J262" s="17"/>
      <c r="K262" s="21"/>
      <c r="L262" s="16"/>
      <c r="M262" s="16"/>
      <c r="N262" s="17"/>
      <c r="O262" s="21"/>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row>
    <row r="263">
      <c r="A263" s="22"/>
      <c r="B263" s="21"/>
      <c r="C263" s="16"/>
      <c r="D263" s="16"/>
      <c r="E263" s="17"/>
      <c r="F263" s="21"/>
      <c r="G263" s="16"/>
      <c r="H263" s="16"/>
      <c r="I263" s="16"/>
      <c r="J263" s="17"/>
      <c r="K263" s="21"/>
      <c r="L263" s="16"/>
      <c r="M263" s="16"/>
      <c r="N263" s="17"/>
      <c r="O263" s="21"/>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row>
    <row r="264">
      <c r="A264" s="22"/>
      <c r="B264" s="21"/>
      <c r="C264" s="16"/>
      <c r="D264" s="16"/>
      <c r="E264" s="17"/>
      <c r="F264" s="21"/>
      <c r="G264" s="16"/>
      <c r="H264" s="16"/>
      <c r="I264" s="16"/>
      <c r="J264" s="17"/>
      <c r="K264" s="21"/>
      <c r="L264" s="16"/>
      <c r="M264" s="16"/>
      <c r="N264" s="17"/>
      <c r="O264" s="21"/>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row>
    <row r="265">
      <c r="A265" s="22"/>
      <c r="B265" s="21"/>
      <c r="C265" s="16"/>
      <c r="D265" s="16"/>
      <c r="E265" s="17"/>
      <c r="F265" s="21"/>
      <c r="G265" s="16"/>
      <c r="H265" s="16"/>
      <c r="I265" s="16"/>
      <c r="J265" s="17"/>
      <c r="K265" s="21"/>
      <c r="L265" s="16"/>
      <c r="M265" s="16"/>
      <c r="N265" s="17"/>
      <c r="O265" s="21"/>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row>
    <row r="266">
      <c r="A266" s="22"/>
      <c r="B266" s="21"/>
      <c r="C266" s="16"/>
      <c r="D266" s="16"/>
      <c r="E266" s="17"/>
      <c r="F266" s="21"/>
      <c r="G266" s="16"/>
      <c r="H266" s="16"/>
      <c r="I266" s="16"/>
      <c r="J266" s="17"/>
      <c r="K266" s="21"/>
      <c r="L266" s="16"/>
      <c r="M266" s="16"/>
      <c r="N266" s="17"/>
      <c r="O266" s="21"/>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row>
    <row r="267">
      <c r="A267" s="22"/>
      <c r="B267" s="21"/>
      <c r="C267" s="16"/>
      <c r="D267" s="16"/>
      <c r="E267" s="17"/>
      <c r="F267" s="21"/>
      <c r="G267" s="16"/>
      <c r="H267" s="16"/>
      <c r="I267" s="16"/>
      <c r="J267" s="17"/>
      <c r="K267" s="21"/>
      <c r="L267" s="16"/>
      <c r="M267" s="16"/>
      <c r="N267" s="17"/>
      <c r="O267" s="21"/>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row>
    <row r="268">
      <c r="A268" s="22"/>
      <c r="B268" s="21"/>
      <c r="C268" s="16"/>
      <c r="D268" s="16"/>
      <c r="E268" s="17"/>
      <c r="F268" s="21"/>
      <c r="G268" s="16"/>
      <c r="H268" s="16"/>
      <c r="I268" s="16"/>
      <c r="J268" s="17"/>
      <c r="K268" s="21"/>
      <c r="L268" s="16"/>
      <c r="M268" s="16"/>
      <c r="N268" s="17"/>
      <c r="O268" s="21"/>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row>
    <row r="269">
      <c r="A269" s="22"/>
      <c r="B269" s="21"/>
      <c r="C269" s="16"/>
      <c r="D269" s="16"/>
      <c r="E269" s="17"/>
      <c r="F269" s="21"/>
      <c r="G269" s="16"/>
      <c r="H269" s="16"/>
      <c r="I269" s="16"/>
      <c r="J269" s="17"/>
      <c r="K269" s="21"/>
      <c r="L269" s="16"/>
      <c r="M269" s="16"/>
      <c r="N269" s="17"/>
      <c r="O269" s="21"/>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row>
    <row r="270">
      <c r="A270" s="22"/>
      <c r="B270" s="21"/>
      <c r="C270" s="16"/>
      <c r="D270" s="16"/>
      <c r="E270" s="17"/>
      <c r="F270" s="21"/>
      <c r="G270" s="16"/>
      <c r="H270" s="16"/>
      <c r="I270" s="16"/>
      <c r="J270" s="17"/>
      <c r="K270" s="21"/>
      <c r="L270" s="16"/>
      <c r="M270" s="16"/>
      <c r="N270" s="17"/>
      <c r="O270" s="21"/>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row>
    <row r="271">
      <c r="A271" s="22"/>
      <c r="B271" s="21"/>
      <c r="C271" s="16"/>
      <c r="D271" s="16"/>
      <c r="E271" s="17"/>
      <c r="F271" s="21"/>
      <c r="G271" s="16"/>
      <c r="H271" s="16"/>
      <c r="I271" s="16"/>
      <c r="J271" s="17"/>
      <c r="K271" s="21"/>
      <c r="L271" s="16"/>
      <c r="M271" s="16"/>
      <c r="N271" s="17"/>
      <c r="O271" s="21"/>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row>
    <row r="272">
      <c r="A272" s="22"/>
      <c r="B272" s="21"/>
      <c r="C272" s="16"/>
      <c r="D272" s="16"/>
      <c r="E272" s="17"/>
      <c r="F272" s="21"/>
      <c r="G272" s="16"/>
      <c r="H272" s="16"/>
      <c r="I272" s="16"/>
      <c r="J272" s="17"/>
      <c r="K272" s="21"/>
      <c r="L272" s="16"/>
      <c r="M272" s="16"/>
      <c r="N272" s="17"/>
      <c r="O272" s="21"/>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row>
    <row r="273">
      <c r="A273" s="22"/>
      <c r="B273" s="21"/>
      <c r="C273" s="16"/>
      <c r="D273" s="16"/>
      <c r="E273" s="17"/>
      <c r="F273" s="21"/>
      <c r="G273" s="16"/>
      <c r="H273" s="16"/>
      <c r="I273" s="16"/>
      <c r="J273" s="17"/>
      <c r="K273" s="21"/>
      <c r="L273" s="16"/>
      <c r="M273" s="16"/>
      <c r="N273" s="17"/>
      <c r="O273" s="21"/>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row>
    <row r="274">
      <c r="A274" s="22"/>
      <c r="B274" s="21"/>
      <c r="C274" s="16"/>
      <c r="D274" s="16"/>
      <c r="E274" s="17"/>
      <c r="F274" s="21"/>
      <c r="G274" s="16"/>
      <c r="H274" s="16"/>
      <c r="I274" s="16"/>
      <c r="J274" s="17"/>
      <c r="K274" s="21"/>
      <c r="L274" s="16"/>
      <c r="M274" s="16"/>
      <c r="N274" s="17"/>
      <c r="O274" s="21"/>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row>
    <row r="275">
      <c r="A275" s="22"/>
      <c r="B275" s="21"/>
      <c r="C275" s="16"/>
      <c r="D275" s="16"/>
      <c r="E275" s="17"/>
      <c r="F275" s="21"/>
      <c r="G275" s="16"/>
      <c r="H275" s="16"/>
      <c r="I275" s="16"/>
      <c r="J275" s="17"/>
      <c r="K275" s="21"/>
      <c r="L275" s="16"/>
      <c r="M275" s="16"/>
      <c r="N275" s="17"/>
      <c r="O275" s="21"/>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row>
    <row r="276">
      <c r="A276" s="22"/>
      <c r="B276" s="21"/>
      <c r="C276" s="16"/>
      <c r="D276" s="16"/>
      <c r="E276" s="17"/>
      <c r="F276" s="21"/>
      <c r="G276" s="16"/>
      <c r="H276" s="16"/>
      <c r="I276" s="16"/>
      <c r="J276" s="17"/>
      <c r="K276" s="21"/>
      <c r="L276" s="16"/>
      <c r="M276" s="16"/>
      <c r="N276" s="17"/>
      <c r="O276" s="21"/>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row>
    <row r="277">
      <c r="A277" s="22"/>
      <c r="B277" s="21"/>
      <c r="C277" s="16"/>
      <c r="D277" s="16"/>
      <c r="E277" s="17"/>
      <c r="F277" s="21"/>
      <c r="G277" s="16"/>
      <c r="H277" s="16"/>
      <c r="I277" s="16"/>
      <c r="J277" s="17"/>
      <c r="K277" s="21"/>
      <c r="L277" s="16"/>
      <c r="M277" s="16"/>
      <c r="N277" s="17"/>
      <c r="O277" s="21"/>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row>
    <row r="278">
      <c r="A278" s="22"/>
      <c r="B278" s="21"/>
      <c r="C278" s="16"/>
      <c r="D278" s="16"/>
      <c r="E278" s="17"/>
      <c r="F278" s="21"/>
      <c r="G278" s="16"/>
      <c r="H278" s="16"/>
      <c r="I278" s="16"/>
      <c r="J278" s="17"/>
      <c r="K278" s="21"/>
      <c r="L278" s="16"/>
      <c r="M278" s="16"/>
      <c r="N278" s="17"/>
      <c r="O278" s="21"/>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row>
    <row r="279">
      <c r="A279" s="22"/>
      <c r="B279" s="21"/>
      <c r="C279" s="16"/>
      <c r="D279" s="16"/>
      <c r="E279" s="17"/>
      <c r="F279" s="21"/>
      <c r="G279" s="16"/>
      <c r="H279" s="16"/>
      <c r="I279" s="16"/>
      <c r="J279" s="17"/>
      <c r="K279" s="21"/>
      <c r="L279" s="16"/>
      <c r="M279" s="16"/>
      <c r="N279" s="17"/>
      <c r="O279" s="21"/>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row>
    <row r="280">
      <c r="A280" s="22"/>
      <c r="B280" s="21"/>
      <c r="C280" s="16"/>
      <c r="D280" s="16"/>
      <c r="E280" s="17"/>
      <c r="F280" s="21"/>
      <c r="G280" s="16"/>
      <c r="H280" s="16"/>
      <c r="I280" s="16"/>
      <c r="J280" s="17"/>
      <c r="K280" s="21"/>
      <c r="L280" s="16"/>
      <c r="M280" s="16"/>
      <c r="N280" s="17"/>
      <c r="O280" s="21"/>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row>
    <row r="281">
      <c r="A281" s="22"/>
      <c r="B281" s="21"/>
      <c r="C281" s="16"/>
      <c r="D281" s="16"/>
      <c r="E281" s="17"/>
      <c r="F281" s="21"/>
      <c r="G281" s="16"/>
      <c r="H281" s="16"/>
      <c r="I281" s="16"/>
      <c r="J281" s="17"/>
      <c r="K281" s="21"/>
      <c r="L281" s="16"/>
      <c r="M281" s="16"/>
      <c r="N281" s="17"/>
      <c r="O281" s="21"/>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row>
    <row r="282">
      <c r="A282" s="22"/>
      <c r="B282" s="21"/>
      <c r="C282" s="16"/>
      <c r="D282" s="16"/>
      <c r="E282" s="17"/>
      <c r="F282" s="21"/>
      <c r="G282" s="16"/>
      <c r="H282" s="16"/>
      <c r="I282" s="16"/>
      <c r="J282" s="17"/>
      <c r="K282" s="21"/>
      <c r="L282" s="16"/>
      <c r="M282" s="16"/>
      <c r="N282" s="17"/>
      <c r="O282" s="21"/>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row>
    <row r="283">
      <c r="A283" s="22"/>
      <c r="B283" s="21"/>
      <c r="C283" s="16"/>
      <c r="D283" s="16"/>
      <c r="E283" s="17"/>
      <c r="F283" s="21"/>
      <c r="G283" s="16"/>
      <c r="H283" s="16"/>
      <c r="I283" s="16"/>
      <c r="J283" s="17"/>
      <c r="K283" s="21"/>
      <c r="L283" s="16"/>
      <c r="M283" s="16"/>
      <c r="N283" s="17"/>
      <c r="O283" s="21"/>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row>
    <row r="284">
      <c r="A284" s="22"/>
      <c r="B284" s="21"/>
      <c r="C284" s="16"/>
      <c r="D284" s="16"/>
      <c r="E284" s="17"/>
      <c r="F284" s="21"/>
      <c r="G284" s="16"/>
      <c r="H284" s="16"/>
      <c r="I284" s="16"/>
      <c r="J284" s="17"/>
      <c r="K284" s="21"/>
      <c r="L284" s="16"/>
      <c r="M284" s="16"/>
      <c r="N284" s="17"/>
      <c r="O284" s="21"/>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row>
    <row r="285">
      <c r="A285" s="22"/>
      <c r="B285" s="21"/>
      <c r="C285" s="16"/>
      <c r="D285" s="16"/>
      <c r="E285" s="17"/>
      <c r="F285" s="21"/>
      <c r="G285" s="16"/>
      <c r="H285" s="16"/>
      <c r="I285" s="16"/>
      <c r="J285" s="17"/>
      <c r="K285" s="21"/>
      <c r="L285" s="16"/>
      <c r="M285" s="16"/>
      <c r="N285" s="17"/>
      <c r="O285" s="21"/>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row>
    <row r="286">
      <c r="A286" s="22"/>
      <c r="B286" s="21"/>
      <c r="C286" s="16"/>
      <c r="D286" s="16"/>
      <c r="E286" s="17"/>
      <c r="F286" s="21"/>
      <c r="G286" s="16"/>
      <c r="H286" s="16"/>
      <c r="I286" s="16"/>
      <c r="J286" s="17"/>
      <c r="K286" s="21"/>
      <c r="L286" s="16"/>
      <c r="M286" s="16"/>
      <c r="N286" s="17"/>
      <c r="O286" s="21"/>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row>
    <row r="287">
      <c r="A287" s="22"/>
      <c r="B287" s="21"/>
      <c r="C287" s="16"/>
      <c r="D287" s="16"/>
      <c r="E287" s="17"/>
      <c r="F287" s="21"/>
      <c r="G287" s="16"/>
      <c r="H287" s="16"/>
      <c r="I287" s="16"/>
      <c r="J287" s="17"/>
      <c r="K287" s="21"/>
      <c r="L287" s="16"/>
      <c r="M287" s="16"/>
      <c r="N287" s="17"/>
      <c r="O287" s="21"/>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row>
    <row r="288">
      <c r="A288" s="22"/>
      <c r="B288" s="21"/>
      <c r="C288" s="16"/>
      <c r="D288" s="16"/>
      <c r="E288" s="17"/>
      <c r="F288" s="21"/>
      <c r="G288" s="16"/>
      <c r="H288" s="16"/>
      <c r="I288" s="16"/>
      <c r="J288" s="17"/>
      <c r="K288" s="21"/>
      <c r="L288" s="16"/>
      <c r="M288" s="16"/>
      <c r="N288" s="17"/>
      <c r="O288" s="21"/>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row>
    <row r="289">
      <c r="A289" s="22"/>
      <c r="B289" s="21"/>
      <c r="C289" s="16"/>
      <c r="D289" s="16"/>
      <c r="E289" s="17"/>
      <c r="F289" s="21"/>
      <c r="G289" s="16"/>
      <c r="H289" s="16"/>
      <c r="I289" s="16"/>
      <c r="J289" s="17"/>
      <c r="K289" s="21"/>
      <c r="L289" s="16"/>
      <c r="M289" s="16"/>
      <c r="N289" s="17"/>
      <c r="O289" s="21"/>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row>
    <row r="290">
      <c r="A290" s="22"/>
      <c r="B290" s="21"/>
      <c r="C290" s="16"/>
      <c r="D290" s="16"/>
      <c r="E290" s="17"/>
      <c r="F290" s="21"/>
      <c r="G290" s="16"/>
      <c r="H290" s="16"/>
      <c r="I290" s="16"/>
      <c r="J290" s="17"/>
      <c r="K290" s="21"/>
      <c r="L290" s="16"/>
      <c r="M290" s="16"/>
      <c r="N290" s="17"/>
      <c r="O290" s="21"/>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row>
    <row r="291">
      <c r="A291" s="22"/>
      <c r="B291" s="21"/>
      <c r="C291" s="16"/>
      <c r="D291" s="16"/>
      <c r="E291" s="17"/>
      <c r="F291" s="21"/>
      <c r="G291" s="16"/>
      <c r="H291" s="16"/>
      <c r="I291" s="16"/>
      <c r="J291" s="17"/>
      <c r="K291" s="21"/>
      <c r="L291" s="16"/>
      <c r="M291" s="16"/>
      <c r="N291" s="17"/>
      <c r="O291" s="21"/>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row>
    <row r="292">
      <c r="A292" s="22"/>
      <c r="B292" s="21"/>
      <c r="C292" s="16"/>
      <c r="D292" s="16"/>
      <c r="E292" s="17"/>
      <c r="F292" s="21"/>
      <c r="G292" s="16"/>
      <c r="H292" s="16"/>
      <c r="I292" s="16"/>
      <c r="J292" s="17"/>
      <c r="K292" s="21"/>
      <c r="L292" s="16"/>
      <c r="M292" s="16"/>
      <c r="N292" s="17"/>
      <c r="O292" s="21"/>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row>
    <row r="293">
      <c r="A293" s="22"/>
      <c r="B293" s="21"/>
      <c r="C293" s="16"/>
      <c r="D293" s="16"/>
      <c r="E293" s="17"/>
      <c r="F293" s="21"/>
      <c r="G293" s="16"/>
      <c r="H293" s="16"/>
      <c r="I293" s="16"/>
      <c r="J293" s="17"/>
      <c r="K293" s="21"/>
      <c r="L293" s="16"/>
      <c r="M293" s="16"/>
      <c r="N293" s="17"/>
      <c r="O293" s="21"/>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row>
    <row r="294">
      <c r="A294" s="22"/>
      <c r="B294" s="21"/>
      <c r="C294" s="16"/>
      <c r="D294" s="16"/>
      <c r="E294" s="17"/>
      <c r="F294" s="21"/>
      <c r="G294" s="16"/>
      <c r="H294" s="16"/>
      <c r="I294" s="16"/>
      <c r="J294" s="17"/>
      <c r="K294" s="21"/>
      <c r="L294" s="16"/>
      <c r="M294" s="16"/>
      <c r="N294" s="17"/>
      <c r="O294" s="21"/>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row>
    <row r="295">
      <c r="A295" s="22"/>
      <c r="B295" s="21"/>
      <c r="C295" s="16"/>
      <c r="D295" s="16"/>
      <c r="E295" s="17"/>
      <c r="F295" s="21"/>
      <c r="G295" s="16"/>
      <c r="H295" s="16"/>
      <c r="I295" s="16"/>
      <c r="J295" s="17"/>
      <c r="K295" s="21"/>
      <c r="L295" s="16"/>
      <c r="M295" s="16"/>
      <c r="N295" s="17"/>
      <c r="O295" s="21"/>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row>
    <row r="296">
      <c r="A296" s="22"/>
      <c r="B296" s="21"/>
      <c r="C296" s="16"/>
      <c r="D296" s="16"/>
      <c r="E296" s="17"/>
      <c r="F296" s="21"/>
      <c r="G296" s="16"/>
      <c r="H296" s="16"/>
      <c r="I296" s="16"/>
      <c r="J296" s="17"/>
      <c r="K296" s="21"/>
      <c r="L296" s="16"/>
      <c r="M296" s="16"/>
      <c r="N296" s="17"/>
      <c r="O296" s="21"/>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row>
    <row r="297">
      <c r="A297" s="22"/>
      <c r="B297" s="21"/>
      <c r="C297" s="16"/>
      <c r="D297" s="16"/>
      <c r="E297" s="17"/>
      <c r="F297" s="21"/>
      <c r="G297" s="16"/>
      <c r="H297" s="16"/>
      <c r="I297" s="16"/>
      <c r="J297" s="17"/>
      <c r="K297" s="21"/>
      <c r="L297" s="16"/>
      <c r="M297" s="16"/>
      <c r="N297" s="17"/>
      <c r="O297" s="21"/>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row>
    <row r="298">
      <c r="A298" s="22"/>
      <c r="B298" s="21"/>
      <c r="C298" s="16"/>
      <c r="D298" s="16"/>
      <c r="E298" s="17"/>
      <c r="F298" s="21"/>
      <c r="G298" s="16"/>
      <c r="H298" s="16"/>
      <c r="I298" s="16"/>
      <c r="J298" s="17"/>
      <c r="K298" s="21"/>
      <c r="L298" s="16"/>
      <c r="M298" s="16"/>
      <c r="N298" s="17"/>
      <c r="O298" s="21"/>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row>
    <row r="299">
      <c r="A299" s="22"/>
      <c r="B299" s="21"/>
      <c r="C299" s="16"/>
      <c r="D299" s="16"/>
      <c r="E299" s="17"/>
      <c r="F299" s="21"/>
      <c r="G299" s="16"/>
      <c r="H299" s="16"/>
      <c r="I299" s="16"/>
      <c r="J299" s="17"/>
      <c r="K299" s="21"/>
      <c r="L299" s="16"/>
      <c r="M299" s="16"/>
      <c r="N299" s="17"/>
      <c r="O299" s="21"/>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row>
    <row r="300">
      <c r="A300" s="22"/>
      <c r="B300" s="21"/>
      <c r="C300" s="16"/>
      <c r="D300" s="16"/>
      <c r="E300" s="17"/>
      <c r="F300" s="21"/>
      <c r="G300" s="16"/>
      <c r="H300" s="16"/>
      <c r="I300" s="16"/>
      <c r="J300" s="17"/>
      <c r="K300" s="21"/>
      <c r="L300" s="16"/>
      <c r="M300" s="16"/>
      <c r="N300" s="17"/>
      <c r="O300" s="21"/>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row>
    <row r="301">
      <c r="A301" s="22"/>
      <c r="B301" s="21"/>
      <c r="C301" s="16"/>
      <c r="D301" s="16"/>
      <c r="E301" s="17"/>
      <c r="F301" s="21"/>
      <c r="G301" s="16"/>
      <c r="H301" s="16"/>
      <c r="I301" s="16"/>
      <c r="J301" s="17"/>
      <c r="K301" s="21"/>
      <c r="L301" s="16"/>
      <c r="M301" s="16"/>
      <c r="N301" s="17"/>
      <c r="O301" s="21"/>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row>
    <row r="302">
      <c r="A302" s="22"/>
      <c r="B302" s="21"/>
      <c r="C302" s="16"/>
      <c r="D302" s="16"/>
      <c r="E302" s="17"/>
      <c r="F302" s="21"/>
      <c r="G302" s="16"/>
      <c r="H302" s="16"/>
      <c r="I302" s="16"/>
      <c r="J302" s="17"/>
      <c r="K302" s="21"/>
      <c r="L302" s="16"/>
      <c r="M302" s="16"/>
      <c r="N302" s="17"/>
      <c r="O302" s="21"/>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row>
    <row r="303">
      <c r="A303" s="22"/>
      <c r="B303" s="21"/>
      <c r="C303" s="16"/>
      <c r="D303" s="16"/>
      <c r="E303" s="17"/>
      <c r="F303" s="21"/>
      <c r="G303" s="16"/>
      <c r="H303" s="16"/>
      <c r="I303" s="16"/>
      <c r="J303" s="17"/>
      <c r="K303" s="21"/>
      <c r="L303" s="16"/>
      <c r="M303" s="16"/>
      <c r="N303" s="17"/>
      <c r="O303" s="21"/>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row>
    <row r="304">
      <c r="A304" s="22"/>
      <c r="B304" s="21"/>
      <c r="C304" s="16"/>
      <c r="D304" s="16"/>
      <c r="E304" s="17"/>
      <c r="F304" s="21"/>
      <c r="G304" s="16"/>
      <c r="H304" s="16"/>
      <c r="I304" s="16"/>
      <c r="J304" s="17"/>
      <c r="K304" s="21"/>
      <c r="L304" s="16"/>
      <c r="M304" s="16"/>
      <c r="N304" s="17"/>
      <c r="O304" s="21"/>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row>
    <row r="305">
      <c r="A305" s="22"/>
      <c r="B305" s="21"/>
      <c r="C305" s="16"/>
      <c r="D305" s="16"/>
      <c r="E305" s="17"/>
      <c r="F305" s="21"/>
      <c r="G305" s="16"/>
      <c r="H305" s="16"/>
      <c r="I305" s="16"/>
      <c r="J305" s="17"/>
      <c r="K305" s="21"/>
      <c r="L305" s="16"/>
      <c r="M305" s="16"/>
      <c r="N305" s="17"/>
      <c r="O305" s="21"/>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row>
    <row r="306">
      <c r="A306" s="22"/>
      <c r="B306" s="21"/>
      <c r="C306" s="16"/>
      <c r="D306" s="16"/>
      <c r="E306" s="17"/>
      <c r="F306" s="21"/>
      <c r="G306" s="16"/>
      <c r="H306" s="16"/>
      <c r="I306" s="16"/>
      <c r="J306" s="17"/>
      <c r="K306" s="21"/>
      <c r="L306" s="16"/>
      <c r="M306" s="16"/>
      <c r="N306" s="17"/>
      <c r="O306" s="21"/>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row>
    <row r="307">
      <c r="A307" s="22"/>
      <c r="B307" s="21"/>
      <c r="C307" s="16"/>
      <c r="D307" s="16"/>
      <c r="E307" s="17"/>
      <c r="F307" s="21"/>
      <c r="G307" s="16"/>
      <c r="H307" s="16"/>
      <c r="I307" s="16"/>
      <c r="J307" s="17"/>
      <c r="K307" s="21"/>
      <c r="L307" s="16"/>
      <c r="M307" s="16"/>
      <c r="N307" s="17"/>
      <c r="O307" s="21"/>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row>
    <row r="308">
      <c r="A308" s="22"/>
      <c r="B308" s="21"/>
      <c r="C308" s="16"/>
      <c r="D308" s="16"/>
      <c r="E308" s="17"/>
      <c r="F308" s="21"/>
      <c r="G308" s="16"/>
      <c r="H308" s="16"/>
      <c r="I308" s="16"/>
      <c r="J308" s="17"/>
      <c r="K308" s="21"/>
      <c r="L308" s="16"/>
      <c r="M308" s="16"/>
      <c r="N308" s="17"/>
      <c r="O308" s="21"/>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row>
    <row r="309">
      <c r="A309" s="22"/>
      <c r="B309" s="21"/>
      <c r="C309" s="16"/>
      <c r="D309" s="16"/>
      <c r="E309" s="17"/>
      <c r="F309" s="21"/>
      <c r="G309" s="16"/>
      <c r="H309" s="16"/>
      <c r="I309" s="16"/>
      <c r="J309" s="17"/>
      <c r="K309" s="21"/>
      <c r="L309" s="16"/>
      <c r="M309" s="16"/>
      <c r="N309" s="17"/>
      <c r="O309" s="21"/>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row>
    <row r="310">
      <c r="A310" s="22"/>
      <c r="B310" s="21"/>
      <c r="C310" s="16"/>
      <c r="D310" s="16"/>
      <c r="E310" s="17"/>
      <c r="F310" s="21"/>
      <c r="G310" s="16"/>
      <c r="H310" s="16"/>
      <c r="I310" s="16"/>
      <c r="J310" s="17"/>
      <c r="K310" s="21"/>
      <c r="L310" s="16"/>
      <c r="M310" s="16"/>
      <c r="N310" s="17"/>
      <c r="O310" s="21"/>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row>
    <row r="311">
      <c r="A311" s="22"/>
      <c r="B311" s="21"/>
      <c r="C311" s="16"/>
      <c r="D311" s="16"/>
      <c r="E311" s="17"/>
      <c r="F311" s="21"/>
      <c r="G311" s="16"/>
      <c r="H311" s="16"/>
      <c r="I311" s="16"/>
      <c r="J311" s="17"/>
      <c r="K311" s="21"/>
      <c r="L311" s="16"/>
      <c r="M311" s="16"/>
      <c r="N311" s="17"/>
      <c r="O311" s="21"/>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row>
    <row r="312">
      <c r="A312" s="22"/>
      <c r="B312" s="21"/>
      <c r="C312" s="16"/>
      <c r="D312" s="16"/>
      <c r="E312" s="17"/>
      <c r="F312" s="21"/>
      <c r="G312" s="16"/>
      <c r="H312" s="16"/>
      <c r="I312" s="16"/>
      <c r="J312" s="17"/>
      <c r="K312" s="21"/>
      <c r="L312" s="16"/>
      <c r="M312" s="16"/>
      <c r="N312" s="17"/>
      <c r="O312" s="21"/>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row>
    <row r="313">
      <c r="A313" s="22"/>
      <c r="B313" s="21"/>
      <c r="C313" s="16"/>
      <c r="D313" s="16"/>
      <c r="E313" s="17"/>
      <c r="F313" s="21"/>
      <c r="G313" s="16"/>
      <c r="H313" s="16"/>
      <c r="I313" s="16"/>
      <c r="J313" s="17"/>
      <c r="K313" s="21"/>
      <c r="L313" s="16"/>
      <c r="M313" s="16"/>
      <c r="N313" s="17"/>
      <c r="O313" s="21"/>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row>
    <row r="314">
      <c r="A314" s="22"/>
      <c r="B314" s="21"/>
      <c r="C314" s="16"/>
      <c r="D314" s="16"/>
      <c r="E314" s="17"/>
      <c r="F314" s="21"/>
      <c r="G314" s="16"/>
      <c r="H314" s="16"/>
      <c r="I314" s="16"/>
      <c r="J314" s="17"/>
      <c r="K314" s="21"/>
      <c r="L314" s="16"/>
      <c r="M314" s="16"/>
      <c r="N314" s="17"/>
      <c r="O314" s="21"/>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row>
    <row r="315">
      <c r="A315" s="22"/>
      <c r="B315" s="21"/>
      <c r="C315" s="16"/>
      <c r="D315" s="16"/>
      <c r="E315" s="17"/>
      <c r="F315" s="21"/>
      <c r="G315" s="16"/>
      <c r="H315" s="16"/>
      <c r="I315" s="16"/>
      <c r="J315" s="17"/>
      <c r="K315" s="21"/>
      <c r="L315" s="16"/>
      <c r="M315" s="16"/>
      <c r="N315" s="17"/>
      <c r="O315" s="21"/>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row>
    <row r="316">
      <c r="A316" s="22"/>
      <c r="B316" s="21"/>
      <c r="C316" s="16"/>
      <c r="D316" s="16"/>
      <c r="E316" s="17"/>
      <c r="F316" s="21"/>
      <c r="G316" s="16"/>
      <c r="H316" s="16"/>
      <c r="I316" s="16"/>
      <c r="J316" s="17"/>
      <c r="K316" s="21"/>
      <c r="L316" s="16"/>
      <c r="M316" s="16"/>
      <c r="N316" s="17"/>
      <c r="O316" s="21"/>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row>
    <row r="317">
      <c r="A317" s="22"/>
      <c r="B317" s="21"/>
      <c r="C317" s="16"/>
      <c r="D317" s="16"/>
      <c r="E317" s="17"/>
      <c r="F317" s="21"/>
      <c r="G317" s="16"/>
      <c r="H317" s="16"/>
      <c r="I317" s="16"/>
      <c r="J317" s="17"/>
      <c r="K317" s="21"/>
      <c r="L317" s="16"/>
      <c r="M317" s="16"/>
      <c r="N317" s="17"/>
      <c r="O317" s="21"/>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row>
    <row r="318">
      <c r="A318" s="22"/>
      <c r="B318" s="21"/>
      <c r="C318" s="16"/>
      <c r="D318" s="16"/>
      <c r="E318" s="17"/>
      <c r="F318" s="21"/>
      <c r="G318" s="16"/>
      <c r="H318" s="16"/>
      <c r="I318" s="16"/>
      <c r="J318" s="17"/>
      <c r="K318" s="21"/>
      <c r="L318" s="16"/>
      <c r="M318" s="16"/>
      <c r="N318" s="17"/>
      <c r="O318" s="21"/>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row>
    <row r="319">
      <c r="A319" s="22"/>
      <c r="B319" s="21"/>
      <c r="C319" s="16"/>
      <c r="D319" s="16"/>
      <c r="E319" s="17"/>
      <c r="F319" s="21"/>
      <c r="G319" s="16"/>
      <c r="H319" s="16"/>
      <c r="I319" s="16"/>
      <c r="J319" s="17"/>
      <c r="K319" s="21"/>
      <c r="L319" s="16"/>
      <c r="M319" s="16"/>
      <c r="N319" s="17"/>
      <c r="O319" s="21"/>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row>
    <row r="320">
      <c r="A320" s="22"/>
      <c r="B320" s="21"/>
      <c r="C320" s="16"/>
      <c r="D320" s="16"/>
      <c r="E320" s="17"/>
      <c r="F320" s="21"/>
      <c r="G320" s="16"/>
      <c r="H320" s="16"/>
      <c r="I320" s="16"/>
      <c r="J320" s="17"/>
      <c r="K320" s="21"/>
      <c r="L320" s="16"/>
      <c r="M320" s="16"/>
      <c r="N320" s="17"/>
      <c r="O320" s="21"/>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row>
    <row r="321">
      <c r="A321" s="22"/>
      <c r="B321" s="21"/>
      <c r="C321" s="16"/>
      <c r="D321" s="16"/>
      <c r="E321" s="17"/>
      <c r="F321" s="21"/>
      <c r="G321" s="16"/>
      <c r="H321" s="16"/>
      <c r="I321" s="16"/>
      <c r="J321" s="17"/>
      <c r="K321" s="21"/>
      <c r="L321" s="16"/>
      <c r="M321" s="16"/>
      <c r="N321" s="17"/>
      <c r="O321" s="21"/>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row>
    <row r="322">
      <c r="A322" s="22"/>
      <c r="B322" s="21"/>
      <c r="C322" s="16"/>
      <c r="D322" s="16"/>
      <c r="E322" s="17"/>
      <c r="F322" s="21"/>
      <c r="G322" s="16"/>
      <c r="H322" s="16"/>
      <c r="I322" s="16"/>
      <c r="J322" s="17"/>
      <c r="K322" s="21"/>
      <c r="L322" s="16"/>
      <c r="M322" s="16"/>
      <c r="N322" s="17"/>
      <c r="O322" s="21"/>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row>
    <row r="323">
      <c r="A323" s="22"/>
      <c r="B323" s="21"/>
      <c r="C323" s="16"/>
      <c r="D323" s="16"/>
      <c r="E323" s="17"/>
      <c r="F323" s="21"/>
      <c r="G323" s="16"/>
      <c r="H323" s="16"/>
      <c r="I323" s="16"/>
      <c r="J323" s="17"/>
      <c r="K323" s="21"/>
      <c r="L323" s="16"/>
      <c r="M323" s="16"/>
      <c r="N323" s="17"/>
      <c r="O323" s="21"/>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row>
    <row r="324">
      <c r="A324" s="22"/>
      <c r="B324" s="21"/>
      <c r="C324" s="16"/>
      <c r="D324" s="16"/>
      <c r="E324" s="17"/>
      <c r="F324" s="21"/>
      <c r="G324" s="16"/>
      <c r="H324" s="16"/>
      <c r="I324" s="16"/>
      <c r="J324" s="17"/>
      <c r="K324" s="21"/>
      <c r="L324" s="16"/>
      <c r="M324" s="16"/>
      <c r="N324" s="17"/>
      <c r="O324" s="21"/>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row>
    <row r="325">
      <c r="A325" s="22"/>
      <c r="B325" s="21"/>
      <c r="C325" s="16"/>
      <c r="D325" s="16"/>
      <c r="E325" s="17"/>
      <c r="F325" s="21"/>
      <c r="G325" s="16"/>
      <c r="H325" s="16"/>
      <c r="I325" s="16"/>
      <c r="J325" s="17"/>
      <c r="K325" s="21"/>
      <c r="L325" s="16"/>
      <c r="M325" s="16"/>
      <c r="N325" s="17"/>
      <c r="O325" s="21"/>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row>
    <row r="326">
      <c r="A326" s="22"/>
      <c r="B326" s="21"/>
      <c r="C326" s="16"/>
      <c r="D326" s="16"/>
      <c r="E326" s="17"/>
      <c r="F326" s="21"/>
      <c r="G326" s="16"/>
      <c r="H326" s="16"/>
      <c r="I326" s="16"/>
      <c r="J326" s="17"/>
      <c r="K326" s="21"/>
      <c r="L326" s="16"/>
      <c r="M326" s="16"/>
      <c r="N326" s="17"/>
      <c r="O326" s="21"/>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row>
    <row r="327">
      <c r="A327" s="22"/>
      <c r="B327" s="21"/>
      <c r="C327" s="16"/>
      <c r="D327" s="16"/>
      <c r="E327" s="17"/>
      <c r="F327" s="21"/>
      <c r="G327" s="16"/>
      <c r="H327" s="16"/>
      <c r="I327" s="16"/>
      <c r="J327" s="17"/>
      <c r="K327" s="21"/>
      <c r="L327" s="16"/>
      <c r="M327" s="16"/>
      <c r="N327" s="17"/>
      <c r="O327" s="21"/>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row>
    <row r="328">
      <c r="A328" s="22"/>
      <c r="B328" s="21"/>
      <c r="C328" s="16"/>
      <c r="D328" s="16"/>
      <c r="E328" s="17"/>
      <c r="F328" s="21"/>
      <c r="G328" s="16"/>
      <c r="H328" s="16"/>
      <c r="I328" s="16"/>
      <c r="J328" s="17"/>
      <c r="K328" s="21"/>
      <c r="L328" s="16"/>
      <c r="M328" s="16"/>
      <c r="N328" s="17"/>
      <c r="O328" s="21"/>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row>
    <row r="329">
      <c r="A329" s="22"/>
      <c r="B329" s="21"/>
      <c r="C329" s="16"/>
      <c r="D329" s="16"/>
      <c r="E329" s="17"/>
      <c r="F329" s="21"/>
      <c r="G329" s="16"/>
      <c r="H329" s="16"/>
      <c r="I329" s="16"/>
      <c r="J329" s="17"/>
      <c r="K329" s="21"/>
      <c r="L329" s="16"/>
      <c r="M329" s="16"/>
      <c r="N329" s="17"/>
      <c r="O329" s="21"/>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row>
    <row r="330">
      <c r="A330" s="22"/>
      <c r="B330" s="21"/>
      <c r="C330" s="16"/>
      <c r="D330" s="16"/>
      <c r="E330" s="17"/>
      <c r="F330" s="21"/>
      <c r="G330" s="16"/>
      <c r="H330" s="16"/>
      <c r="I330" s="16"/>
      <c r="J330" s="17"/>
      <c r="K330" s="21"/>
      <c r="L330" s="16"/>
      <c r="M330" s="16"/>
      <c r="N330" s="17"/>
      <c r="O330" s="21"/>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 r="A331" s="22"/>
      <c r="B331" s="21"/>
      <c r="C331" s="16"/>
      <c r="D331" s="16"/>
      <c r="E331" s="17"/>
      <c r="F331" s="21"/>
      <c r="G331" s="16"/>
      <c r="H331" s="16"/>
      <c r="I331" s="16"/>
      <c r="J331" s="17"/>
      <c r="K331" s="21"/>
      <c r="L331" s="16"/>
      <c r="M331" s="16"/>
      <c r="N331" s="17"/>
      <c r="O331" s="21"/>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row>
    <row r="332">
      <c r="A332" s="22"/>
      <c r="B332" s="21"/>
      <c r="C332" s="16"/>
      <c r="D332" s="16"/>
      <c r="E332" s="17"/>
      <c r="F332" s="21"/>
      <c r="G332" s="16"/>
      <c r="H332" s="16"/>
      <c r="I332" s="16"/>
      <c r="J332" s="17"/>
      <c r="K332" s="21"/>
      <c r="L332" s="16"/>
      <c r="M332" s="16"/>
      <c r="N332" s="17"/>
      <c r="O332" s="21"/>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row>
    <row r="333">
      <c r="A333" s="22"/>
      <c r="B333" s="21"/>
      <c r="C333" s="16"/>
      <c r="D333" s="16"/>
      <c r="E333" s="17"/>
      <c r="F333" s="21"/>
      <c r="G333" s="16"/>
      <c r="H333" s="16"/>
      <c r="I333" s="16"/>
      <c r="J333" s="17"/>
      <c r="K333" s="21"/>
      <c r="L333" s="16"/>
      <c r="M333" s="16"/>
      <c r="N333" s="17"/>
      <c r="O333" s="21"/>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row>
    <row r="334">
      <c r="A334" s="22"/>
      <c r="B334" s="21"/>
      <c r="C334" s="16"/>
      <c r="D334" s="16"/>
      <c r="E334" s="17"/>
      <c r="F334" s="21"/>
      <c r="G334" s="16"/>
      <c r="H334" s="16"/>
      <c r="I334" s="16"/>
      <c r="J334" s="17"/>
      <c r="K334" s="21"/>
      <c r="L334" s="16"/>
      <c r="M334" s="16"/>
      <c r="N334" s="17"/>
      <c r="O334" s="21"/>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row>
    <row r="335">
      <c r="A335" s="22"/>
      <c r="B335" s="21"/>
      <c r="C335" s="16"/>
      <c r="D335" s="16"/>
      <c r="E335" s="17"/>
      <c r="F335" s="21"/>
      <c r="G335" s="16"/>
      <c r="H335" s="16"/>
      <c r="I335" s="16"/>
      <c r="J335" s="17"/>
      <c r="K335" s="21"/>
      <c r="L335" s="16"/>
      <c r="M335" s="16"/>
      <c r="N335" s="17"/>
      <c r="O335" s="21"/>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row>
    <row r="336">
      <c r="A336" s="22"/>
      <c r="B336" s="21"/>
      <c r="C336" s="16"/>
      <c r="D336" s="16"/>
      <c r="E336" s="17"/>
      <c r="F336" s="21"/>
      <c r="G336" s="16"/>
      <c r="H336" s="16"/>
      <c r="I336" s="16"/>
      <c r="J336" s="17"/>
      <c r="K336" s="21"/>
      <c r="L336" s="16"/>
      <c r="M336" s="16"/>
      <c r="N336" s="17"/>
      <c r="O336" s="21"/>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row>
    <row r="337">
      <c r="A337" s="22"/>
      <c r="B337" s="21"/>
      <c r="C337" s="16"/>
      <c r="D337" s="16"/>
      <c r="E337" s="17"/>
      <c r="F337" s="21"/>
      <c r="G337" s="16"/>
      <c r="H337" s="16"/>
      <c r="I337" s="16"/>
      <c r="J337" s="17"/>
      <c r="K337" s="21"/>
      <c r="L337" s="16"/>
      <c r="M337" s="16"/>
      <c r="N337" s="17"/>
      <c r="O337" s="21"/>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row>
    <row r="338">
      <c r="A338" s="22"/>
      <c r="B338" s="21"/>
      <c r="C338" s="16"/>
      <c r="D338" s="16"/>
      <c r="E338" s="17"/>
      <c r="F338" s="21"/>
      <c r="G338" s="16"/>
      <c r="H338" s="16"/>
      <c r="I338" s="16"/>
      <c r="J338" s="17"/>
      <c r="K338" s="21"/>
      <c r="L338" s="16"/>
      <c r="M338" s="16"/>
      <c r="N338" s="17"/>
      <c r="O338" s="21"/>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row>
    <row r="339">
      <c r="A339" s="22"/>
      <c r="B339" s="21"/>
      <c r="C339" s="16"/>
      <c r="D339" s="16"/>
      <c r="E339" s="17"/>
      <c r="F339" s="21"/>
      <c r="G339" s="16"/>
      <c r="H339" s="16"/>
      <c r="I339" s="16"/>
      <c r="J339" s="17"/>
      <c r="K339" s="21"/>
      <c r="L339" s="16"/>
      <c r="M339" s="16"/>
      <c r="N339" s="17"/>
      <c r="O339" s="21"/>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row>
    <row r="340">
      <c r="A340" s="22"/>
      <c r="B340" s="21"/>
      <c r="C340" s="16"/>
      <c r="D340" s="16"/>
      <c r="E340" s="17"/>
      <c r="F340" s="21"/>
      <c r="G340" s="16"/>
      <c r="H340" s="16"/>
      <c r="I340" s="16"/>
      <c r="J340" s="17"/>
      <c r="K340" s="21"/>
      <c r="L340" s="16"/>
      <c r="M340" s="16"/>
      <c r="N340" s="17"/>
      <c r="O340" s="21"/>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row>
    <row r="341">
      <c r="A341" s="22"/>
      <c r="B341" s="21"/>
      <c r="C341" s="16"/>
      <c r="D341" s="16"/>
      <c r="E341" s="17"/>
      <c r="F341" s="21"/>
      <c r="G341" s="16"/>
      <c r="H341" s="16"/>
      <c r="I341" s="16"/>
      <c r="J341" s="17"/>
      <c r="K341" s="21"/>
      <c r="L341" s="16"/>
      <c r="M341" s="16"/>
      <c r="N341" s="17"/>
      <c r="O341" s="21"/>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row>
    <row r="342">
      <c r="A342" s="22"/>
      <c r="B342" s="21"/>
      <c r="C342" s="16"/>
      <c r="D342" s="16"/>
      <c r="E342" s="17"/>
      <c r="F342" s="21"/>
      <c r="G342" s="16"/>
      <c r="H342" s="16"/>
      <c r="I342" s="16"/>
      <c r="J342" s="17"/>
      <c r="K342" s="21"/>
      <c r="L342" s="16"/>
      <c r="M342" s="16"/>
      <c r="N342" s="17"/>
      <c r="O342" s="21"/>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row>
    <row r="343">
      <c r="A343" s="22"/>
      <c r="B343" s="21"/>
      <c r="C343" s="16"/>
      <c r="D343" s="16"/>
      <c r="E343" s="17"/>
      <c r="F343" s="21"/>
      <c r="G343" s="16"/>
      <c r="H343" s="16"/>
      <c r="I343" s="16"/>
      <c r="J343" s="17"/>
      <c r="K343" s="21"/>
      <c r="L343" s="16"/>
      <c r="M343" s="16"/>
      <c r="N343" s="17"/>
      <c r="O343" s="21"/>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row>
    <row r="344">
      <c r="A344" s="22"/>
      <c r="B344" s="21"/>
      <c r="C344" s="16"/>
      <c r="D344" s="16"/>
      <c r="E344" s="17"/>
      <c r="F344" s="21"/>
      <c r="G344" s="16"/>
      <c r="H344" s="16"/>
      <c r="I344" s="16"/>
      <c r="J344" s="17"/>
      <c r="K344" s="21"/>
      <c r="L344" s="16"/>
      <c r="M344" s="16"/>
      <c r="N344" s="17"/>
      <c r="O344" s="21"/>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row>
    <row r="345">
      <c r="A345" s="22"/>
      <c r="B345" s="21"/>
      <c r="C345" s="16"/>
      <c r="D345" s="16"/>
      <c r="E345" s="17"/>
      <c r="F345" s="21"/>
      <c r="G345" s="16"/>
      <c r="H345" s="16"/>
      <c r="I345" s="16"/>
      <c r="J345" s="17"/>
      <c r="K345" s="21"/>
      <c r="L345" s="16"/>
      <c r="M345" s="16"/>
      <c r="N345" s="17"/>
      <c r="O345" s="21"/>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row>
    <row r="346">
      <c r="A346" s="22"/>
      <c r="B346" s="21"/>
      <c r="C346" s="16"/>
      <c r="D346" s="16"/>
      <c r="E346" s="17"/>
      <c r="F346" s="21"/>
      <c r="G346" s="16"/>
      <c r="H346" s="16"/>
      <c r="I346" s="16"/>
      <c r="J346" s="17"/>
      <c r="K346" s="21"/>
      <c r="L346" s="16"/>
      <c r="M346" s="16"/>
      <c r="N346" s="17"/>
      <c r="O346" s="21"/>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row>
    <row r="347">
      <c r="A347" s="22"/>
      <c r="B347" s="21"/>
      <c r="C347" s="16"/>
      <c r="D347" s="16"/>
      <c r="E347" s="17"/>
      <c r="F347" s="21"/>
      <c r="G347" s="16"/>
      <c r="H347" s="16"/>
      <c r="I347" s="16"/>
      <c r="J347" s="17"/>
      <c r="K347" s="21"/>
      <c r="L347" s="16"/>
      <c r="M347" s="16"/>
      <c r="N347" s="17"/>
      <c r="O347" s="21"/>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row>
    <row r="348">
      <c r="A348" s="22"/>
      <c r="B348" s="21"/>
      <c r="C348" s="16"/>
      <c r="D348" s="16"/>
      <c r="E348" s="17"/>
      <c r="F348" s="21"/>
      <c r="G348" s="16"/>
      <c r="H348" s="16"/>
      <c r="I348" s="16"/>
      <c r="J348" s="17"/>
      <c r="K348" s="21"/>
      <c r="L348" s="16"/>
      <c r="M348" s="16"/>
      <c r="N348" s="17"/>
      <c r="O348" s="21"/>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row>
    <row r="349">
      <c r="A349" s="22"/>
      <c r="B349" s="21"/>
      <c r="C349" s="16"/>
      <c r="D349" s="16"/>
      <c r="E349" s="17"/>
      <c r="F349" s="21"/>
      <c r="G349" s="16"/>
      <c r="H349" s="16"/>
      <c r="I349" s="16"/>
      <c r="J349" s="17"/>
      <c r="K349" s="21"/>
      <c r="L349" s="16"/>
      <c r="M349" s="16"/>
      <c r="N349" s="17"/>
      <c r="O349" s="21"/>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row>
    <row r="350">
      <c r="A350" s="22"/>
      <c r="B350" s="21"/>
      <c r="C350" s="16"/>
      <c r="D350" s="16"/>
      <c r="E350" s="17"/>
      <c r="F350" s="21"/>
      <c r="G350" s="16"/>
      <c r="H350" s="16"/>
      <c r="I350" s="16"/>
      <c r="J350" s="17"/>
      <c r="K350" s="21"/>
      <c r="L350" s="16"/>
      <c r="M350" s="16"/>
      <c r="N350" s="17"/>
      <c r="O350" s="21"/>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row>
    <row r="351">
      <c r="A351" s="22"/>
      <c r="B351" s="21"/>
      <c r="C351" s="16"/>
      <c r="D351" s="16"/>
      <c r="E351" s="17"/>
      <c r="F351" s="21"/>
      <c r="G351" s="16"/>
      <c r="H351" s="16"/>
      <c r="I351" s="16"/>
      <c r="J351" s="17"/>
      <c r="K351" s="21"/>
      <c r="L351" s="16"/>
      <c r="M351" s="16"/>
      <c r="N351" s="17"/>
      <c r="O351" s="21"/>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row>
    <row r="352">
      <c r="A352" s="22"/>
      <c r="B352" s="21"/>
      <c r="C352" s="16"/>
      <c r="D352" s="16"/>
      <c r="E352" s="17"/>
      <c r="F352" s="21"/>
      <c r="G352" s="16"/>
      <c r="H352" s="16"/>
      <c r="I352" s="16"/>
      <c r="J352" s="17"/>
      <c r="K352" s="21"/>
      <c r="L352" s="16"/>
      <c r="M352" s="16"/>
      <c r="N352" s="17"/>
      <c r="O352" s="21"/>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row>
    <row r="353">
      <c r="A353" s="22"/>
      <c r="B353" s="21"/>
      <c r="C353" s="16"/>
      <c r="D353" s="16"/>
      <c r="E353" s="17"/>
      <c r="F353" s="21"/>
      <c r="G353" s="16"/>
      <c r="H353" s="16"/>
      <c r="I353" s="16"/>
      <c r="J353" s="17"/>
      <c r="K353" s="21"/>
      <c r="L353" s="16"/>
      <c r="M353" s="16"/>
      <c r="N353" s="17"/>
      <c r="O353" s="21"/>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row>
    <row r="354">
      <c r="A354" s="22"/>
      <c r="B354" s="21"/>
      <c r="C354" s="16"/>
      <c r="D354" s="16"/>
      <c r="E354" s="17"/>
      <c r="F354" s="21"/>
      <c r="G354" s="16"/>
      <c r="H354" s="16"/>
      <c r="I354" s="16"/>
      <c r="J354" s="17"/>
      <c r="K354" s="21"/>
      <c r="L354" s="16"/>
      <c r="M354" s="16"/>
      <c r="N354" s="17"/>
      <c r="O354" s="21"/>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row>
    <row r="355">
      <c r="A355" s="22"/>
      <c r="B355" s="21"/>
      <c r="C355" s="16"/>
      <c r="D355" s="16"/>
      <c r="E355" s="17"/>
      <c r="F355" s="21"/>
      <c r="G355" s="16"/>
      <c r="H355" s="16"/>
      <c r="I355" s="16"/>
      <c r="J355" s="17"/>
      <c r="K355" s="21"/>
      <c r="L355" s="16"/>
      <c r="M355" s="16"/>
      <c r="N355" s="17"/>
      <c r="O355" s="21"/>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row>
    <row r="356">
      <c r="A356" s="22"/>
      <c r="B356" s="21"/>
      <c r="C356" s="16"/>
      <c r="D356" s="16"/>
      <c r="E356" s="17"/>
      <c r="F356" s="21"/>
      <c r="G356" s="16"/>
      <c r="H356" s="16"/>
      <c r="I356" s="16"/>
      <c r="J356" s="17"/>
      <c r="K356" s="21"/>
      <c r="L356" s="16"/>
      <c r="M356" s="16"/>
      <c r="N356" s="17"/>
      <c r="O356" s="21"/>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row>
    <row r="357">
      <c r="A357" s="22"/>
      <c r="B357" s="21"/>
      <c r="C357" s="16"/>
      <c r="D357" s="16"/>
      <c r="E357" s="17"/>
      <c r="F357" s="21"/>
      <c r="G357" s="16"/>
      <c r="H357" s="16"/>
      <c r="I357" s="16"/>
      <c r="J357" s="17"/>
      <c r="K357" s="21"/>
      <c r="L357" s="16"/>
      <c r="M357" s="16"/>
      <c r="N357" s="17"/>
      <c r="O357" s="21"/>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row>
    <row r="358">
      <c r="A358" s="22"/>
      <c r="B358" s="21"/>
      <c r="C358" s="16"/>
      <c r="D358" s="16"/>
      <c r="E358" s="17"/>
      <c r="F358" s="21"/>
      <c r="G358" s="16"/>
      <c r="H358" s="16"/>
      <c r="I358" s="16"/>
      <c r="J358" s="17"/>
      <c r="K358" s="21"/>
      <c r="L358" s="16"/>
      <c r="M358" s="16"/>
      <c r="N358" s="17"/>
      <c r="O358" s="21"/>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row>
    <row r="359">
      <c r="A359" s="22"/>
      <c r="B359" s="21"/>
      <c r="C359" s="16"/>
      <c r="D359" s="16"/>
      <c r="E359" s="17"/>
      <c r="F359" s="21"/>
      <c r="G359" s="16"/>
      <c r="H359" s="16"/>
      <c r="I359" s="16"/>
      <c r="J359" s="17"/>
      <c r="K359" s="21"/>
      <c r="L359" s="16"/>
      <c r="M359" s="16"/>
      <c r="N359" s="17"/>
      <c r="O359" s="21"/>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row>
    <row r="360">
      <c r="A360" s="22"/>
      <c r="B360" s="21"/>
      <c r="C360" s="16"/>
      <c r="D360" s="16"/>
      <c r="E360" s="17"/>
      <c r="F360" s="21"/>
      <c r="G360" s="16"/>
      <c r="H360" s="16"/>
      <c r="I360" s="16"/>
      <c r="J360" s="17"/>
      <c r="K360" s="21"/>
      <c r="L360" s="16"/>
      <c r="M360" s="16"/>
      <c r="N360" s="17"/>
      <c r="O360" s="21"/>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row>
    <row r="361">
      <c r="A361" s="22"/>
      <c r="B361" s="21"/>
      <c r="C361" s="16"/>
      <c r="D361" s="16"/>
      <c r="E361" s="17"/>
      <c r="F361" s="21"/>
      <c r="G361" s="16"/>
      <c r="H361" s="16"/>
      <c r="I361" s="16"/>
      <c r="J361" s="17"/>
      <c r="K361" s="21"/>
      <c r="L361" s="16"/>
      <c r="M361" s="16"/>
      <c r="N361" s="17"/>
      <c r="O361" s="21"/>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row>
    <row r="362">
      <c r="A362" s="22"/>
      <c r="B362" s="21"/>
      <c r="C362" s="16"/>
      <c r="D362" s="16"/>
      <c r="E362" s="17"/>
      <c r="F362" s="21"/>
      <c r="G362" s="16"/>
      <c r="H362" s="16"/>
      <c r="I362" s="16"/>
      <c r="J362" s="17"/>
      <c r="K362" s="21"/>
      <c r="L362" s="16"/>
      <c r="M362" s="16"/>
      <c r="N362" s="17"/>
      <c r="O362" s="21"/>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row>
    <row r="363">
      <c r="A363" s="22"/>
      <c r="B363" s="21"/>
      <c r="C363" s="16"/>
      <c r="D363" s="16"/>
      <c r="E363" s="17"/>
      <c r="F363" s="21"/>
      <c r="G363" s="16"/>
      <c r="H363" s="16"/>
      <c r="I363" s="16"/>
      <c r="J363" s="17"/>
      <c r="K363" s="21"/>
      <c r="L363" s="16"/>
      <c r="M363" s="16"/>
      <c r="N363" s="17"/>
      <c r="O363" s="21"/>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row>
    <row r="364">
      <c r="A364" s="22"/>
      <c r="B364" s="21"/>
      <c r="C364" s="16"/>
      <c r="D364" s="16"/>
      <c r="E364" s="17"/>
      <c r="F364" s="21"/>
      <c r="G364" s="16"/>
      <c r="H364" s="16"/>
      <c r="I364" s="16"/>
      <c r="J364" s="17"/>
      <c r="K364" s="21"/>
      <c r="L364" s="16"/>
      <c r="M364" s="16"/>
      <c r="N364" s="17"/>
      <c r="O364" s="21"/>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row>
    <row r="365">
      <c r="A365" s="22"/>
      <c r="B365" s="21"/>
      <c r="C365" s="16"/>
      <c r="D365" s="16"/>
      <c r="E365" s="17"/>
      <c r="F365" s="21"/>
      <c r="G365" s="16"/>
      <c r="H365" s="16"/>
      <c r="I365" s="16"/>
      <c r="J365" s="17"/>
      <c r="K365" s="21"/>
      <c r="L365" s="16"/>
      <c r="M365" s="16"/>
      <c r="N365" s="17"/>
      <c r="O365" s="21"/>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row>
    <row r="366">
      <c r="A366" s="22"/>
      <c r="B366" s="21"/>
      <c r="C366" s="16"/>
      <c r="D366" s="16"/>
      <c r="E366" s="17"/>
      <c r="F366" s="21"/>
      <c r="G366" s="16"/>
      <c r="H366" s="16"/>
      <c r="I366" s="16"/>
      <c r="J366" s="17"/>
      <c r="K366" s="21"/>
      <c r="L366" s="16"/>
      <c r="M366" s="16"/>
      <c r="N366" s="17"/>
      <c r="O366" s="21"/>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row>
    <row r="367">
      <c r="A367" s="22"/>
      <c r="B367" s="21"/>
      <c r="C367" s="16"/>
      <c r="D367" s="16"/>
      <c r="E367" s="17"/>
      <c r="F367" s="21"/>
      <c r="G367" s="16"/>
      <c r="H367" s="16"/>
      <c r="I367" s="16"/>
      <c r="J367" s="17"/>
      <c r="K367" s="21"/>
      <c r="L367" s="16"/>
      <c r="M367" s="16"/>
      <c r="N367" s="17"/>
      <c r="O367" s="21"/>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row>
    <row r="368">
      <c r="A368" s="22"/>
      <c r="B368" s="21"/>
      <c r="C368" s="16"/>
      <c r="D368" s="16"/>
      <c r="E368" s="17"/>
      <c r="F368" s="21"/>
      <c r="G368" s="16"/>
      <c r="H368" s="16"/>
      <c r="I368" s="16"/>
      <c r="J368" s="17"/>
      <c r="K368" s="21"/>
      <c r="L368" s="16"/>
      <c r="M368" s="16"/>
      <c r="N368" s="17"/>
      <c r="O368" s="21"/>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row>
    <row r="369">
      <c r="A369" s="22"/>
      <c r="B369" s="21"/>
      <c r="C369" s="16"/>
      <c r="D369" s="16"/>
      <c r="E369" s="17"/>
      <c r="F369" s="21"/>
      <c r="G369" s="16"/>
      <c r="H369" s="16"/>
      <c r="I369" s="16"/>
      <c r="J369" s="17"/>
      <c r="K369" s="21"/>
      <c r="L369" s="16"/>
      <c r="M369" s="16"/>
      <c r="N369" s="17"/>
      <c r="O369" s="21"/>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row>
    <row r="370">
      <c r="A370" s="22"/>
      <c r="B370" s="21"/>
      <c r="C370" s="16"/>
      <c r="D370" s="16"/>
      <c r="E370" s="17"/>
      <c r="F370" s="21"/>
      <c r="G370" s="16"/>
      <c r="H370" s="16"/>
      <c r="I370" s="16"/>
      <c r="J370" s="17"/>
      <c r="K370" s="21"/>
      <c r="L370" s="16"/>
      <c r="M370" s="16"/>
      <c r="N370" s="17"/>
      <c r="O370" s="21"/>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row>
    <row r="371">
      <c r="A371" s="22"/>
      <c r="B371" s="21"/>
      <c r="C371" s="16"/>
      <c r="D371" s="16"/>
      <c r="E371" s="17"/>
      <c r="F371" s="21"/>
      <c r="G371" s="16"/>
      <c r="H371" s="16"/>
      <c r="I371" s="16"/>
      <c r="J371" s="17"/>
      <c r="K371" s="21"/>
      <c r="L371" s="16"/>
      <c r="M371" s="16"/>
      <c r="N371" s="17"/>
      <c r="O371" s="21"/>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row>
    <row r="372">
      <c r="A372" s="22"/>
      <c r="B372" s="21"/>
      <c r="C372" s="16"/>
      <c r="D372" s="16"/>
      <c r="E372" s="17"/>
      <c r="F372" s="21"/>
      <c r="G372" s="16"/>
      <c r="H372" s="16"/>
      <c r="I372" s="16"/>
      <c r="J372" s="17"/>
      <c r="K372" s="21"/>
      <c r="L372" s="16"/>
      <c r="M372" s="16"/>
      <c r="N372" s="17"/>
      <c r="O372" s="21"/>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row>
    <row r="373">
      <c r="A373" s="22"/>
      <c r="B373" s="21"/>
      <c r="C373" s="16"/>
      <c r="D373" s="16"/>
      <c r="E373" s="17"/>
      <c r="F373" s="21"/>
      <c r="G373" s="16"/>
      <c r="H373" s="16"/>
      <c r="I373" s="16"/>
      <c r="J373" s="17"/>
      <c r="K373" s="21"/>
      <c r="L373" s="16"/>
      <c r="M373" s="16"/>
      <c r="N373" s="17"/>
      <c r="O373" s="21"/>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row>
    <row r="374">
      <c r="A374" s="22"/>
      <c r="B374" s="21"/>
      <c r="C374" s="16"/>
      <c r="D374" s="16"/>
      <c r="E374" s="17"/>
      <c r="F374" s="21"/>
      <c r="G374" s="16"/>
      <c r="H374" s="16"/>
      <c r="I374" s="16"/>
      <c r="J374" s="17"/>
      <c r="K374" s="21"/>
      <c r="L374" s="16"/>
      <c r="M374" s="16"/>
      <c r="N374" s="17"/>
      <c r="O374" s="21"/>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row>
    <row r="375">
      <c r="A375" s="22"/>
      <c r="B375" s="21"/>
      <c r="C375" s="16"/>
      <c r="D375" s="16"/>
      <c r="E375" s="17"/>
      <c r="F375" s="21"/>
      <c r="G375" s="16"/>
      <c r="H375" s="16"/>
      <c r="I375" s="16"/>
      <c r="J375" s="17"/>
      <c r="K375" s="21"/>
      <c r="L375" s="16"/>
      <c r="M375" s="16"/>
      <c r="N375" s="17"/>
      <c r="O375" s="21"/>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row>
    <row r="376">
      <c r="A376" s="22"/>
      <c r="B376" s="21"/>
      <c r="C376" s="16"/>
      <c r="D376" s="16"/>
      <c r="E376" s="17"/>
      <c r="F376" s="21"/>
      <c r="G376" s="16"/>
      <c r="H376" s="16"/>
      <c r="I376" s="16"/>
      <c r="J376" s="17"/>
      <c r="K376" s="21"/>
      <c r="L376" s="16"/>
      <c r="M376" s="16"/>
      <c r="N376" s="17"/>
      <c r="O376" s="21"/>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row>
    <row r="377">
      <c r="A377" s="22"/>
      <c r="B377" s="21"/>
      <c r="C377" s="16"/>
      <c r="D377" s="16"/>
      <c r="E377" s="17"/>
      <c r="F377" s="21"/>
      <c r="G377" s="16"/>
      <c r="H377" s="16"/>
      <c r="I377" s="16"/>
      <c r="J377" s="17"/>
      <c r="K377" s="21"/>
      <c r="L377" s="16"/>
      <c r="M377" s="16"/>
      <c r="N377" s="17"/>
      <c r="O377" s="21"/>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row>
    <row r="378">
      <c r="A378" s="22"/>
      <c r="B378" s="21"/>
      <c r="C378" s="16"/>
      <c r="D378" s="16"/>
      <c r="E378" s="17"/>
      <c r="F378" s="21"/>
      <c r="G378" s="16"/>
      <c r="H378" s="16"/>
      <c r="I378" s="16"/>
      <c r="J378" s="17"/>
      <c r="K378" s="21"/>
      <c r="L378" s="16"/>
      <c r="M378" s="16"/>
      <c r="N378" s="17"/>
      <c r="O378" s="21"/>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row>
    <row r="379">
      <c r="A379" s="22"/>
      <c r="B379" s="21"/>
      <c r="C379" s="16"/>
      <c r="D379" s="16"/>
      <c r="E379" s="17"/>
      <c r="F379" s="21"/>
      <c r="G379" s="16"/>
      <c r="H379" s="16"/>
      <c r="I379" s="16"/>
      <c r="J379" s="17"/>
      <c r="K379" s="21"/>
      <c r="L379" s="16"/>
      <c r="M379" s="16"/>
      <c r="N379" s="17"/>
      <c r="O379" s="21"/>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row>
    <row r="380">
      <c r="A380" s="22"/>
      <c r="B380" s="21"/>
      <c r="C380" s="16"/>
      <c r="D380" s="16"/>
      <c r="E380" s="17"/>
      <c r="F380" s="21"/>
      <c r="G380" s="16"/>
      <c r="H380" s="16"/>
      <c r="I380" s="16"/>
      <c r="J380" s="17"/>
      <c r="K380" s="21"/>
      <c r="L380" s="16"/>
      <c r="M380" s="16"/>
      <c r="N380" s="17"/>
      <c r="O380" s="21"/>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row>
    <row r="381">
      <c r="A381" s="22"/>
      <c r="B381" s="21"/>
      <c r="C381" s="16"/>
      <c r="D381" s="16"/>
      <c r="E381" s="17"/>
      <c r="F381" s="21"/>
      <c r="G381" s="16"/>
      <c r="H381" s="16"/>
      <c r="I381" s="16"/>
      <c r="J381" s="17"/>
      <c r="K381" s="21"/>
      <c r="L381" s="16"/>
      <c r="M381" s="16"/>
      <c r="N381" s="17"/>
      <c r="O381" s="21"/>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row>
    <row r="382">
      <c r="A382" s="22"/>
      <c r="B382" s="21"/>
      <c r="C382" s="16"/>
      <c r="D382" s="16"/>
      <c r="E382" s="17"/>
      <c r="F382" s="21"/>
      <c r="G382" s="16"/>
      <c r="H382" s="16"/>
      <c r="I382" s="16"/>
      <c r="J382" s="17"/>
      <c r="K382" s="21"/>
      <c r="L382" s="16"/>
      <c r="M382" s="16"/>
      <c r="N382" s="17"/>
      <c r="O382" s="21"/>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row>
    <row r="383">
      <c r="A383" s="22"/>
      <c r="B383" s="21"/>
      <c r="C383" s="16"/>
      <c r="D383" s="16"/>
      <c r="E383" s="17"/>
      <c r="F383" s="21"/>
      <c r="G383" s="16"/>
      <c r="H383" s="16"/>
      <c r="I383" s="16"/>
      <c r="J383" s="17"/>
      <c r="K383" s="21"/>
      <c r="L383" s="16"/>
      <c r="M383" s="16"/>
      <c r="N383" s="17"/>
      <c r="O383" s="21"/>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row>
    <row r="384">
      <c r="A384" s="22"/>
      <c r="B384" s="21"/>
      <c r="C384" s="16"/>
      <c r="D384" s="16"/>
      <c r="E384" s="17"/>
      <c r="F384" s="21"/>
      <c r="G384" s="16"/>
      <c r="H384" s="16"/>
      <c r="I384" s="16"/>
      <c r="J384" s="17"/>
      <c r="K384" s="21"/>
      <c r="L384" s="16"/>
      <c r="M384" s="16"/>
      <c r="N384" s="17"/>
      <c r="O384" s="21"/>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row>
    <row r="385">
      <c r="A385" s="22"/>
      <c r="B385" s="21"/>
      <c r="C385" s="16"/>
      <c r="D385" s="16"/>
      <c r="E385" s="17"/>
      <c r="F385" s="21"/>
      <c r="G385" s="16"/>
      <c r="H385" s="16"/>
      <c r="I385" s="16"/>
      <c r="J385" s="17"/>
      <c r="K385" s="21"/>
      <c r="L385" s="16"/>
      <c r="M385" s="16"/>
      <c r="N385" s="17"/>
      <c r="O385" s="21"/>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row>
    <row r="386">
      <c r="A386" s="22"/>
      <c r="B386" s="21"/>
      <c r="C386" s="16"/>
      <c r="D386" s="16"/>
      <c r="E386" s="17"/>
      <c r="F386" s="21"/>
      <c r="G386" s="16"/>
      <c r="H386" s="16"/>
      <c r="I386" s="16"/>
      <c r="J386" s="17"/>
      <c r="K386" s="21"/>
      <c r="L386" s="16"/>
      <c r="M386" s="16"/>
      <c r="N386" s="17"/>
      <c r="O386" s="21"/>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row>
    <row r="387">
      <c r="A387" s="22"/>
      <c r="B387" s="21"/>
      <c r="C387" s="16"/>
      <c r="D387" s="16"/>
      <c r="E387" s="17"/>
      <c r="F387" s="21"/>
      <c r="G387" s="16"/>
      <c r="H387" s="16"/>
      <c r="I387" s="16"/>
      <c r="J387" s="17"/>
      <c r="K387" s="21"/>
      <c r="L387" s="16"/>
      <c r="M387" s="16"/>
      <c r="N387" s="17"/>
      <c r="O387" s="21"/>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row>
    <row r="388">
      <c r="A388" s="22"/>
      <c r="B388" s="21"/>
      <c r="C388" s="16"/>
      <c r="D388" s="16"/>
      <c r="E388" s="17"/>
      <c r="F388" s="21"/>
      <c r="G388" s="16"/>
      <c r="H388" s="16"/>
      <c r="I388" s="16"/>
      <c r="J388" s="17"/>
      <c r="K388" s="21"/>
      <c r="L388" s="16"/>
      <c r="M388" s="16"/>
      <c r="N388" s="17"/>
      <c r="O388" s="21"/>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row>
    <row r="389">
      <c r="A389" s="22"/>
      <c r="B389" s="21"/>
      <c r="C389" s="16"/>
      <c r="D389" s="16"/>
      <c r="E389" s="17"/>
      <c r="F389" s="21"/>
      <c r="G389" s="16"/>
      <c r="H389" s="16"/>
      <c r="I389" s="16"/>
      <c r="J389" s="17"/>
      <c r="K389" s="21"/>
      <c r="L389" s="16"/>
      <c r="M389" s="16"/>
      <c r="N389" s="17"/>
      <c r="O389" s="21"/>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row>
    <row r="390">
      <c r="A390" s="22"/>
      <c r="B390" s="21"/>
      <c r="C390" s="16"/>
      <c r="D390" s="16"/>
      <c r="E390" s="17"/>
      <c r="F390" s="21"/>
      <c r="G390" s="16"/>
      <c r="H390" s="16"/>
      <c r="I390" s="16"/>
      <c r="J390" s="17"/>
      <c r="K390" s="21"/>
      <c r="L390" s="16"/>
      <c r="M390" s="16"/>
      <c r="N390" s="17"/>
      <c r="O390" s="21"/>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row>
    <row r="391">
      <c r="A391" s="22"/>
      <c r="B391" s="21"/>
      <c r="C391" s="16"/>
      <c r="D391" s="16"/>
      <c r="E391" s="17"/>
      <c r="F391" s="21"/>
      <c r="G391" s="16"/>
      <c r="H391" s="16"/>
      <c r="I391" s="16"/>
      <c r="J391" s="17"/>
      <c r="K391" s="21"/>
      <c r="L391" s="16"/>
      <c r="M391" s="16"/>
      <c r="N391" s="17"/>
      <c r="O391" s="21"/>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row>
    <row r="392">
      <c r="A392" s="22"/>
      <c r="B392" s="21"/>
      <c r="C392" s="16"/>
      <c r="D392" s="16"/>
      <c r="E392" s="17"/>
      <c r="F392" s="21"/>
      <c r="G392" s="16"/>
      <c r="H392" s="16"/>
      <c r="I392" s="16"/>
      <c r="J392" s="17"/>
      <c r="K392" s="21"/>
      <c r="L392" s="16"/>
      <c r="M392" s="16"/>
      <c r="N392" s="17"/>
      <c r="O392" s="21"/>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row>
    <row r="393">
      <c r="A393" s="22"/>
      <c r="B393" s="21"/>
      <c r="C393" s="16"/>
      <c r="D393" s="16"/>
      <c r="E393" s="17"/>
      <c r="F393" s="21"/>
      <c r="G393" s="16"/>
      <c r="H393" s="16"/>
      <c r="I393" s="16"/>
      <c r="J393" s="17"/>
      <c r="K393" s="21"/>
      <c r="L393" s="16"/>
      <c r="M393" s="16"/>
      <c r="N393" s="17"/>
      <c r="O393" s="21"/>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row>
    <row r="394">
      <c r="A394" s="22"/>
      <c r="B394" s="21"/>
      <c r="C394" s="16"/>
      <c r="D394" s="16"/>
      <c r="E394" s="17"/>
      <c r="F394" s="21"/>
      <c r="G394" s="16"/>
      <c r="H394" s="16"/>
      <c r="I394" s="16"/>
      <c r="J394" s="17"/>
      <c r="K394" s="21"/>
      <c r="L394" s="16"/>
      <c r="M394" s="16"/>
      <c r="N394" s="17"/>
      <c r="O394" s="21"/>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row>
    <row r="395">
      <c r="A395" s="22"/>
      <c r="B395" s="21"/>
      <c r="C395" s="16"/>
      <c r="D395" s="16"/>
      <c r="E395" s="17"/>
      <c r="F395" s="21"/>
      <c r="G395" s="16"/>
      <c r="H395" s="16"/>
      <c r="I395" s="16"/>
      <c r="J395" s="17"/>
      <c r="K395" s="21"/>
      <c r="L395" s="16"/>
      <c r="M395" s="16"/>
      <c r="N395" s="17"/>
      <c r="O395" s="21"/>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row>
    <row r="396">
      <c r="A396" s="22"/>
      <c r="B396" s="21"/>
      <c r="C396" s="16"/>
      <c r="D396" s="16"/>
      <c r="E396" s="17"/>
      <c r="F396" s="21"/>
      <c r="G396" s="16"/>
      <c r="H396" s="16"/>
      <c r="I396" s="16"/>
      <c r="J396" s="17"/>
      <c r="K396" s="21"/>
      <c r="L396" s="16"/>
      <c r="M396" s="16"/>
      <c r="N396" s="17"/>
      <c r="O396" s="21"/>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row>
    <row r="397">
      <c r="A397" s="22"/>
      <c r="B397" s="21"/>
      <c r="C397" s="16"/>
      <c r="D397" s="16"/>
      <c r="E397" s="17"/>
      <c r="F397" s="21"/>
      <c r="G397" s="16"/>
      <c r="H397" s="16"/>
      <c r="I397" s="16"/>
      <c r="J397" s="17"/>
      <c r="K397" s="21"/>
      <c r="L397" s="16"/>
      <c r="M397" s="16"/>
      <c r="N397" s="17"/>
      <c r="O397" s="21"/>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row>
    <row r="398">
      <c r="A398" s="22"/>
      <c r="B398" s="21"/>
      <c r="C398" s="16"/>
      <c r="D398" s="16"/>
      <c r="E398" s="17"/>
      <c r="F398" s="21"/>
      <c r="G398" s="16"/>
      <c r="H398" s="16"/>
      <c r="I398" s="16"/>
      <c r="J398" s="17"/>
      <c r="K398" s="21"/>
      <c r="L398" s="16"/>
      <c r="M398" s="16"/>
      <c r="N398" s="17"/>
      <c r="O398" s="21"/>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row>
    <row r="399">
      <c r="A399" s="22"/>
      <c r="B399" s="21"/>
      <c r="C399" s="16"/>
      <c r="D399" s="16"/>
      <c r="E399" s="17"/>
      <c r="F399" s="21"/>
      <c r="G399" s="16"/>
      <c r="H399" s="16"/>
      <c r="I399" s="16"/>
      <c r="J399" s="17"/>
      <c r="K399" s="21"/>
      <c r="L399" s="16"/>
      <c r="M399" s="16"/>
      <c r="N399" s="17"/>
      <c r="O399" s="21"/>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row>
    <row r="400">
      <c r="A400" s="22"/>
      <c r="B400" s="21"/>
      <c r="C400" s="16"/>
      <c r="D400" s="16"/>
      <c r="E400" s="17"/>
      <c r="F400" s="21"/>
      <c r="G400" s="16"/>
      <c r="H400" s="16"/>
      <c r="I400" s="16"/>
      <c r="J400" s="17"/>
      <c r="K400" s="21"/>
      <c r="L400" s="16"/>
      <c r="M400" s="16"/>
      <c r="N400" s="17"/>
      <c r="O400" s="21"/>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row>
    <row r="401">
      <c r="A401" s="22"/>
      <c r="B401" s="21"/>
      <c r="C401" s="16"/>
      <c r="D401" s="16"/>
      <c r="E401" s="17"/>
      <c r="F401" s="21"/>
      <c r="G401" s="16"/>
      <c r="H401" s="16"/>
      <c r="I401" s="16"/>
      <c r="J401" s="17"/>
      <c r="K401" s="21"/>
      <c r="L401" s="16"/>
      <c r="M401" s="16"/>
      <c r="N401" s="17"/>
      <c r="O401" s="21"/>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row>
    <row r="402">
      <c r="A402" s="22"/>
      <c r="B402" s="21"/>
      <c r="C402" s="16"/>
      <c r="D402" s="16"/>
      <c r="E402" s="17"/>
      <c r="F402" s="21"/>
      <c r="G402" s="16"/>
      <c r="H402" s="16"/>
      <c r="I402" s="16"/>
      <c r="J402" s="17"/>
      <c r="K402" s="21"/>
      <c r="L402" s="16"/>
      <c r="M402" s="16"/>
      <c r="N402" s="17"/>
      <c r="O402" s="21"/>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row>
    <row r="403">
      <c r="A403" s="22"/>
      <c r="B403" s="21"/>
      <c r="C403" s="16"/>
      <c r="D403" s="16"/>
      <c r="E403" s="17"/>
      <c r="F403" s="21"/>
      <c r="G403" s="16"/>
      <c r="H403" s="16"/>
      <c r="I403" s="16"/>
      <c r="J403" s="17"/>
      <c r="K403" s="21"/>
      <c r="L403" s="16"/>
      <c r="M403" s="16"/>
      <c r="N403" s="17"/>
      <c r="O403" s="21"/>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row>
    <row r="404">
      <c r="A404" s="22"/>
      <c r="B404" s="21"/>
      <c r="C404" s="16"/>
      <c r="D404" s="16"/>
      <c r="E404" s="17"/>
      <c r="F404" s="21"/>
      <c r="G404" s="16"/>
      <c r="H404" s="16"/>
      <c r="I404" s="16"/>
      <c r="J404" s="17"/>
      <c r="K404" s="21"/>
      <c r="L404" s="16"/>
      <c r="M404" s="16"/>
      <c r="N404" s="17"/>
      <c r="O404" s="21"/>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row>
    <row r="405">
      <c r="A405" s="22"/>
      <c r="B405" s="21"/>
      <c r="C405" s="16"/>
      <c r="D405" s="16"/>
      <c r="E405" s="17"/>
      <c r="F405" s="21"/>
      <c r="G405" s="16"/>
      <c r="H405" s="16"/>
      <c r="I405" s="16"/>
      <c r="J405" s="17"/>
      <c r="K405" s="21"/>
      <c r="L405" s="16"/>
      <c r="M405" s="16"/>
      <c r="N405" s="17"/>
      <c r="O405" s="21"/>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row>
    <row r="406">
      <c r="A406" s="22"/>
      <c r="B406" s="21"/>
      <c r="C406" s="16"/>
      <c r="D406" s="16"/>
      <c r="E406" s="17"/>
      <c r="F406" s="21"/>
      <c r="G406" s="16"/>
      <c r="H406" s="16"/>
      <c r="I406" s="16"/>
      <c r="J406" s="17"/>
      <c r="K406" s="21"/>
      <c r="L406" s="16"/>
      <c r="M406" s="16"/>
      <c r="N406" s="17"/>
      <c r="O406" s="21"/>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row>
    <row r="407">
      <c r="A407" s="22"/>
      <c r="B407" s="21"/>
      <c r="C407" s="16"/>
      <c r="D407" s="16"/>
      <c r="E407" s="17"/>
      <c r="F407" s="21"/>
      <c r="G407" s="16"/>
      <c r="H407" s="16"/>
      <c r="I407" s="16"/>
      <c r="J407" s="17"/>
      <c r="K407" s="21"/>
      <c r="L407" s="16"/>
      <c r="M407" s="16"/>
      <c r="N407" s="17"/>
      <c r="O407" s="21"/>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row>
    <row r="408">
      <c r="A408" s="22"/>
      <c r="B408" s="21"/>
      <c r="C408" s="16"/>
      <c r="D408" s="16"/>
      <c r="E408" s="17"/>
      <c r="F408" s="21"/>
      <c r="G408" s="16"/>
      <c r="H408" s="16"/>
      <c r="I408" s="16"/>
      <c r="J408" s="17"/>
      <c r="K408" s="21"/>
      <c r="L408" s="16"/>
      <c r="M408" s="16"/>
      <c r="N408" s="17"/>
      <c r="O408" s="21"/>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row>
    <row r="409">
      <c r="A409" s="22"/>
      <c r="B409" s="21"/>
      <c r="C409" s="16"/>
      <c r="D409" s="16"/>
      <c r="E409" s="17"/>
      <c r="F409" s="21"/>
      <c r="G409" s="16"/>
      <c r="H409" s="16"/>
      <c r="I409" s="16"/>
      <c r="J409" s="17"/>
      <c r="K409" s="21"/>
      <c r="L409" s="16"/>
      <c r="M409" s="16"/>
      <c r="N409" s="17"/>
      <c r="O409" s="21"/>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row>
    <row r="410">
      <c r="A410" s="22"/>
      <c r="B410" s="21"/>
      <c r="C410" s="16"/>
      <c r="D410" s="16"/>
      <c r="E410" s="17"/>
      <c r="F410" s="21"/>
      <c r="G410" s="16"/>
      <c r="H410" s="16"/>
      <c r="I410" s="16"/>
      <c r="J410" s="17"/>
      <c r="K410" s="21"/>
      <c r="L410" s="16"/>
      <c r="M410" s="16"/>
      <c r="N410" s="17"/>
      <c r="O410" s="21"/>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row>
    <row r="411">
      <c r="A411" s="22"/>
      <c r="B411" s="21"/>
      <c r="C411" s="16"/>
      <c r="D411" s="16"/>
      <c r="E411" s="17"/>
      <c r="F411" s="21"/>
      <c r="G411" s="16"/>
      <c r="H411" s="16"/>
      <c r="I411" s="16"/>
      <c r="J411" s="17"/>
      <c r="K411" s="21"/>
      <c r="L411" s="16"/>
      <c r="M411" s="16"/>
      <c r="N411" s="17"/>
      <c r="O411" s="21"/>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row>
    <row r="412">
      <c r="A412" s="22"/>
      <c r="B412" s="21"/>
      <c r="C412" s="16"/>
      <c r="D412" s="16"/>
      <c r="E412" s="17"/>
      <c r="F412" s="21"/>
      <c r="G412" s="16"/>
      <c r="H412" s="16"/>
      <c r="I412" s="16"/>
      <c r="J412" s="17"/>
      <c r="K412" s="21"/>
      <c r="L412" s="16"/>
      <c r="M412" s="16"/>
      <c r="N412" s="17"/>
      <c r="O412" s="21"/>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row>
    <row r="413">
      <c r="A413" s="22"/>
      <c r="B413" s="21"/>
      <c r="C413" s="16"/>
      <c r="D413" s="16"/>
      <c r="E413" s="17"/>
      <c r="F413" s="21"/>
      <c r="G413" s="16"/>
      <c r="H413" s="16"/>
      <c r="I413" s="16"/>
      <c r="J413" s="17"/>
      <c r="K413" s="21"/>
      <c r="L413" s="16"/>
      <c r="M413" s="16"/>
      <c r="N413" s="17"/>
      <c r="O413" s="21"/>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row>
    <row r="414">
      <c r="A414" s="22"/>
      <c r="B414" s="21"/>
      <c r="C414" s="16"/>
      <c r="D414" s="16"/>
      <c r="E414" s="17"/>
      <c r="F414" s="21"/>
      <c r="G414" s="16"/>
      <c r="H414" s="16"/>
      <c r="I414" s="16"/>
      <c r="J414" s="17"/>
      <c r="K414" s="21"/>
      <c r="L414" s="16"/>
      <c r="M414" s="16"/>
      <c r="N414" s="17"/>
      <c r="O414" s="21"/>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row>
    <row r="415">
      <c r="A415" s="22"/>
      <c r="B415" s="21"/>
      <c r="C415" s="16"/>
      <c r="D415" s="16"/>
      <c r="E415" s="17"/>
      <c r="F415" s="21"/>
      <c r="G415" s="16"/>
      <c r="H415" s="16"/>
      <c r="I415" s="16"/>
      <c r="J415" s="17"/>
      <c r="K415" s="21"/>
      <c r="L415" s="16"/>
      <c r="M415" s="16"/>
      <c r="N415" s="17"/>
      <c r="O415" s="21"/>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row>
    <row r="416">
      <c r="A416" s="22"/>
      <c r="B416" s="21"/>
      <c r="C416" s="16"/>
      <c r="D416" s="16"/>
      <c r="E416" s="17"/>
      <c r="F416" s="21"/>
      <c r="G416" s="16"/>
      <c r="H416" s="16"/>
      <c r="I416" s="16"/>
      <c r="J416" s="17"/>
      <c r="K416" s="21"/>
      <c r="L416" s="16"/>
      <c r="M416" s="16"/>
      <c r="N416" s="17"/>
      <c r="O416" s="21"/>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row>
    <row r="417">
      <c r="A417" s="22"/>
      <c r="B417" s="21"/>
      <c r="C417" s="16"/>
      <c r="D417" s="16"/>
      <c r="E417" s="17"/>
      <c r="F417" s="21"/>
      <c r="G417" s="16"/>
      <c r="H417" s="16"/>
      <c r="I417" s="16"/>
      <c r="J417" s="17"/>
      <c r="K417" s="21"/>
      <c r="L417" s="16"/>
      <c r="M417" s="16"/>
      <c r="N417" s="17"/>
      <c r="O417" s="21"/>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row>
    <row r="418">
      <c r="A418" s="22"/>
      <c r="B418" s="21"/>
      <c r="C418" s="16"/>
      <c r="D418" s="16"/>
      <c r="E418" s="17"/>
      <c r="F418" s="21"/>
      <c r="G418" s="16"/>
      <c r="H418" s="16"/>
      <c r="I418" s="16"/>
      <c r="J418" s="17"/>
      <c r="K418" s="21"/>
      <c r="L418" s="16"/>
      <c r="M418" s="16"/>
      <c r="N418" s="17"/>
      <c r="O418" s="21"/>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row>
    <row r="419">
      <c r="A419" s="22"/>
      <c r="B419" s="21"/>
      <c r="C419" s="16"/>
      <c r="D419" s="16"/>
      <c r="E419" s="17"/>
      <c r="F419" s="21"/>
      <c r="G419" s="16"/>
      <c r="H419" s="16"/>
      <c r="I419" s="16"/>
      <c r="J419" s="17"/>
      <c r="K419" s="21"/>
      <c r="L419" s="16"/>
      <c r="M419" s="16"/>
      <c r="N419" s="17"/>
      <c r="O419" s="21"/>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row>
    <row r="420">
      <c r="A420" s="22"/>
      <c r="B420" s="21"/>
      <c r="C420" s="16"/>
      <c r="D420" s="16"/>
      <c r="E420" s="17"/>
      <c r="F420" s="21"/>
      <c r="G420" s="16"/>
      <c r="H420" s="16"/>
      <c r="I420" s="16"/>
      <c r="J420" s="17"/>
      <c r="K420" s="21"/>
      <c r="L420" s="16"/>
      <c r="M420" s="16"/>
      <c r="N420" s="17"/>
      <c r="O420" s="21"/>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row>
    <row r="421">
      <c r="A421" s="22"/>
      <c r="B421" s="21"/>
      <c r="C421" s="16"/>
      <c r="D421" s="16"/>
      <c r="E421" s="17"/>
      <c r="F421" s="21"/>
      <c r="G421" s="16"/>
      <c r="H421" s="16"/>
      <c r="I421" s="16"/>
      <c r="J421" s="17"/>
      <c r="K421" s="21"/>
      <c r="L421" s="16"/>
      <c r="M421" s="16"/>
      <c r="N421" s="17"/>
      <c r="O421" s="21"/>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row>
    <row r="422">
      <c r="A422" s="22"/>
      <c r="B422" s="21"/>
      <c r="C422" s="16"/>
      <c r="D422" s="16"/>
      <c r="E422" s="17"/>
      <c r="F422" s="21"/>
      <c r="G422" s="16"/>
      <c r="H422" s="16"/>
      <c r="I422" s="16"/>
      <c r="J422" s="17"/>
      <c r="K422" s="21"/>
      <c r="L422" s="16"/>
      <c r="M422" s="16"/>
      <c r="N422" s="17"/>
      <c r="O422" s="21"/>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row>
    <row r="423">
      <c r="A423" s="22"/>
      <c r="B423" s="21"/>
      <c r="C423" s="16"/>
      <c r="D423" s="16"/>
      <c r="E423" s="17"/>
      <c r="F423" s="21"/>
      <c r="G423" s="16"/>
      <c r="H423" s="16"/>
      <c r="I423" s="16"/>
      <c r="J423" s="17"/>
      <c r="K423" s="21"/>
      <c r="L423" s="16"/>
      <c r="M423" s="16"/>
      <c r="N423" s="17"/>
      <c r="O423" s="21"/>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row>
    <row r="424">
      <c r="A424" s="22"/>
      <c r="B424" s="21"/>
      <c r="C424" s="16"/>
      <c r="D424" s="16"/>
      <c r="E424" s="17"/>
      <c r="F424" s="21"/>
      <c r="G424" s="16"/>
      <c r="H424" s="16"/>
      <c r="I424" s="16"/>
      <c r="J424" s="17"/>
      <c r="K424" s="21"/>
      <c r="L424" s="16"/>
      <c r="M424" s="16"/>
      <c r="N424" s="17"/>
      <c r="O424" s="21"/>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row>
    <row r="425">
      <c r="A425" s="22"/>
      <c r="B425" s="21"/>
      <c r="C425" s="16"/>
      <c r="D425" s="16"/>
      <c r="E425" s="17"/>
      <c r="F425" s="21"/>
      <c r="G425" s="16"/>
      <c r="H425" s="16"/>
      <c r="I425" s="16"/>
      <c r="J425" s="17"/>
      <c r="K425" s="21"/>
      <c r="L425" s="16"/>
      <c r="M425" s="16"/>
      <c r="N425" s="17"/>
      <c r="O425" s="21"/>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row>
    <row r="426">
      <c r="A426" s="22"/>
      <c r="B426" s="21"/>
      <c r="C426" s="16"/>
      <c r="D426" s="16"/>
      <c r="E426" s="17"/>
      <c r="F426" s="21"/>
      <c r="G426" s="16"/>
      <c r="H426" s="16"/>
      <c r="I426" s="16"/>
      <c r="J426" s="17"/>
      <c r="K426" s="21"/>
      <c r="L426" s="16"/>
      <c r="M426" s="16"/>
      <c r="N426" s="17"/>
      <c r="O426" s="21"/>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row>
    <row r="427">
      <c r="A427" s="22"/>
      <c r="B427" s="21"/>
      <c r="C427" s="16"/>
      <c r="D427" s="16"/>
      <c r="E427" s="17"/>
      <c r="F427" s="21"/>
      <c r="G427" s="16"/>
      <c r="H427" s="16"/>
      <c r="I427" s="16"/>
      <c r="J427" s="17"/>
      <c r="K427" s="21"/>
      <c r="L427" s="16"/>
      <c r="M427" s="16"/>
      <c r="N427" s="17"/>
      <c r="O427" s="21"/>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row>
    <row r="428">
      <c r="A428" s="22"/>
      <c r="B428" s="21"/>
      <c r="C428" s="16"/>
      <c r="D428" s="16"/>
      <c r="E428" s="17"/>
      <c r="F428" s="21"/>
      <c r="G428" s="16"/>
      <c r="H428" s="16"/>
      <c r="I428" s="16"/>
      <c r="J428" s="17"/>
      <c r="K428" s="21"/>
      <c r="L428" s="16"/>
      <c r="M428" s="16"/>
      <c r="N428" s="17"/>
      <c r="O428" s="21"/>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row>
    <row r="429">
      <c r="A429" s="22"/>
      <c r="B429" s="21"/>
      <c r="C429" s="16"/>
      <c r="D429" s="16"/>
      <c r="E429" s="17"/>
      <c r="F429" s="21"/>
      <c r="G429" s="16"/>
      <c r="H429" s="16"/>
      <c r="I429" s="16"/>
      <c r="J429" s="17"/>
      <c r="K429" s="21"/>
      <c r="L429" s="16"/>
      <c r="M429" s="16"/>
      <c r="N429" s="17"/>
      <c r="O429" s="21"/>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row>
    <row r="430">
      <c r="A430" s="22"/>
      <c r="B430" s="21"/>
      <c r="C430" s="16"/>
      <c r="D430" s="16"/>
      <c r="E430" s="17"/>
      <c r="F430" s="21"/>
      <c r="G430" s="16"/>
      <c r="H430" s="16"/>
      <c r="I430" s="16"/>
      <c r="J430" s="17"/>
      <c r="K430" s="21"/>
      <c r="L430" s="16"/>
      <c r="M430" s="16"/>
      <c r="N430" s="17"/>
      <c r="O430" s="21"/>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row>
    <row r="431">
      <c r="A431" s="22"/>
      <c r="B431" s="21"/>
      <c r="C431" s="16"/>
      <c r="D431" s="16"/>
      <c r="E431" s="17"/>
      <c r="F431" s="21"/>
      <c r="G431" s="16"/>
      <c r="H431" s="16"/>
      <c r="I431" s="16"/>
      <c r="J431" s="17"/>
      <c r="K431" s="21"/>
      <c r="L431" s="16"/>
      <c r="M431" s="16"/>
      <c r="N431" s="17"/>
      <c r="O431" s="21"/>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row>
    <row r="432">
      <c r="A432" s="22"/>
      <c r="B432" s="21"/>
      <c r="C432" s="16"/>
      <c r="D432" s="16"/>
      <c r="E432" s="17"/>
      <c r="F432" s="21"/>
      <c r="G432" s="16"/>
      <c r="H432" s="16"/>
      <c r="I432" s="16"/>
      <c r="J432" s="17"/>
      <c r="K432" s="21"/>
      <c r="L432" s="16"/>
      <c r="M432" s="16"/>
      <c r="N432" s="17"/>
      <c r="O432" s="21"/>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row>
    <row r="433">
      <c r="A433" s="22"/>
      <c r="B433" s="21"/>
      <c r="C433" s="16"/>
      <c r="D433" s="16"/>
      <c r="E433" s="17"/>
      <c r="F433" s="21"/>
      <c r="G433" s="16"/>
      <c r="H433" s="16"/>
      <c r="I433" s="16"/>
      <c r="J433" s="17"/>
      <c r="K433" s="21"/>
      <c r="L433" s="16"/>
      <c r="M433" s="16"/>
      <c r="N433" s="17"/>
      <c r="O433" s="21"/>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row>
    <row r="434">
      <c r="A434" s="22"/>
      <c r="B434" s="21"/>
      <c r="C434" s="16"/>
      <c r="D434" s="16"/>
      <c r="E434" s="17"/>
      <c r="F434" s="21"/>
      <c r="G434" s="16"/>
      <c r="H434" s="16"/>
      <c r="I434" s="16"/>
      <c r="J434" s="17"/>
      <c r="K434" s="21"/>
      <c r="L434" s="16"/>
      <c r="M434" s="16"/>
      <c r="N434" s="17"/>
      <c r="O434" s="21"/>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row>
    <row r="435">
      <c r="A435" s="22"/>
      <c r="B435" s="21"/>
      <c r="C435" s="16"/>
      <c r="D435" s="16"/>
      <c r="E435" s="17"/>
      <c r="F435" s="21"/>
      <c r="G435" s="16"/>
      <c r="H435" s="16"/>
      <c r="I435" s="16"/>
      <c r="J435" s="17"/>
      <c r="K435" s="21"/>
      <c r="L435" s="16"/>
      <c r="M435" s="16"/>
      <c r="N435" s="17"/>
      <c r="O435" s="21"/>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row>
    <row r="436">
      <c r="A436" s="22"/>
      <c r="B436" s="21"/>
      <c r="C436" s="16"/>
      <c r="D436" s="16"/>
      <c r="E436" s="17"/>
      <c r="F436" s="21"/>
      <c r="G436" s="16"/>
      <c r="H436" s="16"/>
      <c r="I436" s="16"/>
      <c r="J436" s="17"/>
      <c r="K436" s="21"/>
      <c r="L436" s="16"/>
      <c r="M436" s="16"/>
      <c r="N436" s="17"/>
      <c r="O436" s="21"/>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row>
    <row r="437">
      <c r="A437" s="22"/>
      <c r="B437" s="21"/>
      <c r="C437" s="16"/>
      <c r="D437" s="16"/>
      <c r="E437" s="17"/>
      <c r="F437" s="21"/>
      <c r="G437" s="16"/>
      <c r="H437" s="16"/>
      <c r="I437" s="16"/>
      <c r="J437" s="17"/>
      <c r="K437" s="21"/>
      <c r="L437" s="16"/>
      <c r="M437" s="16"/>
      <c r="N437" s="17"/>
      <c r="O437" s="21"/>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row>
    <row r="438">
      <c r="A438" s="22"/>
      <c r="B438" s="21"/>
      <c r="C438" s="16"/>
      <c r="D438" s="16"/>
      <c r="E438" s="17"/>
      <c r="F438" s="21"/>
      <c r="G438" s="16"/>
      <c r="H438" s="16"/>
      <c r="I438" s="16"/>
      <c r="J438" s="17"/>
      <c r="K438" s="21"/>
      <c r="L438" s="16"/>
      <c r="M438" s="16"/>
      <c r="N438" s="17"/>
      <c r="O438" s="21"/>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row>
    <row r="439">
      <c r="A439" s="22"/>
      <c r="B439" s="21"/>
      <c r="C439" s="16"/>
      <c r="D439" s="16"/>
      <c r="E439" s="17"/>
      <c r="F439" s="21"/>
      <c r="G439" s="16"/>
      <c r="H439" s="16"/>
      <c r="I439" s="16"/>
      <c r="J439" s="17"/>
      <c r="K439" s="21"/>
      <c r="L439" s="16"/>
      <c r="M439" s="16"/>
      <c r="N439" s="17"/>
      <c r="O439" s="21"/>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row>
    <row r="440">
      <c r="A440" s="22"/>
      <c r="B440" s="21"/>
      <c r="C440" s="16"/>
      <c r="D440" s="16"/>
      <c r="E440" s="17"/>
      <c r="F440" s="21"/>
      <c r="G440" s="16"/>
      <c r="H440" s="16"/>
      <c r="I440" s="16"/>
      <c r="J440" s="17"/>
      <c r="K440" s="21"/>
      <c r="L440" s="16"/>
      <c r="M440" s="16"/>
      <c r="N440" s="17"/>
      <c r="O440" s="21"/>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row>
    <row r="441">
      <c r="A441" s="22"/>
      <c r="B441" s="21"/>
      <c r="C441" s="16"/>
      <c r="D441" s="16"/>
      <c r="E441" s="17"/>
      <c r="F441" s="21"/>
      <c r="G441" s="16"/>
      <c r="H441" s="16"/>
      <c r="I441" s="16"/>
      <c r="J441" s="17"/>
      <c r="K441" s="21"/>
      <c r="L441" s="16"/>
      <c r="M441" s="16"/>
      <c r="N441" s="17"/>
      <c r="O441" s="21"/>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row>
    <row r="442">
      <c r="A442" s="22"/>
      <c r="B442" s="21"/>
      <c r="C442" s="16"/>
      <c r="D442" s="16"/>
      <c r="E442" s="17"/>
      <c r="F442" s="21"/>
      <c r="G442" s="16"/>
      <c r="H442" s="16"/>
      <c r="I442" s="16"/>
      <c r="J442" s="17"/>
      <c r="K442" s="21"/>
      <c r="L442" s="16"/>
      <c r="M442" s="16"/>
      <c r="N442" s="17"/>
      <c r="O442" s="21"/>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row>
    <row r="443">
      <c r="A443" s="22"/>
      <c r="B443" s="21"/>
      <c r="C443" s="16"/>
      <c r="D443" s="16"/>
      <c r="E443" s="17"/>
      <c r="F443" s="21"/>
      <c r="G443" s="16"/>
      <c r="H443" s="16"/>
      <c r="I443" s="16"/>
      <c r="J443" s="17"/>
      <c r="K443" s="21"/>
      <c r="L443" s="16"/>
      <c r="M443" s="16"/>
      <c r="N443" s="17"/>
      <c r="O443" s="21"/>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row>
    <row r="444">
      <c r="A444" s="22"/>
      <c r="B444" s="21"/>
      <c r="C444" s="16"/>
      <c r="D444" s="16"/>
      <c r="E444" s="17"/>
      <c r="F444" s="21"/>
      <c r="G444" s="16"/>
      <c r="H444" s="16"/>
      <c r="I444" s="16"/>
      <c r="J444" s="17"/>
      <c r="K444" s="21"/>
      <c r="L444" s="16"/>
      <c r="M444" s="16"/>
      <c r="N444" s="17"/>
      <c r="O444" s="21"/>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row>
    <row r="445">
      <c r="A445" s="22"/>
      <c r="B445" s="21"/>
      <c r="C445" s="16"/>
      <c r="D445" s="16"/>
      <c r="E445" s="17"/>
      <c r="F445" s="21"/>
      <c r="G445" s="16"/>
      <c r="H445" s="16"/>
      <c r="I445" s="16"/>
      <c r="J445" s="17"/>
      <c r="K445" s="21"/>
      <c r="L445" s="16"/>
      <c r="M445" s="16"/>
      <c r="N445" s="17"/>
      <c r="O445" s="21"/>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row>
    <row r="446">
      <c r="A446" s="22"/>
      <c r="B446" s="21"/>
      <c r="C446" s="16"/>
      <c r="D446" s="16"/>
      <c r="E446" s="17"/>
      <c r="F446" s="21"/>
      <c r="G446" s="16"/>
      <c r="H446" s="16"/>
      <c r="I446" s="16"/>
      <c r="J446" s="17"/>
      <c r="K446" s="21"/>
      <c r="L446" s="16"/>
      <c r="M446" s="16"/>
      <c r="N446" s="17"/>
      <c r="O446" s="21"/>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row>
    <row r="447">
      <c r="A447" s="22"/>
      <c r="B447" s="21"/>
      <c r="C447" s="16"/>
      <c r="D447" s="16"/>
      <c r="E447" s="17"/>
      <c r="F447" s="21"/>
      <c r="G447" s="16"/>
      <c r="H447" s="16"/>
      <c r="I447" s="16"/>
      <c r="J447" s="17"/>
      <c r="K447" s="21"/>
      <c r="L447" s="16"/>
      <c r="M447" s="16"/>
      <c r="N447" s="17"/>
      <c r="O447" s="21"/>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row>
    <row r="448">
      <c r="A448" s="22"/>
      <c r="B448" s="21"/>
      <c r="C448" s="16"/>
      <c r="D448" s="16"/>
      <c r="E448" s="17"/>
      <c r="F448" s="21"/>
      <c r="G448" s="16"/>
      <c r="H448" s="16"/>
      <c r="I448" s="16"/>
      <c r="J448" s="17"/>
      <c r="K448" s="21"/>
      <c r="L448" s="16"/>
      <c r="M448" s="16"/>
      <c r="N448" s="17"/>
      <c r="O448" s="21"/>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row>
    <row r="449">
      <c r="A449" s="22"/>
      <c r="B449" s="21"/>
      <c r="C449" s="16"/>
      <c r="D449" s="16"/>
      <c r="E449" s="17"/>
      <c r="F449" s="21"/>
      <c r="G449" s="16"/>
      <c r="H449" s="16"/>
      <c r="I449" s="16"/>
      <c r="J449" s="17"/>
      <c r="K449" s="21"/>
      <c r="L449" s="16"/>
      <c r="M449" s="16"/>
      <c r="N449" s="17"/>
      <c r="O449" s="21"/>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row>
    <row r="450">
      <c r="A450" s="22"/>
      <c r="B450" s="21"/>
      <c r="C450" s="16"/>
      <c r="D450" s="16"/>
      <c r="E450" s="17"/>
      <c r="F450" s="21"/>
      <c r="G450" s="16"/>
      <c r="H450" s="16"/>
      <c r="I450" s="16"/>
      <c r="J450" s="17"/>
      <c r="K450" s="21"/>
      <c r="L450" s="16"/>
      <c r="M450" s="16"/>
      <c r="N450" s="17"/>
      <c r="O450" s="21"/>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row>
    <row r="451">
      <c r="A451" s="22"/>
      <c r="B451" s="21"/>
      <c r="C451" s="16"/>
      <c r="D451" s="16"/>
      <c r="E451" s="17"/>
      <c r="F451" s="21"/>
      <c r="G451" s="16"/>
      <c r="H451" s="16"/>
      <c r="I451" s="16"/>
      <c r="J451" s="17"/>
      <c r="K451" s="21"/>
      <c r="L451" s="16"/>
      <c r="M451" s="16"/>
      <c r="N451" s="17"/>
      <c r="O451" s="21"/>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row>
    <row r="452">
      <c r="A452" s="22"/>
      <c r="B452" s="21"/>
      <c r="C452" s="16"/>
      <c r="D452" s="16"/>
      <c r="E452" s="17"/>
      <c r="F452" s="21"/>
      <c r="G452" s="16"/>
      <c r="H452" s="16"/>
      <c r="I452" s="16"/>
      <c r="J452" s="17"/>
      <c r="K452" s="21"/>
      <c r="L452" s="16"/>
      <c r="M452" s="16"/>
      <c r="N452" s="17"/>
      <c r="O452" s="21"/>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row>
    <row r="453">
      <c r="A453" s="22"/>
      <c r="B453" s="21"/>
      <c r="C453" s="16"/>
      <c r="D453" s="16"/>
      <c r="E453" s="17"/>
      <c r="F453" s="21"/>
      <c r="G453" s="16"/>
      <c r="H453" s="16"/>
      <c r="I453" s="16"/>
      <c r="J453" s="17"/>
      <c r="K453" s="21"/>
      <c r="L453" s="16"/>
      <c r="M453" s="16"/>
      <c r="N453" s="17"/>
      <c r="O453" s="21"/>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row>
    <row r="454">
      <c r="A454" s="22"/>
      <c r="B454" s="21"/>
      <c r="C454" s="16"/>
      <c r="D454" s="16"/>
      <c r="E454" s="17"/>
      <c r="F454" s="21"/>
      <c r="G454" s="16"/>
      <c r="H454" s="16"/>
      <c r="I454" s="16"/>
      <c r="J454" s="17"/>
      <c r="K454" s="21"/>
      <c r="L454" s="16"/>
      <c r="M454" s="16"/>
      <c r="N454" s="17"/>
      <c r="O454" s="21"/>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row>
    <row r="455">
      <c r="A455" s="22"/>
      <c r="B455" s="21"/>
      <c r="C455" s="16"/>
      <c r="D455" s="16"/>
      <c r="E455" s="17"/>
      <c r="F455" s="21"/>
      <c r="G455" s="16"/>
      <c r="H455" s="16"/>
      <c r="I455" s="16"/>
      <c r="J455" s="17"/>
      <c r="K455" s="21"/>
      <c r="L455" s="16"/>
      <c r="M455" s="16"/>
      <c r="N455" s="17"/>
      <c r="O455" s="21"/>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row>
    <row r="456">
      <c r="A456" s="22"/>
      <c r="B456" s="21"/>
      <c r="C456" s="16"/>
      <c r="D456" s="16"/>
      <c r="E456" s="17"/>
      <c r="F456" s="21"/>
      <c r="G456" s="16"/>
      <c r="H456" s="16"/>
      <c r="I456" s="16"/>
      <c r="J456" s="17"/>
      <c r="K456" s="21"/>
      <c r="L456" s="16"/>
      <c r="M456" s="16"/>
      <c r="N456" s="17"/>
      <c r="O456" s="21"/>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row>
    <row r="457">
      <c r="A457" s="22"/>
      <c r="B457" s="21"/>
      <c r="C457" s="16"/>
      <c r="D457" s="16"/>
      <c r="E457" s="17"/>
      <c r="F457" s="21"/>
      <c r="G457" s="16"/>
      <c r="H457" s="16"/>
      <c r="I457" s="16"/>
      <c r="J457" s="17"/>
      <c r="K457" s="21"/>
      <c r="L457" s="16"/>
      <c r="M457" s="16"/>
      <c r="N457" s="17"/>
      <c r="O457" s="21"/>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row>
    <row r="458">
      <c r="A458" s="22"/>
      <c r="B458" s="21"/>
      <c r="C458" s="16"/>
      <c r="D458" s="16"/>
      <c r="E458" s="17"/>
      <c r="F458" s="21"/>
      <c r="G458" s="16"/>
      <c r="H458" s="16"/>
      <c r="I458" s="16"/>
      <c r="J458" s="17"/>
      <c r="K458" s="21"/>
      <c r="L458" s="16"/>
      <c r="M458" s="16"/>
      <c r="N458" s="17"/>
      <c r="O458" s="21"/>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row>
    <row r="459">
      <c r="A459" s="22"/>
      <c r="B459" s="21"/>
      <c r="C459" s="16"/>
      <c r="D459" s="16"/>
      <c r="E459" s="17"/>
      <c r="F459" s="21"/>
      <c r="G459" s="16"/>
      <c r="H459" s="16"/>
      <c r="I459" s="16"/>
      <c r="J459" s="17"/>
      <c r="K459" s="21"/>
      <c r="L459" s="16"/>
      <c r="M459" s="16"/>
      <c r="N459" s="17"/>
      <c r="O459" s="21"/>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row>
    <row r="460">
      <c r="A460" s="22"/>
      <c r="B460" s="21"/>
      <c r="C460" s="16"/>
      <c r="D460" s="16"/>
      <c r="E460" s="17"/>
      <c r="F460" s="21"/>
      <c r="G460" s="16"/>
      <c r="H460" s="16"/>
      <c r="I460" s="16"/>
      <c r="J460" s="17"/>
      <c r="K460" s="21"/>
      <c r="L460" s="16"/>
      <c r="M460" s="16"/>
      <c r="N460" s="17"/>
      <c r="O460" s="21"/>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row>
    <row r="461">
      <c r="A461" s="22"/>
      <c r="B461" s="21"/>
      <c r="C461" s="16"/>
      <c r="D461" s="16"/>
      <c r="E461" s="17"/>
      <c r="F461" s="21"/>
      <c r="G461" s="16"/>
      <c r="H461" s="16"/>
      <c r="I461" s="16"/>
      <c r="J461" s="17"/>
      <c r="K461" s="21"/>
      <c r="L461" s="16"/>
      <c r="M461" s="16"/>
      <c r="N461" s="17"/>
      <c r="O461" s="21"/>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row>
    <row r="462">
      <c r="A462" s="22"/>
      <c r="B462" s="21"/>
      <c r="C462" s="16"/>
      <c r="D462" s="16"/>
      <c r="E462" s="17"/>
      <c r="F462" s="21"/>
      <c r="G462" s="16"/>
      <c r="H462" s="16"/>
      <c r="I462" s="16"/>
      <c r="J462" s="17"/>
      <c r="K462" s="21"/>
      <c r="L462" s="16"/>
      <c r="M462" s="16"/>
      <c r="N462" s="17"/>
      <c r="O462" s="21"/>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row>
    <row r="463">
      <c r="A463" s="22"/>
      <c r="B463" s="21"/>
      <c r="C463" s="16"/>
      <c r="D463" s="16"/>
      <c r="E463" s="17"/>
      <c r="F463" s="21"/>
      <c r="G463" s="16"/>
      <c r="H463" s="16"/>
      <c r="I463" s="16"/>
      <c r="J463" s="17"/>
      <c r="K463" s="21"/>
      <c r="L463" s="16"/>
      <c r="M463" s="16"/>
      <c r="N463" s="17"/>
      <c r="O463" s="21"/>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row>
    <row r="464">
      <c r="A464" s="22"/>
      <c r="B464" s="21"/>
      <c r="C464" s="16"/>
      <c r="D464" s="16"/>
      <c r="E464" s="17"/>
      <c r="F464" s="21"/>
      <c r="G464" s="16"/>
      <c r="H464" s="16"/>
      <c r="I464" s="16"/>
      <c r="J464" s="17"/>
      <c r="K464" s="21"/>
      <c r="L464" s="16"/>
      <c r="M464" s="16"/>
      <c r="N464" s="17"/>
      <c r="O464" s="21"/>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row>
    <row r="465">
      <c r="A465" s="22"/>
      <c r="B465" s="21"/>
      <c r="C465" s="16"/>
      <c r="D465" s="16"/>
      <c r="E465" s="17"/>
      <c r="F465" s="21"/>
      <c r="G465" s="16"/>
      <c r="H465" s="16"/>
      <c r="I465" s="16"/>
      <c r="J465" s="17"/>
      <c r="K465" s="21"/>
      <c r="L465" s="16"/>
      <c r="M465" s="16"/>
      <c r="N465" s="17"/>
      <c r="O465" s="21"/>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row>
    <row r="466">
      <c r="A466" s="22"/>
      <c r="B466" s="21"/>
      <c r="C466" s="16"/>
      <c r="D466" s="16"/>
      <c r="E466" s="17"/>
      <c r="F466" s="21"/>
      <c r="G466" s="16"/>
      <c r="H466" s="16"/>
      <c r="I466" s="16"/>
      <c r="J466" s="17"/>
      <c r="K466" s="21"/>
      <c r="L466" s="16"/>
      <c r="M466" s="16"/>
      <c r="N466" s="17"/>
      <c r="O466" s="21"/>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row>
    <row r="467">
      <c r="A467" s="22"/>
      <c r="B467" s="21"/>
      <c r="C467" s="16"/>
      <c r="D467" s="16"/>
      <c r="E467" s="17"/>
      <c r="F467" s="21"/>
      <c r="G467" s="16"/>
      <c r="H467" s="16"/>
      <c r="I467" s="16"/>
      <c r="J467" s="17"/>
      <c r="K467" s="21"/>
      <c r="L467" s="16"/>
      <c r="M467" s="16"/>
      <c r="N467" s="17"/>
      <c r="O467" s="21"/>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row>
    <row r="468">
      <c r="A468" s="22"/>
      <c r="B468" s="21"/>
      <c r="C468" s="16"/>
      <c r="D468" s="16"/>
      <c r="E468" s="17"/>
      <c r="F468" s="21"/>
      <c r="G468" s="16"/>
      <c r="H468" s="16"/>
      <c r="I468" s="16"/>
      <c r="J468" s="17"/>
      <c r="K468" s="21"/>
      <c r="L468" s="16"/>
      <c r="M468" s="16"/>
      <c r="N468" s="17"/>
      <c r="O468" s="21"/>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row>
    <row r="469">
      <c r="A469" s="22"/>
      <c r="B469" s="21"/>
      <c r="C469" s="16"/>
      <c r="D469" s="16"/>
      <c r="E469" s="17"/>
      <c r="F469" s="21"/>
      <c r="G469" s="16"/>
      <c r="H469" s="16"/>
      <c r="I469" s="16"/>
      <c r="J469" s="17"/>
      <c r="K469" s="21"/>
      <c r="L469" s="16"/>
      <c r="M469" s="16"/>
      <c r="N469" s="17"/>
      <c r="O469" s="21"/>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row>
    <row r="470">
      <c r="A470" s="22"/>
      <c r="B470" s="21"/>
      <c r="C470" s="16"/>
      <c r="D470" s="16"/>
      <c r="E470" s="17"/>
      <c r="F470" s="21"/>
      <c r="G470" s="16"/>
      <c r="H470" s="16"/>
      <c r="I470" s="16"/>
      <c r="J470" s="17"/>
      <c r="K470" s="21"/>
      <c r="L470" s="16"/>
      <c r="M470" s="16"/>
      <c r="N470" s="17"/>
      <c r="O470" s="21"/>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row>
    <row r="471">
      <c r="A471" s="22"/>
      <c r="B471" s="21"/>
      <c r="C471" s="16"/>
      <c r="D471" s="16"/>
      <c r="E471" s="17"/>
      <c r="F471" s="21"/>
      <c r="G471" s="16"/>
      <c r="H471" s="16"/>
      <c r="I471" s="16"/>
      <c r="J471" s="17"/>
      <c r="K471" s="21"/>
      <c r="L471" s="16"/>
      <c r="M471" s="16"/>
      <c r="N471" s="17"/>
      <c r="O471" s="21"/>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row>
    <row r="472">
      <c r="A472" s="22"/>
      <c r="B472" s="21"/>
      <c r="C472" s="16"/>
      <c r="D472" s="16"/>
      <c r="E472" s="17"/>
      <c r="F472" s="21"/>
      <c r="G472" s="16"/>
      <c r="H472" s="16"/>
      <c r="I472" s="16"/>
      <c r="J472" s="17"/>
      <c r="K472" s="21"/>
      <c r="L472" s="16"/>
      <c r="M472" s="16"/>
      <c r="N472" s="17"/>
      <c r="O472" s="21"/>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row>
    <row r="473">
      <c r="A473" s="22"/>
      <c r="B473" s="21"/>
      <c r="C473" s="16"/>
      <c r="D473" s="16"/>
      <c r="E473" s="17"/>
      <c r="F473" s="21"/>
      <c r="G473" s="16"/>
      <c r="H473" s="16"/>
      <c r="I473" s="16"/>
      <c r="J473" s="17"/>
      <c r="K473" s="21"/>
      <c r="L473" s="16"/>
      <c r="M473" s="16"/>
      <c r="N473" s="17"/>
      <c r="O473" s="21"/>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row>
    <row r="474">
      <c r="A474" s="22"/>
      <c r="B474" s="21"/>
      <c r="C474" s="16"/>
      <c r="D474" s="16"/>
      <c r="E474" s="17"/>
      <c r="F474" s="21"/>
      <c r="G474" s="16"/>
      <c r="H474" s="16"/>
      <c r="I474" s="16"/>
      <c r="J474" s="17"/>
      <c r="K474" s="21"/>
      <c r="L474" s="16"/>
      <c r="M474" s="16"/>
      <c r="N474" s="17"/>
      <c r="O474" s="21"/>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row>
    <row r="475">
      <c r="A475" s="22"/>
      <c r="B475" s="21"/>
      <c r="C475" s="16"/>
      <c r="D475" s="16"/>
      <c r="E475" s="17"/>
      <c r="F475" s="21"/>
      <c r="G475" s="16"/>
      <c r="H475" s="16"/>
      <c r="I475" s="16"/>
      <c r="J475" s="17"/>
      <c r="K475" s="21"/>
      <c r="L475" s="16"/>
      <c r="M475" s="16"/>
      <c r="N475" s="17"/>
      <c r="O475" s="21"/>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row>
    <row r="476">
      <c r="A476" s="22"/>
      <c r="B476" s="21"/>
      <c r="C476" s="16"/>
      <c r="D476" s="16"/>
      <c r="E476" s="17"/>
      <c r="F476" s="21"/>
      <c r="G476" s="16"/>
      <c r="H476" s="16"/>
      <c r="I476" s="16"/>
      <c r="J476" s="17"/>
      <c r="K476" s="21"/>
      <c r="L476" s="16"/>
      <c r="M476" s="16"/>
      <c r="N476" s="17"/>
      <c r="O476" s="21"/>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row>
    <row r="477">
      <c r="A477" s="22"/>
      <c r="B477" s="21"/>
      <c r="C477" s="16"/>
      <c r="D477" s="16"/>
      <c r="E477" s="17"/>
      <c r="F477" s="21"/>
      <c r="G477" s="16"/>
      <c r="H477" s="16"/>
      <c r="I477" s="16"/>
      <c r="J477" s="17"/>
      <c r="K477" s="21"/>
      <c r="L477" s="16"/>
      <c r="M477" s="16"/>
      <c r="N477" s="17"/>
      <c r="O477" s="21"/>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row>
    <row r="478">
      <c r="A478" s="22"/>
      <c r="B478" s="21"/>
      <c r="C478" s="16"/>
      <c r="D478" s="16"/>
      <c r="E478" s="17"/>
      <c r="F478" s="21"/>
      <c r="G478" s="16"/>
      <c r="H478" s="16"/>
      <c r="I478" s="16"/>
      <c r="J478" s="17"/>
      <c r="K478" s="21"/>
      <c r="L478" s="16"/>
      <c r="M478" s="16"/>
      <c r="N478" s="17"/>
      <c r="O478" s="21"/>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row>
    <row r="479">
      <c r="A479" s="22"/>
      <c r="B479" s="21"/>
      <c r="C479" s="16"/>
      <c r="D479" s="16"/>
      <c r="E479" s="17"/>
      <c r="F479" s="21"/>
      <c r="G479" s="16"/>
      <c r="H479" s="16"/>
      <c r="I479" s="16"/>
      <c r="J479" s="17"/>
      <c r="K479" s="21"/>
      <c r="L479" s="16"/>
      <c r="M479" s="16"/>
      <c r="N479" s="17"/>
      <c r="O479" s="21"/>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row>
    <row r="480">
      <c r="A480" s="22"/>
      <c r="B480" s="21"/>
      <c r="C480" s="16"/>
      <c r="D480" s="16"/>
      <c r="E480" s="17"/>
      <c r="F480" s="21"/>
      <c r="G480" s="16"/>
      <c r="H480" s="16"/>
      <c r="I480" s="16"/>
      <c r="J480" s="17"/>
      <c r="K480" s="21"/>
      <c r="L480" s="16"/>
      <c r="M480" s="16"/>
      <c r="N480" s="17"/>
      <c r="O480" s="21"/>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row>
    <row r="481">
      <c r="A481" s="22"/>
      <c r="B481" s="21"/>
      <c r="C481" s="16"/>
      <c r="D481" s="16"/>
      <c r="E481" s="17"/>
      <c r="F481" s="21"/>
      <c r="G481" s="16"/>
      <c r="H481" s="16"/>
      <c r="I481" s="16"/>
      <c r="J481" s="17"/>
      <c r="K481" s="21"/>
      <c r="L481" s="16"/>
      <c r="M481" s="16"/>
      <c r="N481" s="17"/>
      <c r="O481" s="21"/>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row>
    <row r="482">
      <c r="A482" s="22"/>
      <c r="B482" s="21"/>
      <c r="C482" s="16"/>
      <c r="D482" s="16"/>
      <c r="E482" s="17"/>
      <c r="F482" s="21"/>
      <c r="G482" s="16"/>
      <c r="H482" s="16"/>
      <c r="I482" s="16"/>
      <c r="J482" s="17"/>
      <c r="K482" s="21"/>
      <c r="L482" s="16"/>
      <c r="M482" s="16"/>
      <c r="N482" s="17"/>
      <c r="O482" s="21"/>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row>
    <row r="483">
      <c r="A483" s="22"/>
      <c r="B483" s="21"/>
      <c r="C483" s="16"/>
      <c r="D483" s="16"/>
      <c r="E483" s="17"/>
      <c r="F483" s="21"/>
      <c r="G483" s="16"/>
      <c r="H483" s="16"/>
      <c r="I483" s="16"/>
      <c r="J483" s="17"/>
      <c r="K483" s="21"/>
      <c r="L483" s="16"/>
      <c r="M483" s="16"/>
      <c r="N483" s="17"/>
      <c r="O483" s="21"/>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row>
    <row r="484">
      <c r="A484" s="22"/>
      <c r="B484" s="21"/>
      <c r="C484" s="16"/>
      <c r="D484" s="16"/>
      <c r="E484" s="17"/>
      <c r="F484" s="21"/>
      <c r="G484" s="16"/>
      <c r="H484" s="16"/>
      <c r="I484" s="16"/>
      <c r="J484" s="17"/>
      <c r="K484" s="21"/>
      <c r="L484" s="16"/>
      <c r="M484" s="16"/>
      <c r="N484" s="17"/>
      <c r="O484" s="21"/>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row>
    <row r="485">
      <c r="A485" s="22"/>
      <c r="B485" s="21"/>
      <c r="C485" s="16"/>
      <c r="D485" s="16"/>
      <c r="E485" s="17"/>
      <c r="F485" s="21"/>
      <c r="G485" s="16"/>
      <c r="H485" s="16"/>
      <c r="I485" s="16"/>
      <c r="J485" s="17"/>
      <c r="K485" s="21"/>
      <c r="L485" s="16"/>
      <c r="M485" s="16"/>
      <c r="N485" s="17"/>
      <c r="O485" s="21"/>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row>
    <row r="486">
      <c r="A486" s="22"/>
      <c r="B486" s="21"/>
      <c r="C486" s="16"/>
      <c r="D486" s="16"/>
      <c r="E486" s="17"/>
      <c r="F486" s="21"/>
      <c r="G486" s="16"/>
      <c r="H486" s="16"/>
      <c r="I486" s="16"/>
      <c r="J486" s="17"/>
      <c r="K486" s="21"/>
      <c r="L486" s="16"/>
      <c r="M486" s="16"/>
      <c r="N486" s="17"/>
      <c r="O486" s="21"/>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row>
    <row r="487">
      <c r="A487" s="22"/>
      <c r="B487" s="21"/>
      <c r="C487" s="16"/>
      <c r="D487" s="16"/>
      <c r="E487" s="17"/>
      <c r="F487" s="21"/>
      <c r="G487" s="16"/>
      <c r="H487" s="16"/>
      <c r="I487" s="16"/>
      <c r="J487" s="17"/>
      <c r="K487" s="21"/>
      <c r="L487" s="16"/>
      <c r="M487" s="16"/>
      <c r="N487" s="17"/>
      <c r="O487" s="21"/>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row>
    <row r="488">
      <c r="A488" s="22"/>
      <c r="B488" s="21"/>
      <c r="C488" s="16"/>
      <c r="D488" s="16"/>
      <c r="E488" s="17"/>
      <c r="F488" s="21"/>
      <c r="G488" s="16"/>
      <c r="H488" s="16"/>
      <c r="I488" s="16"/>
      <c r="J488" s="17"/>
      <c r="K488" s="21"/>
      <c r="L488" s="16"/>
      <c r="M488" s="16"/>
      <c r="N488" s="17"/>
      <c r="O488" s="21"/>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row>
    <row r="489">
      <c r="A489" s="22"/>
      <c r="B489" s="21"/>
      <c r="C489" s="16"/>
      <c r="D489" s="16"/>
      <c r="E489" s="17"/>
      <c r="F489" s="21"/>
      <c r="G489" s="16"/>
      <c r="H489" s="16"/>
      <c r="I489" s="16"/>
      <c r="J489" s="17"/>
      <c r="K489" s="21"/>
      <c r="L489" s="16"/>
      <c r="M489" s="16"/>
      <c r="N489" s="17"/>
      <c r="O489" s="21"/>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row>
    <row r="490">
      <c r="A490" s="22"/>
      <c r="B490" s="21"/>
      <c r="C490" s="16"/>
      <c r="D490" s="16"/>
      <c r="E490" s="17"/>
      <c r="F490" s="21"/>
      <c r="G490" s="16"/>
      <c r="H490" s="16"/>
      <c r="I490" s="16"/>
      <c r="J490" s="17"/>
      <c r="K490" s="21"/>
      <c r="L490" s="16"/>
      <c r="M490" s="16"/>
      <c r="N490" s="17"/>
      <c r="O490" s="21"/>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row>
    <row r="491">
      <c r="A491" s="22"/>
      <c r="B491" s="21"/>
      <c r="C491" s="16"/>
      <c r="D491" s="16"/>
      <c r="E491" s="17"/>
      <c r="F491" s="21"/>
      <c r="G491" s="16"/>
      <c r="H491" s="16"/>
      <c r="I491" s="16"/>
      <c r="J491" s="17"/>
      <c r="K491" s="21"/>
      <c r="L491" s="16"/>
      <c r="M491" s="16"/>
      <c r="N491" s="17"/>
      <c r="O491" s="21"/>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row>
    <row r="492">
      <c r="A492" s="22"/>
      <c r="B492" s="21"/>
      <c r="C492" s="16"/>
      <c r="D492" s="16"/>
      <c r="E492" s="17"/>
      <c r="F492" s="21"/>
      <c r="G492" s="16"/>
      <c r="H492" s="16"/>
      <c r="I492" s="16"/>
      <c r="J492" s="17"/>
      <c r="K492" s="21"/>
      <c r="L492" s="16"/>
      <c r="M492" s="16"/>
      <c r="N492" s="17"/>
      <c r="O492" s="21"/>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row>
    <row r="493">
      <c r="A493" s="22"/>
      <c r="B493" s="21"/>
      <c r="C493" s="16"/>
      <c r="D493" s="16"/>
      <c r="E493" s="17"/>
      <c r="F493" s="21"/>
      <c r="G493" s="16"/>
      <c r="H493" s="16"/>
      <c r="I493" s="16"/>
      <c r="J493" s="17"/>
      <c r="K493" s="21"/>
      <c r="L493" s="16"/>
      <c r="M493" s="16"/>
      <c r="N493" s="17"/>
      <c r="O493" s="21"/>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row>
    <row r="494">
      <c r="A494" s="22"/>
      <c r="B494" s="21"/>
      <c r="C494" s="16"/>
      <c r="D494" s="16"/>
      <c r="E494" s="17"/>
      <c r="F494" s="21"/>
      <c r="G494" s="16"/>
      <c r="H494" s="16"/>
      <c r="I494" s="16"/>
      <c r="J494" s="17"/>
      <c r="K494" s="21"/>
      <c r="L494" s="16"/>
      <c r="M494" s="16"/>
      <c r="N494" s="17"/>
      <c r="O494" s="21"/>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row>
    <row r="495">
      <c r="A495" s="22"/>
      <c r="B495" s="21"/>
      <c r="C495" s="16"/>
      <c r="D495" s="16"/>
      <c r="E495" s="17"/>
      <c r="F495" s="21"/>
      <c r="G495" s="16"/>
      <c r="H495" s="16"/>
      <c r="I495" s="16"/>
      <c r="J495" s="17"/>
      <c r="K495" s="21"/>
      <c r="L495" s="16"/>
      <c r="M495" s="16"/>
      <c r="N495" s="17"/>
      <c r="O495" s="21"/>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row>
    <row r="496">
      <c r="A496" s="22"/>
      <c r="B496" s="21"/>
      <c r="C496" s="16"/>
      <c r="D496" s="16"/>
      <c r="E496" s="17"/>
      <c r="F496" s="21"/>
      <c r="G496" s="16"/>
      <c r="H496" s="16"/>
      <c r="I496" s="16"/>
      <c r="J496" s="17"/>
      <c r="K496" s="21"/>
      <c r="L496" s="16"/>
      <c r="M496" s="16"/>
      <c r="N496" s="17"/>
      <c r="O496" s="21"/>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row>
    <row r="497">
      <c r="A497" s="22"/>
      <c r="B497" s="21"/>
      <c r="C497" s="16"/>
      <c r="D497" s="16"/>
      <c r="E497" s="17"/>
      <c r="F497" s="21"/>
      <c r="G497" s="16"/>
      <c r="H497" s="16"/>
      <c r="I497" s="16"/>
      <c r="J497" s="17"/>
      <c r="K497" s="21"/>
      <c r="L497" s="16"/>
      <c r="M497" s="16"/>
      <c r="N497" s="17"/>
      <c r="O497" s="21"/>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row>
    <row r="498">
      <c r="A498" s="22"/>
      <c r="B498" s="21"/>
      <c r="C498" s="16"/>
      <c r="D498" s="16"/>
      <c r="E498" s="17"/>
      <c r="F498" s="21"/>
      <c r="G498" s="16"/>
      <c r="H498" s="16"/>
      <c r="I498" s="16"/>
      <c r="J498" s="17"/>
      <c r="K498" s="21"/>
      <c r="L498" s="16"/>
      <c r="M498" s="16"/>
      <c r="N498" s="17"/>
      <c r="O498" s="21"/>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row>
    <row r="499">
      <c r="A499" s="22"/>
      <c r="B499" s="21"/>
      <c r="C499" s="16"/>
      <c r="D499" s="16"/>
      <c r="E499" s="17"/>
      <c r="F499" s="21"/>
      <c r="G499" s="16"/>
      <c r="H499" s="16"/>
      <c r="I499" s="16"/>
      <c r="J499" s="17"/>
      <c r="K499" s="21"/>
      <c r="L499" s="16"/>
      <c r="M499" s="16"/>
      <c r="N499" s="17"/>
      <c r="O499" s="21"/>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row>
    <row r="500">
      <c r="A500" s="22"/>
      <c r="B500" s="21"/>
      <c r="C500" s="16"/>
      <c r="D500" s="16"/>
      <c r="E500" s="17"/>
      <c r="F500" s="21"/>
      <c r="G500" s="16"/>
      <c r="H500" s="16"/>
      <c r="I500" s="16"/>
      <c r="J500" s="17"/>
      <c r="K500" s="21"/>
      <c r="L500" s="16"/>
      <c r="M500" s="16"/>
      <c r="N500" s="17"/>
      <c r="O500" s="21"/>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row>
    <row r="501">
      <c r="A501" s="22"/>
      <c r="B501" s="21"/>
      <c r="C501" s="16"/>
      <c r="D501" s="16"/>
      <c r="E501" s="17"/>
      <c r="F501" s="21"/>
      <c r="G501" s="16"/>
      <c r="H501" s="16"/>
      <c r="I501" s="16"/>
      <c r="J501" s="17"/>
      <c r="K501" s="21"/>
      <c r="L501" s="16"/>
      <c r="M501" s="16"/>
      <c r="N501" s="17"/>
      <c r="O501" s="21"/>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row>
    <row r="502">
      <c r="A502" s="22"/>
      <c r="B502" s="21"/>
      <c r="C502" s="16"/>
      <c r="D502" s="16"/>
      <c r="E502" s="17"/>
      <c r="F502" s="21"/>
      <c r="G502" s="16"/>
      <c r="H502" s="16"/>
      <c r="I502" s="16"/>
      <c r="J502" s="17"/>
      <c r="K502" s="21"/>
      <c r="L502" s="16"/>
      <c r="M502" s="16"/>
      <c r="N502" s="17"/>
      <c r="O502" s="21"/>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row>
    <row r="503">
      <c r="A503" s="22"/>
      <c r="B503" s="21"/>
      <c r="C503" s="16"/>
      <c r="D503" s="16"/>
      <c r="E503" s="17"/>
      <c r="F503" s="21"/>
      <c r="G503" s="16"/>
      <c r="H503" s="16"/>
      <c r="I503" s="16"/>
      <c r="J503" s="17"/>
      <c r="K503" s="21"/>
      <c r="L503" s="16"/>
      <c r="M503" s="16"/>
      <c r="N503" s="17"/>
      <c r="O503" s="21"/>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row>
    <row r="504">
      <c r="A504" s="22"/>
      <c r="B504" s="21"/>
      <c r="C504" s="16"/>
      <c r="D504" s="16"/>
      <c r="E504" s="17"/>
      <c r="F504" s="21"/>
      <c r="G504" s="16"/>
      <c r="H504" s="16"/>
      <c r="I504" s="16"/>
      <c r="J504" s="17"/>
      <c r="K504" s="21"/>
      <c r="L504" s="16"/>
      <c r="M504" s="16"/>
      <c r="N504" s="17"/>
      <c r="O504" s="21"/>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row>
    <row r="505">
      <c r="A505" s="22"/>
      <c r="B505" s="21"/>
      <c r="C505" s="16"/>
      <c r="D505" s="16"/>
      <c r="E505" s="17"/>
      <c r="F505" s="21"/>
      <c r="G505" s="16"/>
      <c r="H505" s="16"/>
      <c r="I505" s="16"/>
      <c r="J505" s="17"/>
      <c r="K505" s="21"/>
      <c r="L505" s="16"/>
      <c r="M505" s="16"/>
      <c r="N505" s="17"/>
      <c r="O505" s="21"/>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row>
    <row r="506">
      <c r="A506" s="22"/>
      <c r="B506" s="21"/>
      <c r="C506" s="16"/>
      <c r="D506" s="16"/>
      <c r="E506" s="17"/>
      <c r="F506" s="21"/>
      <c r="G506" s="16"/>
      <c r="H506" s="16"/>
      <c r="I506" s="16"/>
      <c r="J506" s="17"/>
      <c r="K506" s="21"/>
      <c r="L506" s="16"/>
      <c r="M506" s="16"/>
      <c r="N506" s="17"/>
      <c r="O506" s="21"/>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row>
    <row r="507">
      <c r="A507" s="22"/>
      <c r="B507" s="21"/>
      <c r="C507" s="16"/>
      <c r="D507" s="16"/>
      <c r="E507" s="17"/>
      <c r="F507" s="21"/>
      <c r="G507" s="16"/>
      <c r="H507" s="16"/>
      <c r="I507" s="16"/>
      <c r="J507" s="17"/>
      <c r="K507" s="21"/>
      <c r="L507" s="16"/>
      <c r="M507" s="16"/>
      <c r="N507" s="17"/>
      <c r="O507" s="21"/>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row>
    <row r="508">
      <c r="A508" s="22"/>
      <c r="B508" s="21"/>
      <c r="C508" s="16"/>
      <c r="D508" s="16"/>
      <c r="E508" s="17"/>
      <c r="F508" s="21"/>
      <c r="G508" s="16"/>
      <c r="H508" s="16"/>
      <c r="I508" s="16"/>
      <c r="J508" s="17"/>
      <c r="K508" s="21"/>
      <c r="L508" s="16"/>
      <c r="M508" s="16"/>
      <c r="N508" s="17"/>
      <c r="O508" s="21"/>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row>
    <row r="509">
      <c r="A509" s="22"/>
      <c r="B509" s="21"/>
      <c r="C509" s="16"/>
      <c r="D509" s="16"/>
      <c r="E509" s="17"/>
      <c r="F509" s="21"/>
      <c r="G509" s="16"/>
      <c r="H509" s="16"/>
      <c r="I509" s="16"/>
      <c r="J509" s="17"/>
      <c r="K509" s="21"/>
      <c r="L509" s="16"/>
      <c r="M509" s="16"/>
      <c r="N509" s="17"/>
      <c r="O509" s="21"/>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row>
    <row r="510">
      <c r="A510" s="22"/>
      <c r="B510" s="21"/>
      <c r="C510" s="16"/>
      <c r="D510" s="16"/>
      <c r="E510" s="17"/>
      <c r="F510" s="21"/>
      <c r="G510" s="16"/>
      <c r="H510" s="16"/>
      <c r="I510" s="16"/>
      <c r="J510" s="17"/>
      <c r="K510" s="21"/>
      <c r="L510" s="16"/>
      <c r="M510" s="16"/>
      <c r="N510" s="17"/>
      <c r="O510" s="21"/>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row>
    <row r="511">
      <c r="A511" s="22"/>
      <c r="B511" s="21"/>
      <c r="C511" s="16"/>
      <c r="D511" s="16"/>
      <c r="E511" s="17"/>
      <c r="F511" s="21"/>
      <c r="G511" s="16"/>
      <c r="H511" s="16"/>
      <c r="I511" s="16"/>
      <c r="J511" s="17"/>
      <c r="K511" s="21"/>
      <c r="L511" s="16"/>
      <c r="M511" s="16"/>
      <c r="N511" s="17"/>
      <c r="O511" s="21"/>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row>
    <row r="512">
      <c r="A512" s="22"/>
      <c r="B512" s="21"/>
      <c r="C512" s="16"/>
      <c r="D512" s="16"/>
      <c r="E512" s="17"/>
      <c r="F512" s="21"/>
      <c r="G512" s="16"/>
      <c r="H512" s="16"/>
      <c r="I512" s="16"/>
      <c r="J512" s="17"/>
      <c r="K512" s="21"/>
      <c r="L512" s="16"/>
      <c r="M512" s="16"/>
      <c r="N512" s="17"/>
      <c r="O512" s="21"/>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row>
    <row r="513">
      <c r="A513" s="22"/>
      <c r="B513" s="21"/>
      <c r="C513" s="16"/>
      <c r="D513" s="16"/>
      <c r="E513" s="17"/>
      <c r="F513" s="21"/>
      <c r="G513" s="16"/>
      <c r="H513" s="16"/>
      <c r="I513" s="16"/>
      <c r="J513" s="17"/>
      <c r="K513" s="21"/>
      <c r="L513" s="16"/>
      <c r="M513" s="16"/>
      <c r="N513" s="17"/>
      <c r="O513" s="21"/>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row>
    <row r="514">
      <c r="A514" s="22"/>
      <c r="B514" s="21"/>
      <c r="C514" s="16"/>
      <c r="D514" s="16"/>
      <c r="E514" s="17"/>
      <c r="F514" s="21"/>
      <c r="G514" s="16"/>
      <c r="H514" s="16"/>
      <c r="I514" s="16"/>
      <c r="J514" s="17"/>
      <c r="K514" s="21"/>
      <c r="L514" s="16"/>
      <c r="M514" s="16"/>
      <c r="N514" s="17"/>
      <c r="O514" s="21"/>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row>
    <row r="515">
      <c r="A515" s="22"/>
      <c r="B515" s="21"/>
      <c r="C515" s="16"/>
      <c r="D515" s="16"/>
      <c r="E515" s="17"/>
      <c r="F515" s="21"/>
      <c r="G515" s="16"/>
      <c r="H515" s="16"/>
      <c r="I515" s="16"/>
      <c r="J515" s="17"/>
      <c r="K515" s="21"/>
      <c r="L515" s="16"/>
      <c r="M515" s="16"/>
      <c r="N515" s="17"/>
      <c r="O515" s="21"/>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row>
    <row r="516">
      <c r="A516" s="22"/>
      <c r="B516" s="21"/>
      <c r="C516" s="16"/>
      <c r="D516" s="16"/>
      <c r="E516" s="17"/>
      <c r="F516" s="21"/>
      <c r="G516" s="16"/>
      <c r="H516" s="16"/>
      <c r="I516" s="16"/>
      <c r="J516" s="17"/>
      <c r="K516" s="21"/>
      <c r="L516" s="16"/>
      <c r="M516" s="16"/>
      <c r="N516" s="17"/>
      <c r="O516" s="21"/>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row>
    <row r="517">
      <c r="A517" s="22"/>
      <c r="B517" s="21"/>
      <c r="C517" s="16"/>
      <c r="D517" s="16"/>
      <c r="E517" s="17"/>
      <c r="F517" s="21"/>
      <c r="G517" s="16"/>
      <c r="H517" s="16"/>
      <c r="I517" s="16"/>
      <c r="J517" s="17"/>
      <c r="K517" s="21"/>
      <c r="L517" s="16"/>
      <c r="M517" s="16"/>
      <c r="N517" s="17"/>
      <c r="O517" s="21"/>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row>
    <row r="518">
      <c r="A518" s="22"/>
      <c r="B518" s="21"/>
      <c r="C518" s="16"/>
      <c r="D518" s="16"/>
      <c r="E518" s="17"/>
      <c r="F518" s="21"/>
      <c r="G518" s="16"/>
      <c r="H518" s="16"/>
      <c r="I518" s="16"/>
      <c r="J518" s="17"/>
      <c r="K518" s="21"/>
      <c r="L518" s="16"/>
      <c r="M518" s="16"/>
      <c r="N518" s="17"/>
      <c r="O518" s="21"/>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row>
    <row r="519">
      <c r="A519" s="22"/>
      <c r="B519" s="21"/>
      <c r="C519" s="16"/>
      <c r="D519" s="16"/>
      <c r="E519" s="17"/>
      <c r="F519" s="21"/>
      <c r="G519" s="16"/>
      <c r="H519" s="16"/>
      <c r="I519" s="16"/>
      <c r="J519" s="17"/>
      <c r="K519" s="21"/>
      <c r="L519" s="16"/>
      <c r="M519" s="16"/>
      <c r="N519" s="17"/>
      <c r="O519" s="21"/>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row>
    <row r="520">
      <c r="A520" s="22"/>
      <c r="B520" s="21"/>
      <c r="C520" s="16"/>
      <c r="D520" s="16"/>
      <c r="E520" s="17"/>
      <c r="F520" s="21"/>
      <c r="G520" s="16"/>
      <c r="H520" s="16"/>
      <c r="I520" s="16"/>
      <c r="J520" s="17"/>
      <c r="K520" s="21"/>
      <c r="L520" s="16"/>
      <c r="M520" s="16"/>
      <c r="N520" s="17"/>
      <c r="O520" s="21"/>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row>
    <row r="521">
      <c r="A521" s="22"/>
      <c r="B521" s="21"/>
      <c r="C521" s="16"/>
      <c r="D521" s="16"/>
      <c r="E521" s="17"/>
      <c r="F521" s="21"/>
      <c r="G521" s="16"/>
      <c r="H521" s="16"/>
      <c r="I521" s="16"/>
      <c r="J521" s="17"/>
      <c r="K521" s="21"/>
      <c r="L521" s="16"/>
      <c r="M521" s="16"/>
      <c r="N521" s="17"/>
      <c r="O521" s="21"/>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row>
    <row r="522">
      <c r="A522" s="22"/>
      <c r="B522" s="21"/>
      <c r="C522" s="16"/>
      <c r="D522" s="16"/>
      <c r="E522" s="17"/>
      <c r="F522" s="21"/>
      <c r="G522" s="16"/>
      <c r="H522" s="16"/>
      <c r="I522" s="16"/>
      <c r="J522" s="17"/>
      <c r="K522" s="21"/>
      <c r="L522" s="16"/>
      <c r="M522" s="16"/>
      <c r="N522" s="17"/>
      <c r="O522" s="21"/>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row>
    <row r="523">
      <c r="A523" s="22"/>
      <c r="B523" s="21"/>
      <c r="C523" s="16"/>
      <c r="D523" s="16"/>
      <c r="E523" s="17"/>
      <c r="F523" s="21"/>
      <c r="G523" s="16"/>
      <c r="H523" s="16"/>
      <c r="I523" s="16"/>
      <c r="J523" s="17"/>
      <c r="K523" s="21"/>
      <c r="L523" s="16"/>
      <c r="M523" s="16"/>
      <c r="N523" s="17"/>
      <c r="O523" s="21"/>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row>
    <row r="524">
      <c r="A524" s="22"/>
      <c r="B524" s="21"/>
      <c r="C524" s="16"/>
      <c r="D524" s="16"/>
      <c r="E524" s="17"/>
      <c r="F524" s="21"/>
      <c r="G524" s="16"/>
      <c r="H524" s="16"/>
      <c r="I524" s="16"/>
      <c r="J524" s="17"/>
      <c r="K524" s="21"/>
      <c r="L524" s="16"/>
      <c r="M524" s="16"/>
      <c r="N524" s="17"/>
      <c r="O524" s="21"/>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row>
    <row r="525">
      <c r="A525" s="22"/>
      <c r="B525" s="21"/>
      <c r="C525" s="16"/>
      <c r="D525" s="16"/>
      <c r="E525" s="17"/>
      <c r="F525" s="21"/>
      <c r="G525" s="16"/>
      <c r="H525" s="16"/>
      <c r="I525" s="16"/>
      <c r="J525" s="17"/>
      <c r="K525" s="21"/>
      <c r="L525" s="16"/>
      <c r="M525" s="16"/>
      <c r="N525" s="17"/>
      <c r="O525" s="21"/>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row>
    <row r="526">
      <c r="A526" s="22"/>
      <c r="B526" s="21"/>
      <c r="C526" s="16"/>
      <c r="D526" s="16"/>
      <c r="E526" s="17"/>
      <c r="F526" s="21"/>
      <c r="G526" s="16"/>
      <c r="H526" s="16"/>
      <c r="I526" s="16"/>
      <c r="J526" s="17"/>
      <c r="K526" s="21"/>
      <c r="L526" s="16"/>
      <c r="M526" s="16"/>
      <c r="N526" s="17"/>
      <c r="O526" s="21"/>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row>
    <row r="527">
      <c r="A527" s="22"/>
      <c r="B527" s="21"/>
      <c r="C527" s="16"/>
      <c r="D527" s="16"/>
      <c r="E527" s="17"/>
      <c r="F527" s="21"/>
      <c r="G527" s="16"/>
      <c r="H527" s="16"/>
      <c r="I527" s="16"/>
      <c r="J527" s="17"/>
      <c r="K527" s="21"/>
      <c r="L527" s="16"/>
      <c r="M527" s="16"/>
      <c r="N527" s="17"/>
      <c r="O527" s="21"/>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row>
    <row r="528">
      <c r="A528" s="22"/>
      <c r="B528" s="21"/>
      <c r="C528" s="16"/>
      <c r="D528" s="16"/>
      <c r="E528" s="17"/>
      <c r="F528" s="21"/>
      <c r="G528" s="16"/>
      <c r="H528" s="16"/>
      <c r="I528" s="16"/>
      <c r="J528" s="17"/>
      <c r="K528" s="21"/>
      <c r="L528" s="16"/>
      <c r="M528" s="16"/>
      <c r="N528" s="17"/>
      <c r="O528" s="21"/>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row>
    <row r="529">
      <c r="A529" s="22"/>
      <c r="B529" s="21"/>
      <c r="C529" s="16"/>
      <c r="D529" s="16"/>
      <c r="E529" s="17"/>
      <c r="F529" s="21"/>
      <c r="G529" s="16"/>
      <c r="H529" s="16"/>
      <c r="I529" s="16"/>
      <c r="J529" s="17"/>
      <c r="K529" s="21"/>
      <c r="L529" s="16"/>
      <c r="M529" s="16"/>
      <c r="N529" s="17"/>
      <c r="O529" s="21"/>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row>
    <row r="530">
      <c r="A530" s="22"/>
      <c r="B530" s="21"/>
      <c r="C530" s="16"/>
      <c r="D530" s="16"/>
      <c r="E530" s="17"/>
      <c r="F530" s="21"/>
      <c r="G530" s="16"/>
      <c r="H530" s="16"/>
      <c r="I530" s="16"/>
      <c r="J530" s="17"/>
      <c r="K530" s="21"/>
      <c r="L530" s="16"/>
      <c r="M530" s="16"/>
      <c r="N530" s="17"/>
      <c r="O530" s="21"/>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row>
    <row r="531">
      <c r="A531" s="22"/>
      <c r="B531" s="21"/>
      <c r="C531" s="16"/>
      <c r="D531" s="16"/>
      <c r="E531" s="17"/>
      <c r="F531" s="21"/>
      <c r="G531" s="16"/>
      <c r="H531" s="16"/>
      <c r="I531" s="16"/>
      <c r="J531" s="17"/>
      <c r="K531" s="21"/>
      <c r="L531" s="16"/>
      <c r="M531" s="16"/>
      <c r="N531" s="17"/>
      <c r="O531" s="21"/>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row>
    <row r="532">
      <c r="A532" s="22"/>
      <c r="B532" s="21"/>
      <c r="C532" s="16"/>
      <c r="D532" s="16"/>
      <c r="E532" s="17"/>
      <c r="F532" s="21"/>
      <c r="G532" s="16"/>
      <c r="H532" s="16"/>
      <c r="I532" s="16"/>
      <c r="J532" s="17"/>
      <c r="K532" s="21"/>
      <c r="L532" s="16"/>
      <c r="M532" s="16"/>
      <c r="N532" s="17"/>
      <c r="O532" s="21"/>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row>
    <row r="533">
      <c r="A533" s="22"/>
      <c r="B533" s="21"/>
      <c r="C533" s="16"/>
      <c r="D533" s="16"/>
      <c r="E533" s="17"/>
      <c r="F533" s="21"/>
      <c r="G533" s="16"/>
      <c r="H533" s="16"/>
      <c r="I533" s="16"/>
      <c r="J533" s="17"/>
      <c r="K533" s="21"/>
      <c r="L533" s="16"/>
      <c r="M533" s="16"/>
      <c r="N533" s="17"/>
      <c r="O533" s="21"/>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row>
    <row r="534">
      <c r="A534" s="22"/>
      <c r="B534" s="21"/>
      <c r="C534" s="16"/>
      <c r="D534" s="16"/>
      <c r="E534" s="17"/>
      <c r="F534" s="21"/>
      <c r="G534" s="16"/>
      <c r="H534" s="16"/>
      <c r="I534" s="16"/>
      <c r="J534" s="17"/>
      <c r="K534" s="21"/>
      <c r="L534" s="16"/>
      <c r="M534" s="16"/>
      <c r="N534" s="17"/>
      <c r="O534" s="21"/>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row>
    <row r="535">
      <c r="A535" s="22"/>
      <c r="B535" s="21"/>
      <c r="C535" s="16"/>
      <c r="D535" s="16"/>
      <c r="E535" s="17"/>
      <c r="F535" s="21"/>
      <c r="G535" s="16"/>
      <c r="H535" s="16"/>
      <c r="I535" s="16"/>
      <c r="J535" s="17"/>
      <c r="K535" s="21"/>
      <c r="L535" s="16"/>
      <c r="M535" s="16"/>
      <c r="N535" s="17"/>
      <c r="O535" s="21"/>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row>
    <row r="536">
      <c r="A536" s="22"/>
      <c r="B536" s="21"/>
      <c r="C536" s="16"/>
      <c r="D536" s="16"/>
      <c r="E536" s="17"/>
      <c r="F536" s="21"/>
      <c r="G536" s="16"/>
      <c r="H536" s="16"/>
      <c r="I536" s="16"/>
      <c r="J536" s="17"/>
      <c r="K536" s="21"/>
      <c r="L536" s="16"/>
      <c r="M536" s="16"/>
      <c r="N536" s="17"/>
      <c r="O536" s="21"/>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row>
    <row r="537">
      <c r="A537" s="22"/>
      <c r="B537" s="21"/>
      <c r="C537" s="16"/>
      <c r="D537" s="16"/>
      <c r="E537" s="17"/>
      <c r="F537" s="21"/>
      <c r="G537" s="16"/>
      <c r="H537" s="16"/>
      <c r="I537" s="16"/>
      <c r="J537" s="17"/>
      <c r="K537" s="21"/>
      <c r="L537" s="16"/>
      <c r="M537" s="16"/>
      <c r="N537" s="17"/>
      <c r="O537" s="21"/>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row>
    <row r="538">
      <c r="A538" s="22"/>
      <c r="B538" s="21"/>
      <c r="C538" s="16"/>
      <c r="D538" s="16"/>
      <c r="E538" s="17"/>
      <c r="F538" s="21"/>
      <c r="G538" s="16"/>
      <c r="H538" s="16"/>
      <c r="I538" s="16"/>
      <c r="J538" s="17"/>
      <c r="K538" s="21"/>
      <c r="L538" s="16"/>
      <c r="M538" s="16"/>
      <c r="N538" s="17"/>
      <c r="O538" s="21"/>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row>
    <row r="539">
      <c r="A539" s="22"/>
      <c r="B539" s="21"/>
      <c r="C539" s="16"/>
      <c r="D539" s="16"/>
      <c r="E539" s="17"/>
      <c r="F539" s="21"/>
      <c r="G539" s="16"/>
      <c r="H539" s="16"/>
      <c r="I539" s="16"/>
      <c r="J539" s="17"/>
      <c r="K539" s="21"/>
      <c r="L539" s="16"/>
      <c r="M539" s="16"/>
      <c r="N539" s="17"/>
      <c r="O539" s="21"/>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row>
    <row r="540">
      <c r="A540" s="22"/>
      <c r="B540" s="21"/>
      <c r="C540" s="16"/>
      <c r="D540" s="16"/>
      <c r="E540" s="17"/>
      <c r="F540" s="21"/>
      <c r="G540" s="16"/>
      <c r="H540" s="16"/>
      <c r="I540" s="16"/>
      <c r="J540" s="17"/>
      <c r="K540" s="21"/>
      <c r="L540" s="16"/>
      <c r="M540" s="16"/>
      <c r="N540" s="17"/>
      <c r="O540" s="21"/>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row>
    <row r="541">
      <c r="A541" s="22"/>
      <c r="B541" s="21"/>
      <c r="C541" s="16"/>
      <c r="D541" s="16"/>
      <c r="E541" s="17"/>
      <c r="F541" s="21"/>
      <c r="G541" s="16"/>
      <c r="H541" s="16"/>
      <c r="I541" s="16"/>
      <c r="J541" s="17"/>
      <c r="K541" s="21"/>
      <c r="L541" s="16"/>
      <c r="M541" s="16"/>
      <c r="N541" s="17"/>
      <c r="O541" s="21"/>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row>
    <row r="542">
      <c r="A542" s="22"/>
      <c r="B542" s="21"/>
      <c r="C542" s="16"/>
      <c r="D542" s="16"/>
      <c r="E542" s="17"/>
      <c r="F542" s="21"/>
      <c r="G542" s="16"/>
      <c r="H542" s="16"/>
      <c r="I542" s="16"/>
      <c r="J542" s="17"/>
      <c r="K542" s="21"/>
      <c r="L542" s="16"/>
      <c r="M542" s="16"/>
      <c r="N542" s="17"/>
      <c r="O542" s="21"/>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row>
    <row r="543">
      <c r="A543" s="22"/>
      <c r="B543" s="21"/>
      <c r="C543" s="16"/>
      <c r="D543" s="16"/>
      <c r="E543" s="17"/>
      <c r="F543" s="21"/>
      <c r="G543" s="16"/>
      <c r="H543" s="16"/>
      <c r="I543" s="16"/>
      <c r="J543" s="17"/>
      <c r="K543" s="21"/>
      <c r="L543" s="16"/>
      <c r="M543" s="16"/>
      <c r="N543" s="17"/>
      <c r="O543" s="21"/>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row>
    <row r="544">
      <c r="A544" s="22"/>
      <c r="B544" s="21"/>
      <c r="C544" s="16"/>
      <c r="D544" s="16"/>
      <c r="E544" s="17"/>
      <c r="F544" s="21"/>
      <c r="G544" s="16"/>
      <c r="H544" s="16"/>
      <c r="I544" s="16"/>
      <c r="J544" s="17"/>
      <c r="K544" s="21"/>
      <c r="L544" s="16"/>
      <c r="M544" s="16"/>
      <c r="N544" s="17"/>
      <c r="O544" s="21"/>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row>
    <row r="545">
      <c r="A545" s="22"/>
      <c r="B545" s="21"/>
      <c r="C545" s="16"/>
      <c r="D545" s="16"/>
      <c r="E545" s="17"/>
      <c r="F545" s="21"/>
      <c r="G545" s="16"/>
      <c r="H545" s="16"/>
      <c r="I545" s="16"/>
      <c r="J545" s="17"/>
      <c r="K545" s="21"/>
      <c r="L545" s="16"/>
      <c r="M545" s="16"/>
      <c r="N545" s="17"/>
      <c r="O545" s="21"/>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row>
    <row r="546">
      <c r="A546" s="22"/>
      <c r="B546" s="21"/>
      <c r="C546" s="16"/>
      <c r="D546" s="16"/>
      <c r="E546" s="17"/>
      <c r="F546" s="21"/>
      <c r="G546" s="16"/>
      <c r="H546" s="16"/>
      <c r="I546" s="16"/>
      <c r="J546" s="17"/>
      <c r="K546" s="21"/>
      <c r="L546" s="16"/>
      <c r="M546" s="16"/>
      <c r="N546" s="17"/>
      <c r="O546" s="21"/>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row>
    <row r="547">
      <c r="A547" s="22"/>
      <c r="B547" s="21"/>
      <c r="C547" s="16"/>
      <c r="D547" s="16"/>
      <c r="E547" s="17"/>
      <c r="F547" s="21"/>
      <c r="G547" s="16"/>
      <c r="H547" s="16"/>
      <c r="I547" s="16"/>
      <c r="J547" s="17"/>
      <c r="K547" s="21"/>
      <c r="L547" s="16"/>
      <c r="M547" s="16"/>
      <c r="N547" s="17"/>
      <c r="O547" s="21"/>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row>
    <row r="548">
      <c r="A548" s="22"/>
      <c r="B548" s="21"/>
      <c r="C548" s="16"/>
      <c r="D548" s="16"/>
      <c r="E548" s="17"/>
      <c r="F548" s="21"/>
      <c r="G548" s="16"/>
      <c r="H548" s="16"/>
      <c r="I548" s="16"/>
      <c r="J548" s="17"/>
      <c r="K548" s="21"/>
      <c r="L548" s="16"/>
      <c r="M548" s="16"/>
      <c r="N548" s="17"/>
      <c r="O548" s="21"/>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row>
    <row r="549">
      <c r="A549" s="22"/>
      <c r="B549" s="21"/>
      <c r="C549" s="16"/>
      <c r="D549" s="16"/>
      <c r="E549" s="17"/>
      <c r="F549" s="21"/>
      <c r="G549" s="16"/>
      <c r="H549" s="16"/>
      <c r="I549" s="16"/>
      <c r="J549" s="17"/>
      <c r="K549" s="21"/>
      <c r="L549" s="16"/>
      <c r="M549" s="16"/>
      <c r="N549" s="17"/>
      <c r="O549" s="21"/>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row>
    <row r="550">
      <c r="A550" s="22"/>
      <c r="B550" s="21"/>
      <c r="C550" s="16"/>
      <c r="D550" s="16"/>
      <c r="E550" s="17"/>
      <c r="F550" s="21"/>
      <c r="G550" s="16"/>
      <c r="H550" s="16"/>
      <c r="I550" s="16"/>
      <c r="J550" s="17"/>
      <c r="K550" s="21"/>
      <c r="L550" s="16"/>
      <c r="M550" s="16"/>
      <c r="N550" s="17"/>
      <c r="O550" s="21"/>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row>
    <row r="551">
      <c r="A551" s="22"/>
      <c r="B551" s="21"/>
      <c r="C551" s="16"/>
      <c r="D551" s="16"/>
      <c r="E551" s="17"/>
      <c r="F551" s="21"/>
      <c r="G551" s="16"/>
      <c r="H551" s="16"/>
      <c r="I551" s="16"/>
      <c r="J551" s="17"/>
      <c r="K551" s="21"/>
      <c r="L551" s="16"/>
      <c r="M551" s="16"/>
      <c r="N551" s="17"/>
      <c r="O551" s="21"/>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row>
    <row r="552">
      <c r="A552" s="22"/>
      <c r="B552" s="21"/>
      <c r="C552" s="16"/>
      <c r="D552" s="16"/>
      <c r="E552" s="17"/>
      <c r="F552" s="21"/>
      <c r="G552" s="16"/>
      <c r="H552" s="16"/>
      <c r="I552" s="16"/>
      <c r="J552" s="17"/>
      <c r="K552" s="21"/>
      <c r="L552" s="16"/>
      <c r="M552" s="16"/>
      <c r="N552" s="17"/>
      <c r="O552" s="21"/>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row>
    <row r="553">
      <c r="A553" s="22"/>
      <c r="B553" s="21"/>
      <c r="C553" s="16"/>
      <c r="D553" s="16"/>
      <c r="E553" s="17"/>
      <c r="F553" s="21"/>
      <c r="G553" s="16"/>
      <c r="H553" s="16"/>
      <c r="I553" s="16"/>
      <c r="J553" s="17"/>
      <c r="K553" s="21"/>
      <c r="L553" s="16"/>
      <c r="M553" s="16"/>
      <c r="N553" s="17"/>
      <c r="O553" s="21"/>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row>
    <row r="554">
      <c r="A554" s="22"/>
      <c r="B554" s="21"/>
      <c r="C554" s="16"/>
      <c r="D554" s="16"/>
      <c r="E554" s="17"/>
      <c r="F554" s="21"/>
      <c r="G554" s="16"/>
      <c r="H554" s="16"/>
      <c r="I554" s="16"/>
      <c r="J554" s="17"/>
      <c r="K554" s="21"/>
      <c r="L554" s="16"/>
      <c r="M554" s="16"/>
      <c r="N554" s="17"/>
      <c r="O554" s="21"/>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row>
    <row r="555">
      <c r="A555" s="22"/>
      <c r="B555" s="21"/>
      <c r="C555" s="16"/>
      <c r="D555" s="16"/>
      <c r="E555" s="17"/>
      <c r="F555" s="21"/>
      <c r="G555" s="16"/>
      <c r="H555" s="16"/>
      <c r="I555" s="16"/>
      <c r="J555" s="17"/>
      <c r="K555" s="21"/>
      <c r="L555" s="16"/>
      <c r="M555" s="16"/>
      <c r="N555" s="17"/>
      <c r="O555" s="21"/>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row>
    <row r="556">
      <c r="A556" s="22"/>
      <c r="B556" s="21"/>
      <c r="C556" s="16"/>
      <c r="D556" s="16"/>
      <c r="E556" s="17"/>
      <c r="F556" s="21"/>
      <c r="G556" s="16"/>
      <c r="H556" s="16"/>
      <c r="I556" s="16"/>
      <c r="J556" s="17"/>
      <c r="K556" s="21"/>
      <c r="L556" s="16"/>
      <c r="M556" s="16"/>
      <c r="N556" s="17"/>
      <c r="O556" s="21"/>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row>
    <row r="557">
      <c r="A557" s="22"/>
      <c r="B557" s="21"/>
      <c r="C557" s="16"/>
      <c r="D557" s="16"/>
      <c r="E557" s="17"/>
      <c r="F557" s="21"/>
      <c r="G557" s="16"/>
      <c r="H557" s="16"/>
      <c r="I557" s="16"/>
      <c r="J557" s="17"/>
      <c r="K557" s="21"/>
      <c r="L557" s="16"/>
      <c r="M557" s="16"/>
      <c r="N557" s="17"/>
      <c r="O557" s="21"/>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row>
    <row r="558">
      <c r="A558" s="22"/>
      <c r="B558" s="21"/>
      <c r="C558" s="16"/>
      <c r="D558" s="16"/>
      <c r="E558" s="17"/>
      <c r="F558" s="21"/>
      <c r="G558" s="16"/>
      <c r="H558" s="16"/>
      <c r="I558" s="16"/>
      <c r="J558" s="17"/>
      <c r="K558" s="21"/>
      <c r="L558" s="16"/>
      <c r="M558" s="16"/>
      <c r="N558" s="17"/>
      <c r="O558" s="21"/>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row>
    <row r="559">
      <c r="A559" s="22"/>
      <c r="B559" s="21"/>
      <c r="C559" s="16"/>
      <c r="D559" s="16"/>
      <c r="E559" s="17"/>
      <c r="F559" s="21"/>
      <c r="G559" s="16"/>
      <c r="H559" s="16"/>
      <c r="I559" s="16"/>
      <c r="J559" s="17"/>
      <c r="K559" s="21"/>
      <c r="L559" s="16"/>
      <c r="M559" s="16"/>
      <c r="N559" s="17"/>
      <c r="O559" s="21"/>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row>
    <row r="560">
      <c r="A560" s="22"/>
      <c r="B560" s="21"/>
      <c r="C560" s="16"/>
      <c r="D560" s="16"/>
      <c r="E560" s="17"/>
      <c r="F560" s="21"/>
      <c r="G560" s="16"/>
      <c r="H560" s="16"/>
      <c r="I560" s="16"/>
      <c r="J560" s="17"/>
      <c r="K560" s="21"/>
      <c r="L560" s="16"/>
      <c r="M560" s="16"/>
      <c r="N560" s="17"/>
      <c r="O560" s="21"/>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row>
    <row r="561">
      <c r="A561" s="22"/>
      <c r="B561" s="21"/>
      <c r="C561" s="16"/>
      <c r="D561" s="16"/>
      <c r="E561" s="17"/>
      <c r="F561" s="21"/>
      <c r="G561" s="16"/>
      <c r="H561" s="16"/>
      <c r="I561" s="16"/>
      <c r="J561" s="17"/>
      <c r="K561" s="21"/>
      <c r="L561" s="16"/>
      <c r="M561" s="16"/>
      <c r="N561" s="17"/>
      <c r="O561" s="21"/>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row>
    <row r="562">
      <c r="A562" s="22"/>
      <c r="B562" s="21"/>
      <c r="C562" s="16"/>
      <c r="D562" s="16"/>
      <c r="E562" s="17"/>
      <c r="F562" s="21"/>
      <c r="G562" s="16"/>
      <c r="H562" s="16"/>
      <c r="I562" s="16"/>
      <c r="J562" s="17"/>
      <c r="K562" s="21"/>
      <c r="L562" s="16"/>
      <c r="M562" s="16"/>
      <c r="N562" s="17"/>
      <c r="O562" s="21"/>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row>
    <row r="563">
      <c r="A563" s="22"/>
      <c r="B563" s="21"/>
      <c r="C563" s="16"/>
      <c r="D563" s="16"/>
      <c r="E563" s="17"/>
      <c r="F563" s="21"/>
      <c r="G563" s="16"/>
      <c r="H563" s="16"/>
      <c r="I563" s="16"/>
      <c r="J563" s="17"/>
      <c r="K563" s="21"/>
      <c r="L563" s="16"/>
      <c r="M563" s="16"/>
      <c r="N563" s="17"/>
      <c r="O563" s="21"/>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row>
    <row r="564">
      <c r="A564" s="22"/>
      <c r="B564" s="21"/>
      <c r="C564" s="16"/>
      <c r="D564" s="16"/>
      <c r="E564" s="17"/>
      <c r="F564" s="21"/>
      <c r="G564" s="16"/>
      <c r="H564" s="16"/>
      <c r="I564" s="16"/>
      <c r="J564" s="17"/>
      <c r="K564" s="21"/>
      <c r="L564" s="16"/>
      <c r="M564" s="16"/>
      <c r="N564" s="17"/>
      <c r="O564" s="21"/>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row>
    <row r="565">
      <c r="A565" s="22"/>
      <c r="B565" s="21"/>
      <c r="C565" s="16"/>
      <c r="D565" s="16"/>
      <c r="E565" s="17"/>
      <c r="F565" s="21"/>
      <c r="G565" s="16"/>
      <c r="H565" s="16"/>
      <c r="I565" s="16"/>
      <c r="J565" s="17"/>
      <c r="K565" s="21"/>
      <c r="L565" s="16"/>
      <c r="M565" s="16"/>
      <c r="N565" s="17"/>
      <c r="O565" s="21"/>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row>
    <row r="566">
      <c r="A566" s="22"/>
      <c r="B566" s="21"/>
      <c r="C566" s="16"/>
      <c r="D566" s="16"/>
      <c r="E566" s="17"/>
      <c r="F566" s="21"/>
      <c r="G566" s="16"/>
      <c r="H566" s="16"/>
      <c r="I566" s="16"/>
      <c r="J566" s="17"/>
      <c r="K566" s="21"/>
      <c r="L566" s="16"/>
      <c r="M566" s="16"/>
      <c r="N566" s="17"/>
      <c r="O566" s="21"/>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row>
    <row r="567">
      <c r="A567" s="22"/>
      <c r="B567" s="21"/>
      <c r="C567" s="16"/>
      <c r="D567" s="16"/>
      <c r="E567" s="17"/>
      <c r="F567" s="21"/>
      <c r="G567" s="16"/>
      <c r="H567" s="16"/>
      <c r="I567" s="16"/>
      <c r="J567" s="17"/>
      <c r="K567" s="21"/>
      <c r="L567" s="16"/>
      <c r="M567" s="16"/>
      <c r="N567" s="17"/>
      <c r="O567" s="21"/>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row>
    <row r="568">
      <c r="A568" s="22"/>
      <c r="B568" s="21"/>
      <c r="C568" s="16"/>
      <c r="D568" s="16"/>
      <c r="E568" s="17"/>
      <c r="F568" s="21"/>
      <c r="G568" s="16"/>
      <c r="H568" s="16"/>
      <c r="I568" s="16"/>
      <c r="J568" s="17"/>
      <c r="K568" s="21"/>
      <c r="L568" s="16"/>
      <c r="M568" s="16"/>
      <c r="N568" s="17"/>
      <c r="O568" s="21"/>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row>
    <row r="569">
      <c r="A569" s="22"/>
      <c r="B569" s="21"/>
      <c r="C569" s="16"/>
      <c r="D569" s="16"/>
      <c r="E569" s="17"/>
      <c r="F569" s="21"/>
      <c r="G569" s="16"/>
      <c r="H569" s="16"/>
      <c r="I569" s="16"/>
      <c r="J569" s="17"/>
      <c r="K569" s="21"/>
      <c r="L569" s="16"/>
      <c r="M569" s="16"/>
      <c r="N569" s="17"/>
      <c r="O569" s="21"/>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row>
    <row r="570">
      <c r="A570" s="22"/>
      <c r="B570" s="21"/>
      <c r="C570" s="16"/>
      <c r="D570" s="16"/>
      <c r="E570" s="17"/>
      <c r="F570" s="21"/>
      <c r="G570" s="16"/>
      <c r="H570" s="16"/>
      <c r="I570" s="16"/>
      <c r="J570" s="17"/>
      <c r="K570" s="21"/>
      <c r="L570" s="16"/>
      <c r="M570" s="16"/>
      <c r="N570" s="17"/>
      <c r="O570" s="21"/>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row>
    <row r="571">
      <c r="A571" s="22"/>
      <c r="B571" s="21"/>
      <c r="C571" s="16"/>
      <c r="D571" s="16"/>
      <c r="E571" s="17"/>
      <c r="F571" s="21"/>
      <c r="G571" s="16"/>
      <c r="H571" s="16"/>
      <c r="I571" s="16"/>
      <c r="J571" s="17"/>
      <c r="K571" s="21"/>
      <c r="L571" s="16"/>
      <c r="M571" s="16"/>
      <c r="N571" s="17"/>
      <c r="O571" s="21"/>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row>
    <row r="572">
      <c r="A572" s="22"/>
      <c r="B572" s="21"/>
      <c r="C572" s="16"/>
      <c r="D572" s="16"/>
      <c r="E572" s="17"/>
      <c r="F572" s="21"/>
      <c r="G572" s="16"/>
      <c r="H572" s="16"/>
      <c r="I572" s="16"/>
      <c r="J572" s="17"/>
      <c r="K572" s="21"/>
      <c r="L572" s="16"/>
      <c r="M572" s="16"/>
      <c r="N572" s="17"/>
      <c r="O572" s="21"/>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row>
    <row r="573">
      <c r="A573" s="22"/>
      <c r="B573" s="21"/>
      <c r="C573" s="16"/>
      <c r="D573" s="16"/>
      <c r="E573" s="17"/>
      <c r="F573" s="21"/>
      <c r="G573" s="16"/>
      <c r="H573" s="16"/>
      <c r="I573" s="16"/>
      <c r="J573" s="17"/>
      <c r="K573" s="21"/>
      <c r="L573" s="16"/>
      <c r="M573" s="16"/>
      <c r="N573" s="17"/>
      <c r="O573" s="21"/>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row>
    <row r="574">
      <c r="A574" s="22"/>
      <c r="B574" s="21"/>
      <c r="C574" s="16"/>
      <c r="D574" s="16"/>
      <c r="E574" s="17"/>
      <c r="F574" s="21"/>
      <c r="G574" s="16"/>
      <c r="H574" s="16"/>
      <c r="I574" s="16"/>
      <c r="J574" s="17"/>
      <c r="K574" s="21"/>
      <c r="L574" s="16"/>
      <c r="M574" s="16"/>
      <c r="N574" s="17"/>
      <c r="O574" s="21"/>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row>
    <row r="575">
      <c r="A575" s="22"/>
      <c r="B575" s="21"/>
      <c r="C575" s="16"/>
      <c r="D575" s="16"/>
      <c r="E575" s="17"/>
      <c r="F575" s="21"/>
      <c r="G575" s="16"/>
      <c r="H575" s="16"/>
      <c r="I575" s="16"/>
      <c r="J575" s="17"/>
      <c r="K575" s="21"/>
      <c r="L575" s="16"/>
      <c r="M575" s="16"/>
      <c r="N575" s="17"/>
      <c r="O575" s="21"/>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row>
    <row r="576">
      <c r="A576" s="22"/>
      <c r="B576" s="21"/>
      <c r="C576" s="16"/>
      <c r="D576" s="16"/>
      <c r="E576" s="17"/>
      <c r="F576" s="21"/>
      <c r="G576" s="16"/>
      <c r="H576" s="16"/>
      <c r="I576" s="16"/>
      <c r="J576" s="17"/>
      <c r="K576" s="21"/>
      <c r="L576" s="16"/>
      <c r="M576" s="16"/>
      <c r="N576" s="17"/>
      <c r="O576" s="21"/>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row>
    <row r="577">
      <c r="A577" s="22"/>
      <c r="B577" s="21"/>
      <c r="C577" s="16"/>
      <c r="D577" s="16"/>
      <c r="E577" s="17"/>
      <c r="F577" s="21"/>
      <c r="G577" s="16"/>
      <c r="H577" s="16"/>
      <c r="I577" s="16"/>
      <c r="J577" s="17"/>
      <c r="K577" s="21"/>
      <c r="L577" s="16"/>
      <c r="M577" s="16"/>
      <c r="N577" s="17"/>
      <c r="O577" s="21"/>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row>
    <row r="578">
      <c r="A578" s="22"/>
      <c r="B578" s="21"/>
      <c r="C578" s="16"/>
      <c r="D578" s="16"/>
      <c r="E578" s="17"/>
      <c r="F578" s="21"/>
      <c r="G578" s="16"/>
      <c r="H578" s="16"/>
      <c r="I578" s="16"/>
      <c r="J578" s="17"/>
      <c r="K578" s="21"/>
      <c r="L578" s="16"/>
      <c r="M578" s="16"/>
      <c r="N578" s="17"/>
      <c r="O578" s="21"/>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row>
    <row r="579">
      <c r="A579" s="22"/>
      <c r="B579" s="21"/>
      <c r="C579" s="16"/>
      <c r="D579" s="16"/>
      <c r="E579" s="17"/>
      <c r="F579" s="21"/>
      <c r="G579" s="16"/>
      <c r="H579" s="16"/>
      <c r="I579" s="16"/>
      <c r="J579" s="17"/>
      <c r="K579" s="21"/>
      <c r="L579" s="16"/>
      <c r="M579" s="16"/>
      <c r="N579" s="17"/>
      <c r="O579" s="21"/>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row>
    <row r="580">
      <c r="A580" s="22"/>
      <c r="B580" s="21"/>
      <c r="C580" s="16"/>
      <c r="D580" s="16"/>
      <c r="E580" s="17"/>
      <c r="F580" s="21"/>
      <c r="G580" s="16"/>
      <c r="H580" s="16"/>
      <c r="I580" s="16"/>
      <c r="J580" s="17"/>
      <c r="K580" s="21"/>
      <c r="L580" s="16"/>
      <c r="M580" s="16"/>
      <c r="N580" s="17"/>
      <c r="O580" s="21"/>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row>
    <row r="581">
      <c r="A581" s="22"/>
      <c r="B581" s="21"/>
      <c r="C581" s="16"/>
      <c r="D581" s="16"/>
      <c r="E581" s="17"/>
      <c r="F581" s="21"/>
      <c r="G581" s="16"/>
      <c r="H581" s="16"/>
      <c r="I581" s="16"/>
      <c r="J581" s="17"/>
      <c r="K581" s="21"/>
      <c r="L581" s="16"/>
      <c r="M581" s="16"/>
      <c r="N581" s="17"/>
      <c r="O581" s="21"/>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row>
    <row r="582">
      <c r="A582" s="22"/>
      <c r="B582" s="21"/>
      <c r="C582" s="16"/>
      <c r="D582" s="16"/>
      <c r="E582" s="17"/>
      <c r="F582" s="21"/>
      <c r="G582" s="16"/>
      <c r="H582" s="16"/>
      <c r="I582" s="16"/>
      <c r="J582" s="17"/>
      <c r="K582" s="21"/>
      <c r="L582" s="16"/>
      <c r="M582" s="16"/>
      <c r="N582" s="17"/>
      <c r="O582" s="21"/>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row>
    <row r="583">
      <c r="A583" s="22"/>
      <c r="B583" s="21"/>
      <c r="C583" s="16"/>
      <c r="D583" s="16"/>
      <c r="E583" s="17"/>
      <c r="F583" s="21"/>
      <c r="G583" s="16"/>
      <c r="H583" s="16"/>
      <c r="I583" s="16"/>
      <c r="J583" s="17"/>
      <c r="K583" s="21"/>
      <c r="L583" s="16"/>
      <c r="M583" s="16"/>
      <c r="N583" s="17"/>
      <c r="O583" s="21"/>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row>
    <row r="584">
      <c r="A584" s="22"/>
      <c r="B584" s="21"/>
      <c r="C584" s="16"/>
      <c r="D584" s="16"/>
      <c r="E584" s="17"/>
      <c r="F584" s="21"/>
      <c r="G584" s="16"/>
      <c r="H584" s="16"/>
      <c r="I584" s="16"/>
      <c r="J584" s="17"/>
      <c r="K584" s="21"/>
      <c r="L584" s="16"/>
      <c r="M584" s="16"/>
      <c r="N584" s="17"/>
      <c r="O584" s="21"/>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row>
    <row r="585">
      <c r="A585" s="22"/>
      <c r="B585" s="21"/>
      <c r="C585" s="16"/>
      <c r="D585" s="16"/>
      <c r="E585" s="17"/>
      <c r="F585" s="21"/>
      <c r="G585" s="16"/>
      <c r="H585" s="16"/>
      <c r="I585" s="16"/>
      <c r="J585" s="17"/>
      <c r="K585" s="21"/>
      <c r="L585" s="16"/>
      <c r="M585" s="16"/>
      <c r="N585" s="17"/>
      <c r="O585" s="21"/>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row>
    <row r="586">
      <c r="A586" s="22"/>
      <c r="B586" s="21"/>
      <c r="C586" s="16"/>
      <c r="D586" s="16"/>
      <c r="E586" s="17"/>
      <c r="F586" s="21"/>
      <c r="G586" s="16"/>
      <c r="H586" s="16"/>
      <c r="I586" s="16"/>
      <c r="J586" s="17"/>
      <c r="K586" s="21"/>
      <c r="L586" s="16"/>
      <c r="M586" s="16"/>
      <c r="N586" s="17"/>
      <c r="O586" s="21"/>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row>
    <row r="587">
      <c r="A587" s="22"/>
      <c r="B587" s="21"/>
      <c r="C587" s="16"/>
      <c r="D587" s="16"/>
      <c r="E587" s="17"/>
      <c r="F587" s="21"/>
      <c r="G587" s="16"/>
      <c r="H587" s="16"/>
      <c r="I587" s="16"/>
      <c r="J587" s="17"/>
      <c r="K587" s="21"/>
      <c r="L587" s="16"/>
      <c r="M587" s="16"/>
      <c r="N587" s="17"/>
      <c r="O587" s="21"/>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row>
    <row r="588">
      <c r="A588" s="22"/>
      <c r="B588" s="21"/>
      <c r="C588" s="16"/>
      <c r="D588" s="16"/>
      <c r="E588" s="17"/>
      <c r="F588" s="21"/>
      <c r="G588" s="16"/>
      <c r="H588" s="16"/>
      <c r="I588" s="16"/>
      <c r="J588" s="17"/>
      <c r="K588" s="21"/>
      <c r="L588" s="16"/>
      <c r="M588" s="16"/>
      <c r="N588" s="17"/>
      <c r="O588" s="21"/>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row>
    <row r="589">
      <c r="A589" s="22"/>
      <c r="B589" s="21"/>
      <c r="C589" s="16"/>
      <c r="D589" s="16"/>
      <c r="E589" s="17"/>
      <c r="F589" s="21"/>
      <c r="G589" s="16"/>
      <c r="H589" s="16"/>
      <c r="I589" s="16"/>
      <c r="J589" s="17"/>
      <c r="K589" s="21"/>
      <c r="L589" s="16"/>
      <c r="M589" s="16"/>
      <c r="N589" s="17"/>
      <c r="O589" s="21"/>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row>
    <row r="590">
      <c r="A590" s="22"/>
      <c r="B590" s="21"/>
      <c r="C590" s="16"/>
      <c r="D590" s="16"/>
      <c r="E590" s="17"/>
      <c r="F590" s="21"/>
      <c r="G590" s="16"/>
      <c r="H590" s="16"/>
      <c r="I590" s="16"/>
      <c r="J590" s="17"/>
      <c r="K590" s="21"/>
      <c r="L590" s="16"/>
      <c r="M590" s="16"/>
      <c r="N590" s="17"/>
      <c r="O590" s="21"/>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row>
    <row r="591">
      <c r="A591" s="22"/>
      <c r="B591" s="21"/>
      <c r="C591" s="16"/>
      <c r="D591" s="16"/>
      <c r="E591" s="17"/>
      <c r="F591" s="21"/>
      <c r="G591" s="16"/>
      <c r="H591" s="16"/>
      <c r="I591" s="16"/>
      <c r="J591" s="17"/>
      <c r="K591" s="21"/>
      <c r="L591" s="16"/>
      <c r="M591" s="16"/>
      <c r="N591" s="17"/>
      <c r="O591" s="21"/>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row>
    <row r="592">
      <c r="A592" s="22"/>
      <c r="B592" s="21"/>
      <c r="C592" s="16"/>
      <c r="D592" s="16"/>
      <c r="E592" s="17"/>
      <c r="F592" s="21"/>
      <c r="G592" s="16"/>
      <c r="H592" s="16"/>
      <c r="I592" s="16"/>
      <c r="J592" s="17"/>
      <c r="K592" s="21"/>
      <c r="L592" s="16"/>
      <c r="M592" s="16"/>
      <c r="N592" s="17"/>
      <c r="O592" s="21"/>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row>
    <row r="593">
      <c r="A593" s="22"/>
      <c r="B593" s="21"/>
      <c r="C593" s="16"/>
      <c r="D593" s="16"/>
      <c r="E593" s="17"/>
      <c r="F593" s="21"/>
      <c r="G593" s="16"/>
      <c r="H593" s="16"/>
      <c r="I593" s="16"/>
      <c r="J593" s="17"/>
      <c r="K593" s="21"/>
      <c r="L593" s="16"/>
      <c r="M593" s="16"/>
      <c r="N593" s="17"/>
      <c r="O593" s="21"/>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row>
    <row r="594">
      <c r="A594" s="22"/>
      <c r="B594" s="21"/>
      <c r="C594" s="16"/>
      <c r="D594" s="16"/>
      <c r="E594" s="17"/>
      <c r="F594" s="21"/>
      <c r="G594" s="16"/>
      <c r="H594" s="16"/>
      <c r="I594" s="16"/>
      <c r="J594" s="17"/>
      <c r="K594" s="21"/>
      <c r="L594" s="16"/>
      <c r="M594" s="16"/>
      <c r="N594" s="17"/>
      <c r="O594" s="21"/>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row>
    <row r="595">
      <c r="A595" s="22"/>
      <c r="B595" s="21"/>
      <c r="C595" s="16"/>
      <c r="D595" s="16"/>
      <c r="E595" s="17"/>
      <c r="F595" s="21"/>
      <c r="G595" s="16"/>
      <c r="H595" s="16"/>
      <c r="I595" s="16"/>
      <c r="J595" s="17"/>
      <c r="K595" s="21"/>
      <c r="L595" s="16"/>
      <c r="M595" s="16"/>
      <c r="N595" s="17"/>
      <c r="O595" s="21"/>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row>
    <row r="596">
      <c r="A596" s="22"/>
      <c r="B596" s="21"/>
      <c r="C596" s="16"/>
      <c r="D596" s="16"/>
      <c r="E596" s="17"/>
      <c r="F596" s="21"/>
      <c r="G596" s="16"/>
      <c r="H596" s="16"/>
      <c r="I596" s="16"/>
      <c r="J596" s="17"/>
      <c r="K596" s="21"/>
      <c r="L596" s="16"/>
      <c r="M596" s="16"/>
      <c r="N596" s="17"/>
      <c r="O596" s="21"/>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row>
    <row r="597">
      <c r="A597" s="22"/>
      <c r="B597" s="21"/>
      <c r="C597" s="16"/>
      <c r="D597" s="16"/>
      <c r="E597" s="17"/>
      <c r="F597" s="21"/>
      <c r="G597" s="16"/>
      <c r="H597" s="16"/>
      <c r="I597" s="16"/>
      <c r="J597" s="17"/>
      <c r="K597" s="21"/>
      <c r="L597" s="16"/>
      <c r="M597" s="16"/>
      <c r="N597" s="17"/>
      <c r="O597" s="21"/>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row>
    <row r="598">
      <c r="A598" s="22"/>
      <c r="B598" s="21"/>
      <c r="C598" s="16"/>
      <c r="D598" s="16"/>
      <c r="E598" s="17"/>
      <c r="F598" s="21"/>
      <c r="G598" s="16"/>
      <c r="H598" s="16"/>
      <c r="I598" s="16"/>
      <c r="J598" s="17"/>
      <c r="K598" s="21"/>
      <c r="L598" s="16"/>
      <c r="M598" s="16"/>
      <c r="N598" s="17"/>
      <c r="O598" s="21"/>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row>
    <row r="599">
      <c r="A599" s="22"/>
      <c r="B599" s="21"/>
      <c r="C599" s="16"/>
      <c r="D599" s="16"/>
      <c r="E599" s="17"/>
      <c r="F599" s="21"/>
      <c r="G599" s="16"/>
      <c r="H599" s="16"/>
      <c r="I599" s="16"/>
      <c r="J599" s="17"/>
      <c r="K599" s="21"/>
      <c r="L599" s="16"/>
      <c r="M599" s="16"/>
      <c r="N599" s="17"/>
      <c r="O599" s="21"/>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row>
    <row r="600">
      <c r="A600" s="22"/>
      <c r="B600" s="21"/>
      <c r="C600" s="16"/>
      <c r="D600" s="16"/>
      <c r="E600" s="17"/>
      <c r="F600" s="21"/>
      <c r="G600" s="16"/>
      <c r="H600" s="16"/>
      <c r="I600" s="16"/>
      <c r="J600" s="17"/>
      <c r="K600" s="21"/>
      <c r="L600" s="16"/>
      <c r="M600" s="16"/>
      <c r="N600" s="17"/>
      <c r="O600" s="21"/>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row>
    <row r="601">
      <c r="A601" s="22"/>
      <c r="B601" s="21"/>
      <c r="C601" s="16"/>
      <c r="D601" s="16"/>
      <c r="E601" s="17"/>
      <c r="F601" s="21"/>
      <c r="G601" s="16"/>
      <c r="H601" s="16"/>
      <c r="I601" s="16"/>
      <c r="J601" s="17"/>
      <c r="K601" s="21"/>
      <c r="L601" s="16"/>
      <c r="M601" s="16"/>
      <c r="N601" s="17"/>
      <c r="O601" s="21"/>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row>
    <row r="602">
      <c r="A602" s="22"/>
      <c r="B602" s="21"/>
      <c r="C602" s="16"/>
      <c r="D602" s="16"/>
      <c r="E602" s="17"/>
      <c r="F602" s="21"/>
      <c r="G602" s="16"/>
      <c r="H602" s="16"/>
      <c r="I602" s="16"/>
      <c r="J602" s="17"/>
      <c r="K602" s="21"/>
      <c r="L602" s="16"/>
      <c r="M602" s="16"/>
      <c r="N602" s="17"/>
      <c r="O602" s="21"/>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row>
    <row r="603">
      <c r="A603" s="22"/>
      <c r="B603" s="21"/>
      <c r="C603" s="16"/>
      <c r="D603" s="16"/>
      <c r="E603" s="17"/>
      <c r="F603" s="21"/>
      <c r="G603" s="16"/>
      <c r="H603" s="16"/>
      <c r="I603" s="16"/>
      <c r="J603" s="17"/>
      <c r="K603" s="21"/>
      <c r="L603" s="16"/>
      <c r="M603" s="16"/>
      <c r="N603" s="17"/>
      <c r="O603" s="21"/>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row>
    <row r="604">
      <c r="A604" s="22"/>
      <c r="B604" s="21"/>
      <c r="C604" s="16"/>
      <c r="D604" s="16"/>
      <c r="E604" s="17"/>
      <c r="F604" s="21"/>
      <c r="G604" s="16"/>
      <c r="H604" s="16"/>
      <c r="I604" s="16"/>
      <c r="J604" s="17"/>
      <c r="K604" s="21"/>
      <c r="L604" s="16"/>
      <c r="M604" s="16"/>
      <c r="N604" s="17"/>
      <c r="O604" s="21"/>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row>
    <row r="605">
      <c r="A605" s="22"/>
      <c r="B605" s="21"/>
      <c r="C605" s="16"/>
      <c r="D605" s="16"/>
      <c r="E605" s="17"/>
      <c r="F605" s="21"/>
      <c r="G605" s="16"/>
      <c r="H605" s="16"/>
      <c r="I605" s="16"/>
      <c r="J605" s="17"/>
      <c r="K605" s="21"/>
      <c r="L605" s="16"/>
      <c r="M605" s="16"/>
      <c r="N605" s="17"/>
      <c r="O605" s="21"/>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row>
    <row r="606">
      <c r="A606" s="22"/>
      <c r="B606" s="21"/>
      <c r="C606" s="16"/>
      <c r="D606" s="16"/>
      <c r="E606" s="17"/>
      <c r="F606" s="21"/>
      <c r="G606" s="16"/>
      <c r="H606" s="16"/>
      <c r="I606" s="16"/>
      <c r="J606" s="17"/>
      <c r="K606" s="21"/>
      <c r="L606" s="16"/>
      <c r="M606" s="16"/>
      <c r="N606" s="17"/>
      <c r="O606" s="21"/>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row>
    <row r="607">
      <c r="A607" s="22"/>
      <c r="B607" s="21"/>
      <c r="C607" s="16"/>
      <c r="D607" s="16"/>
      <c r="E607" s="17"/>
      <c r="F607" s="21"/>
      <c r="G607" s="16"/>
      <c r="H607" s="16"/>
      <c r="I607" s="16"/>
      <c r="J607" s="17"/>
      <c r="K607" s="21"/>
      <c r="L607" s="16"/>
      <c r="M607" s="16"/>
      <c r="N607" s="17"/>
      <c r="O607" s="21"/>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row>
    <row r="608">
      <c r="A608" s="22"/>
      <c r="B608" s="21"/>
      <c r="C608" s="16"/>
      <c r="D608" s="16"/>
      <c r="E608" s="17"/>
      <c r="F608" s="21"/>
      <c r="G608" s="16"/>
      <c r="H608" s="16"/>
      <c r="I608" s="16"/>
      <c r="J608" s="17"/>
      <c r="K608" s="21"/>
      <c r="L608" s="16"/>
      <c r="M608" s="16"/>
      <c r="N608" s="17"/>
      <c r="O608" s="21"/>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row>
    <row r="609">
      <c r="A609" s="22"/>
      <c r="B609" s="21"/>
      <c r="C609" s="16"/>
      <c r="D609" s="16"/>
      <c r="E609" s="17"/>
      <c r="F609" s="21"/>
      <c r="G609" s="16"/>
      <c r="H609" s="16"/>
      <c r="I609" s="16"/>
      <c r="J609" s="17"/>
      <c r="K609" s="21"/>
      <c r="L609" s="16"/>
      <c r="M609" s="16"/>
      <c r="N609" s="17"/>
      <c r="O609" s="21"/>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row>
    <row r="610">
      <c r="A610" s="22"/>
      <c r="B610" s="21"/>
      <c r="C610" s="16"/>
      <c r="D610" s="16"/>
      <c r="E610" s="17"/>
      <c r="F610" s="21"/>
      <c r="G610" s="16"/>
      <c r="H610" s="16"/>
      <c r="I610" s="16"/>
      <c r="J610" s="17"/>
      <c r="K610" s="21"/>
      <c r="L610" s="16"/>
      <c r="M610" s="16"/>
      <c r="N610" s="17"/>
      <c r="O610" s="21"/>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row>
    <row r="611">
      <c r="A611" s="22"/>
      <c r="B611" s="21"/>
      <c r="C611" s="16"/>
      <c r="D611" s="16"/>
      <c r="E611" s="17"/>
      <c r="F611" s="21"/>
      <c r="G611" s="16"/>
      <c r="H611" s="16"/>
      <c r="I611" s="16"/>
      <c r="J611" s="17"/>
      <c r="K611" s="21"/>
      <c r="L611" s="16"/>
      <c r="M611" s="16"/>
      <c r="N611" s="17"/>
      <c r="O611" s="21"/>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row>
    <row r="612">
      <c r="A612" s="22"/>
      <c r="B612" s="21"/>
      <c r="C612" s="16"/>
      <c r="D612" s="16"/>
      <c r="E612" s="17"/>
      <c r="F612" s="21"/>
      <c r="G612" s="16"/>
      <c r="H612" s="16"/>
      <c r="I612" s="16"/>
      <c r="J612" s="17"/>
      <c r="K612" s="21"/>
      <c r="L612" s="16"/>
      <c r="M612" s="16"/>
      <c r="N612" s="17"/>
      <c r="O612" s="21"/>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row>
    <row r="613">
      <c r="A613" s="22"/>
      <c r="B613" s="21"/>
      <c r="C613" s="16"/>
      <c r="D613" s="16"/>
      <c r="E613" s="17"/>
      <c r="F613" s="21"/>
      <c r="G613" s="16"/>
      <c r="H613" s="16"/>
      <c r="I613" s="16"/>
      <c r="J613" s="17"/>
      <c r="K613" s="21"/>
      <c r="L613" s="16"/>
      <c r="M613" s="16"/>
      <c r="N613" s="17"/>
      <c r="O613" s="21"/>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row>
    <row r="614">
      <c r="A614" s="22"/>
      <c r="B614" s="21"/>
      <c r="C614" s="16"/>
      <c r="D614" s="16"/>
      <c r="E614" s="17"/>
      <c r="F614" s="21"/>
      <c r="G614" s="16"/>
      <c r="H614" s="16"/>
      <c r="I614" s="16"/>
      <c r="J614" s="17"/>
      <c r="K614" s="21"/>
      <c r="L614" s="16"/>
      <c r="M614" s="16"/>
      <c r="N614" s="17"/>
      <c r="O614" s="21"/>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row>
    <row r="615">
      <c r="A615" s="22"/>
      <c r="B615" s="21"/>
      <c r="C615" s="16"/>
      <c r="D615" s="16"/>
      <c r="E615" s="17"/>
      <c r="F615" s="21"/>
      <c r="G615" s="16"/>
      <c r="H615" s="16"/>
      <c r="I615" s="16"/>
      <c r="J615" s="17"/>
      <c r="K615" s="21"/>
      <c r="L615" s="16"/>
      <c r="M615" s="16"/>
      <c r="N615" s="17"/>
      <c r="O615" s="21"/>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row>
    <row r="616">
      <c r="A616" s="22"/>
      <c r="B616" s="21"/>
      <c r="C616" s="16"/>
      <c r="D616" s="16"/>
      <c r="E616" s="17"/>
      <c r="F616" s="21"/>
      <c r="G616" s="16"/>
      <c r="H616" s="16"/>
      <c r="I616" s="16"/>
      <c r="J616" s="17"/>
      <c r="K616" s="21"/>
      <c r="L616" s="16"/>
      <c r="M616" s="16"/>
      <c r="N616" s="17"/>
      <c r="O616" s="21"/>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row>
    <row r="617">
      <c r="A617" s="22"/>
      <c r="B617" s="21"/>
      <c r="C617" s="16"/>
      <c r="D617" s="16"/>
      <c r="E617" s="17"/>
      <c r="F617" s="21"/>
      <c r="G617" s="16"/>
      <c r="H617" s="16"/>
      <c r="I617" s="16"/>
      <c r="J617" s="17"/>
      <c r="K617" s="21"/>
      <c r="L617" s="16"/>
      <c r="M617" s="16"/>
      <c r="N617" s="17"/>
      <c r="O617" s="21"/>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row>
    <row r="618">
      <c r="A618" s="22"/>
      <c r="B618" s="21"/>
      <c r="C618" s="16"/>
      <c r="D618" s="16"/>
      <c r="E618" s="17"/>
      <c r="F618" s="21"/>
      <c r="G618" s="16"/>
      <c r="H618" s="16"/>
      <c r="I618" s="16"/>
      <c r="J618" s="17"/>
      <c r="K618" s="21"/>
      <c r="L618" s="16"/>
      <c r="M618" s="16"/>
      <c r="N618" s="17"/>
      <c r="O618" s="21"/>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row>
    <row r="619">
      <c r="A619" s="22"/>
      <c r="B619" s="21"/>
      <c r="C619" s="16"/>
      <c r="D619" s="16"/>
      <c r="E619" s="17"/>
      <c r="F619" s="21"/>
      <c r="G619" s="16"/>
      <c r="H619" s="16"/>
      <c r="I619" s="16"/>
      <c r="J619" s="17"/>
      <c r="K619" s="21"/>
      <c r="L619" s="16"/>
      <c r="M619" s="16"/>
      <c r="N619" s="17"/>
      <c r="O619" s="21"/>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row>
    <row r="620">
      <c r="A620" s="22"/>
      <c r="B620" s="21"/>
      <c r="C620" s="16"/>
      <c r="D620" s="16"/>
      <c r="E620" s="17"/>
      <c r="F620" s="21"/>
      <c r="G620" s="16"/>
      <c r="H620" s="16"/>
      <c r="I620" s="16"/>
      <c r="J620" s="17"/>
      <c r="K620" s="21"/>
      <c r="L620" s="16"/>
      <c r="M620" s="16"/>
      <c r="N620" s="17"/>
      <c r="O620" s="21"/>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row>
    <row r="621">
      <c r="A621" s="22"/>
      <c r="B621" s="21"/>
      <c r="C621" s="16"/>
      <c r="D621" s="16"/>
      <c r="E621" s="17"/>
      <c r="F621" s="21"/>
      <c r="G621" s="16"/>
      <c r="H621" s="16"/>
      <c r="I621" s="16"/>
      <c r="J621" s="17"/>
      <c r="K621" s="21"/>
      <c r="L621" s="16"/>
      <c r="M621" s="16"/>
      <c r="N621" s="17"/>
      <c r="O621" s="21"/>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row>
    <row r="622">
      <c r="A622" s="22"/>
      <c r="B622" s="21"/>
      <c r="C622" s="16"/>
      <c r="D622" s="16"/>
      <c r="E622" s="17"/>
      <c r="F622" s="21"/>
      <c r="G622" s="16"/>
      <c r="H622" s="16"/>
      <c r="I622" s="16"/>
      <c r="J622" s="17"/>
      <c r="K622" s="21"/>
      <c r="L622" s="16"/>
      <c r="M622" s="16"/>
      <c r="N622" s="17"/>
      <c r="O622" s="21"/>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row>
    <row r="623">
      <c r="A623" s="22"/>
      <c r="B623" s="21"/>
      <c r="C623" s="16"/>
      <c r="D623" s="16"/>
      <c r="E623" s="17"/>
      <c r="F623" s="21"/>
      <c r="G623" s="16"/>
      <c r="H623" s="16"/>
      <c r="I623" s="16"/>
      <c r="J623" s="17"/>
      <c r="K623" s="21"/>
      <c r="L623" s="16"/>
      <c r="M623" s="16"/>
      <c r="N623" s="17"/>
      <c r="O623" s="21"/>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row>
    <row r="624">
      <c r="A624" s="22"/>
      <c r="B624" s="21"/>
      <c r="C624" s="16"/>
      <c r="D624" s="16"/>
      <c r="E624" s="17"/>
      <c r="F624" s="21"/>
      <c r="G624" s="16"/>
      <c r="H624" s="16"/>
      <c r="I624" s="16"/>
      <c r="J624" s="17"/>
      <c r="K624" s="21"/>
      <c r="L624" s="16"/>
      <c r="M624" s="16"/>
      <c r="N624" s="17"/>
      <c r="O624" s="21"/>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row>
    <row r="625">
      <c r="A625" s="22"/>
      <c r="B625" s="21"/>
      <c r="C625" s="16"/>
      <c r="D625" s="16"/>
      <c r="E625" s="17"/>
      <c r="F625" s="21"/>
      <c r="G625" s="16"/>
      <c r="H625" s="16"/>
      <c r="I625" s="16"/>
      <c r="J625" s="17"/>
      <c r="K625" s="21"/>
      <c r="L625" s="16"/>
      <c r="M625" s="16"/>
      <c r="N625" s="17"/>
      <c r="O625" s="21"/>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row>
    <row r="626">
      <c r="A626" s="22"/>
      <c r="B626" s="21"/>
      <c r="C626" s="16"/>
      <c r="D626" s="16"/>
      <c r="E626" s="17"/>
      <c r="F626" s="21"/>
      <c r="G626" s="16"/>
      <c r="H626" s="16"/>
      <c r="I626" s="16"/>
      <c r="J626" s="17"/>
      <c r="K626" s="21"/>
      <c r="L626" s="16"/>
      <c r="M626" s="16"/>
      <c r="N626" s="17"/>
      <c r="O626" s="21"/>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row>
    <row r="627">
      <c r="A627" s="22"/>
      <c r="B627" s="21"/>
      <c r="C627" s="16"/>
      <c r="D627" s="16"/>
      <c r="E627" s="17"/>
      <c r="F627" s="21"/>
      <c r="G627" s="16"/>
      <c r="H627" s="16"/>
      <c r="I627" s="16"/>
      <c r="J627" s="17"/>
      <c r="K627" s="21"/>
      <c r="L627" s="16"/>
      <c r="M627" s="16"/>
      <c r="N627" s="17"/>
      <c r="O627" s="21"/>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row>
    <row r="628">
      <c r="A628" s="22"/>
      <c r="B628" s="21"/>
      <c r="C628" s="16"/>
      <c r="D628" s="16"/>
      <c r="E628" s="17"/>
      <c r="F628" s="21"/>
      <c r="G628" s="16"/>
      <c r="H628" s="16"/>
      <c r="I628" s="16"/>
      <c r="J628" s="17"/>
      <c r="K628" s="21"/>
      <c r="L628" s="16"/>
      <c r="M628" s="16"/>
      <c r="N628" s="17"/>
      <c r="O628" s="21"/>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row>
    <row r="629">
      <c r="A629" s="22"/>
      <c r="B629" s="21"/>
      <c r="C629" s="16"/>
      <c r="D629" s="16"/>
      <c r="E629" s="17"/>
      <c r="F629" s="21"/>
      <c r="G629" s="16"/>
      <c r="H629" s="16"/>
      <c r="I629" s="16"/>
      <c r="J629" s="17"/>
      <c r="K629" s="21"/>
      <c r="L629" s="16"/>
      <c r="M629" s="16"/>
      <c r="N629" s="17"/>
      <c r="O629" s="21"/>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row>
    <row r="630">
      <c r="A630" s="22"/>
      <c r="B630" s="21"/>
      <c r="C630" s="16"/>
      <c r="D630" s="16"/>
      <c r="E630" s="17"/>
      <c r="F630" s="21"/>
      <c r="G630" s="16"/>
      <c r="H630" s="16"/>
      <c r="I630" s="16"/>
      <c r="J630" s="17"/>
      <c r="K630" s="21"/>
      <c r="L630" s="16"/>
      <c r="M630" s="16"/>
      <c r="N630" s="17"/>
      <c r="O630" s="21"/>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row>
    <row r="631">
      <c r="A631" s="22"/>
      <c r="B631" s="21"/>
      <c r="C631" s="16"/>
      <c r="D631" s="16"/>
      <c r="E631" s="17"/>
      <c r="F631" s="21"/>
      <c r="G631" s="16"/>
      <c r="H631" s="16"/>
      <c r="I631" s="16"/>
      <c r="J631" s="17"/>
      <c r="K631" s="21"/>
      <c r="L631" s="16"/>
      <c r="M631" s="16"/>
      <c r="N631" s="17"/>
      <c r="O631" s="21"/>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row>
    <row r="632">
      <c r="A632" s="22"/>
      <c r="B632" s="21"/>
      <c r="C632" s="16"/>
      <c r="D632" s="16"/>
      <c r="E632" s="17"/>
      <c r="F632" s="21"/>
      <c r="G632" s="16"/>
      <c r="H632" s="16"/>
      <c r="I632" s="16"/>
      <c r="J632" s="17"/>
      <c r="K632" s="21"/>
      <c r="L632" s="16"/>
      <c r="M632" s="16"/>
      <c r="N632" s="17"/>
      <c r="O632" s="21"/>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row>
    <row r="633">
      <c r="A633" s="22"/>
      <c r="B633" s="21"/>
      <c r="C633" s="16"/>
      <c r="D633" s="16"/>
      <c r="E633" s="17"/>
      <c r="F633" s="21"/>
      <c r="G633" s="16"/>
      <c r="H633" s="16"/>
      <c r="I633" s="16"/>
      <c r="J633" s="17"/>
      <c r="K633" s="21"/>
      <c r="L633" s="16"/>
      <c r="M633" s="16"/>
      <c r="N633" s="17"/>
      <c r="O633" s="21"/>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row>
    <row r="634">
      <c r="A634" s="22"/>
      <c r="B634" s="21"/>
      <c r="C634" s="16"/>
      <c r="D634" s="16"/>
      <c r="E634" s="17"/>
      <c r="F634" s="21"/>
      <c r="G634" s="16"/>
      <c r="H634" s="16"/>
      <c r="I634" s="16"/>
      <c r="J634" s="17"/>
      <c r="K634" s="21"/>
      <c r="L634" s="16"/>
      <c r="M634" s="16"/>
      <c r="N634" s="17"/>
      <c r="O634" s="21"/>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row>
    <row r="635">
      <c r="A635" s="22"/>
      <c r="B635" s="21"/>
      <c r="C635" s="16"/>
      <c r="D635" s="16"/>
      <c r="E635" s="17"/>
      <c r="F635" s="21"/>
      <c r="G635" s="16"/>
      <c r="H635" s="16"/>
      <c r="I635" s="16"/>
      <c r="J635" s="17"/>
      <c r="K635" s="21"/>
      <c r="L635" s="16"/>
      <c r="M635" s="16"/>
      <c r="N635" s="17"/>
      <c r="O635" s="21"/>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row>
    <row r="636">
      <c r="A636" s="22"/>
      <c r="B636" s="21"/>
      <c r="C636" s="16"/>
      <c r="D636" s="16"/>
      <c r="E636" s="17"/>
      <c r="F636" s="21"/>
      <c r="G636" s="16"/>
      <c r="H636" s="16"/>
      <c r="I636" s="16"/>
      <c r="J636" s="17"/>
      <c r="K636" s="21"/>
      <c r="L636" s="16"/>
      <c r="M636" s="16"/>
      <c r="N636" s="17"/>
      <c r="O636" s="21"/>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row>
    <row r="637">
      <c r="A637" s="22"/>
      <c r="B637" s="21"/>
      <c r="C637" s="16"/>
      <c r="D637" s="16"/>
      <c r="E637" s="17"/>
      <c r="F637" s="21"/>
      <c r="G637" s="16"/>
      <c r="H637" s="16"/>
      <c r="I637" s="16"/>
      <c r="J637" s="17"/>
      <c r="K637" s="21"/>
      <c r="L637" s="16"/>
      <c r="M637" s="16"/>
      <c r="N637" s="17"/>
      <c r="O637" s="21"/>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row>
    <row r="638">
      <c r="A638" s="22"/>
      <c r="B638" s="21"/>
      <c r="C638" s="16"/>
      <c r="D638" s="16"/>
      <c r="E638" s="17"/>
      <c r="F638" s="21"/>
      <c r="G638" s="16"/>
      <c r="H638" s="16"/>
      <c r="I638" s="16"/>
      <c r="J638" s="17"/>
      <c r="K638" s="21"/>
      <c r="L638" s="16"/>
      <c r="M638" s="16"/>
      <c r="N638" s="17"/>
      <c r="O638" s="21"/>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row>
    <row r="639">
      <c r="A639" s="22"/>
      <c r="B639" s="21"/>
      <c r="C639" s="16"/>
      <c r="D639" s="16"/>
      <c r="E639" s="17"/>
      <c r="F639" s="21"/>
      <c r="G639" s="16"/>
      <c r="H639" s="16"/>
      <c r="I639" s="16"/>
      <c r="J639" s="17"/>
      <c r="K639" s="21"/>
      <c r="L639" s="16"/>
      <c r="M639" s="16"/>
      <c r="N639" s="17"/>
      <c r="O639" s="21"/>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row>
    <row r="640">
      <c r="A640" s="22"/>
      <c r="B640" s="21"/>
      <c r="C640" s="16"/>
      <c r="D640" s="16"/>
      <c r="E640" s="17"/>
      <c r="F640" s="21"/>
      <c r="G640" s="16"/>
      <c r="H640" s="16"/>
      <c r="I640" s="16"/>
      <c r="J640" s="17"/>
      <c r="K640" s="21"/>
      <c r="L640" s="16"/>
      <c r="M640" s="16"/>
      <c r="N640" s="17"/>
      <c r="O640" s="21"/>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row>
    <row r="641">
      <c r="A641" s="22"/>
      <c r="B641" s="21"/>
      <c r="C641" s="16"/>
      <c r="D641" s="16"/>
      <c r="E641" s="17"/>
      <c r="F641" s="21"/>
      <c r="G641" s="16"/>
      <c r="H641" s="16"/>
      <c r="I641" s="16"/>
      <c r="J641" s="17"/>
      <c r="K641" s="21"/>
      <c r="L641" s="16"/>
      <c r="M641" s="16"/>
      <c r="N641" s="17"/>
      <c r="O641" s="21"/>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row>
    <row r="642">
      <c r="A642" s="22"/>
      <c r="B642" s="21"/>
      <c r="C642" s="16"/>
      <c r="D642" s="16"/>
      <c r="E642" s="17"/>
      <c r="F642" s="21"/>
      <c r="G642" s="16"/>
      <c r="H642" s="16"/>
      <c r="I642" s="16"/>
      <c r="J642" s="17"/>
      <c r="K642" s="21"/>
      <c r="L642" s="16"/>
      <c r="M642" s="16"/>
      <c r="N642" s="17"/>
      <c r="O642" s="21"/>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row>
    <row r="643">
      <c r="A643" s="22"/>
      <c r="B643" s="21"/>
      <c r="C643" s="16"/>
      <c r="D643" s="16"/>
      <c r="E643" s="17"/>
      <c r="F643" s="21"/>
      <c r="G643" s="16"/>
      <c r="H643" s="16"/>
      <c r="I643" s="16"/>
      <c r="J643" s="17"/>
      <c r="K643" s="21"/>
      <c r="L643" s="16"/>
      <c r="M643" s="16"/>
      <c r="N643" s="17"/>
      <c r="O643" s="21"/>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row>
    <row r="644">
      <c r="A644" s="22"/>
      <c r="B644" s="21"/>
      <c r="C644" s="16"/>
      <c r="D644" s="16"/>
      <c r="E644" s="17"/>
      <c r="F644" s="21"/>
      <c r="G644" s="16"/>
      <c r="H644" s="16"/>
      <c r="I644" s="16"/>
      <c r="J644" s="17"/>
      <c r="K644" s="21"/>
      <c r="L644" s="16"/>
      <c r="M644" s="16"/>
      <c r="N644" s="17"/>
      <c r="O644" s="21"/>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row>
    <row r="645">
      <c r="A645" s="22"/>
      <c r="B645" s="21"/>
      <c r="C645" s="16"/>
      <c r="D645" s="16"/>
      <c r="E645" s="17"/>
      <c r="F645" s="21"/>
      <c r="G645" s="16"/>
      <c r="H645" s="16"/>
      <c r="I645" s="16"/>
      <c r="J645" s="17"/>
      <c r="K645" s="21"/>
      <c r="L645" s="16"/>
      <c r="M645" s="16"/>
      <c r="N645" s="17"/>
      <c r="O645" s="21"/>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row>
    <row r="646">
      <c r="A646" s="22"/>
      <c r="B646" s="21"/>
      <c r="C646" s="16"/>
      <c r="D646" s="16"/>
      <c r="E646" s="17"/>
      <c r="F646" s="21"/>
      <c r="G646" s="16"/>
      <c r="H646" s="16"/>
      <c r="I646" s="16"/>
      <c r="J646" s="17"/>
      <c r="K646" s="21"/>
      <c r="L646" s="16"/>
      <c r="M646" s="16"/>
      <c r="N646" s="17"/>
      <c r="O646" s="21"/>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row>
    <row r="647">
      <c r="A647" s="22"/>
      <c r="B647" s="21"/>
      <c r="C647" s="16"/>
      <c r="D647" s="16"/>
      <c r="E647" s="17"/>
      <c r="F647" s="21"/>
      <c r="G647" s="16"/>
      <c r="H647" s="16"/>
      <c r="I647" s="16"/>
      <c r="J647" s="17"/>
      <c r="K647" s="21"/>
      <c r="L647" s="16"/>
      <c r="M647" s="16"/>
      <c r="N647" s="17"/>
      <c r="O647" s="21"/>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row>
    <row r="648">
      <c r="A648" s="22"/>
      <c r="B648" s="21"/>
      <c r="C648" s="16"/>
      <c r="D648" s="16"/>
      <c r="E648" s="17"/>
      <c r="F648" s="21"/>
      <c r="G648" s="16"/>
      <c r="H648" s="16"/>
      <c r="I648" s="16"/>
      <c r="J648" s="17"/>
      <c r="K648" s="21"/>
      <c r="L648" s="16"/>
      <c r="M648" s="16"/>
      <c r="N648" s="17"/>
      <c r="O648" s="21"/>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row>
    <row r="649">
      <c r="A649" s="22"/>
      <c r="B649" s="21"/>
      <c r="C649" s="16"/>
      <c r="D649" s="16"/>
      <c r="E649" s="17"/>
      <c r="F649" s="21"/>
      <c r="G649" s="16"/>
      <c r="H649" s="16"/>
      <c r="I649" s="16"/>
      <c r="J649" s="17"/>
      <c r="K649" s="21"/>
      <c r="L649" s="16"/>
      <c r="M649" s="16"/>
      <c r="N649" s="17"/>
      <c r="O649" s="21"/>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row>
    <row r="650">
      <c r="A650" s="22"/>
      <c r="B650" s="21"/>
      <c r="C650" s="16"/>
      <c r="D650" s="16"/>
      <c r="E650" s="17"/>
      <c r="F650" s="21"/>
      <c r="G650" s="16"/>
      <c r="H650" s="16"/>
      <c r="I650" s="16"/>
      <c r="J650" s="17"/>
      <c r="K650" s="21"/>
      <c r="L650" s="16"/>
      <c r="M650" s="16"/>
      <c r="N650" s="17"/>
      <c r="O650" s="21"/>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row>
    <row r="651">
      <c r="A651" s="22"/>
      <c r="B651" s="21"/>
      <c r="C651" s="16"/>
      <c r="D651" s="16"/>
      <c r="E651" s="17"/>
      <c r="F651" s="21"/>
      <c r="G651" s="16"/>
      <c r="H651" s="16"/>
      <c r="I651" s="16"/>
      <c r="J651" s="17"/>
      <c r="K651" s="21"/>
      <c r="L651" s="16"/>
      <c r="M651" s="16"/>
      <c r="N651" s="17"/>
      <c r="O651" s="21"/>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row>
    <row r="652">
      <c r="A652" s="22"/>
      <c r="B652" s="21"/>
      <c r="C652" s="16"/>
      <c r="D652" s="16"/>
      <c r="E652" s="17"/>
      <c r="F652" s="21"/>
      <c r="G652" s="16"/>
      <c r="H652" s="16"/>
      <c r="I652" s="16"/>
      <c r="J652" s="17"/>
      <c r="K652" s="21"/>
      <c r="L652" s="16"/>
      <c r="M652" s="16"/>
      <c r="N652" s="17"/>
      <c r="O652" s="21"/>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row>
    <row r="653">
      <c r="A653" s="22"/>
      <c r="B653" s="21"/>
      <c r="C653" s="16"/>
      <c r="D653" s="16"/>
      <c r="E653" s="17"/>
      <c r="F653" s="21"/>
      <c r="G653" s="16"/>
      <c r="H653" s="16"/>
      <c r="I653" s="16"/>
      <c r="J653" s="17"/>
      <c r="K653" s="21"/>
      <c r="L653" s="16"/>
      <c r="M653" s="16"/>
      <c r="N653" s="17"/>
      <c r="O653" s="21"/>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row>
    <row r="654">
      <c r="A654" s="22"/>
      <c r="B654" s="21"/>
      <c r="C654" s="16"/>
      <c r="D654" s="16"/>
      <c r="E654" s="17"/>
      <c r="F654" s="21"/>
      <c r="G654" s="16"/>
      <c r="H654" s="16"/>
      <c r="I654" s="16"/>
      <c r="J654" s="17"/>
      <c r="K654" s="21"/>
      <c r="L654" s="16"/>
      <c r="M654" s="16"/>
      <c r="N654" s="17"/>
      <c r="O654" s="21"/>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row>
    <row r="655">
      <c r="A655" s="22"/>
      <c r="B655" s="21"/>
      <c r="C655" s="16"/>
      <c r="D655" s="16"/>
      <c r="E655" s="17"/>
      <c r="F655" s="21"/>
      <c r="G655" s="16"/>
      <c r="H655" s="16"/>
      <c r="I655" s="16"/>
      <c r="J655" s="17"/>
      <c r="K655" s="21"/>
      <c r="L655" s="16"/>
      <c r="M655" s="16"/>
      <c r="N655" s="17"/>
      <c r="O655" s="21"/>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row>
    <row r="656">
      <c r="A656" s="22"/>
      <c r="B656" s="21"/>
      <c r="C656" s="16"/>
      <c r="D656" s="16"/>
      <c r="E656" s="17"/>
      <c r="F656" s="21"/>
      <c r="G656" s="16"/>
      <c r="H656" s="16"/>
      <c r="I656" s="16"/>
      <c r="J656" s="17"/>
      <c r="K656" s="21"/>
      <c r="L656" s="16"/>
      <c r="M656" s="16"/>
      <c r="N656" s="17"/>
      <c r="O656" s="21"/>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row>
    <row r="657">
      <c r="A657" s="22"/>
      <c r="B657" s="21"/>
      <c r="C657" s="16"/>
      <c r="D657" s="16"/>
      <c r="E657" s="17"/>
      <c r="F657" s="21"/>
      <c r="G657" s="16"/>
      <c r="H657" s="16"/>
      <c r="I657" s="16"/>
      <c r="J657" s="17"/>
      <c r="K657" s="21"/>
      <c r="L657" s="16"/>
      <c r="M657" s="16"/>
      <c r="N657" s="17"/>
      <c r="O657" s="21"/>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row>
    <row r="658">
      <c r="A658" s="22"/>
      <c r="B658" s="21"/>
      <c r="C658" s="16"/>
      <c r="D658" s="16"/>
      <c r="E658" s="17"/>
      <c r="F658" s="21"/>
      <c r="G658" s="16"/>
      <c r="H658" s="16"/>
      <c r="I658" s="16"/>
      <c r="J658" s="17"/>
      <c r="K658" s="21"/>
      <c r="L658" s="16"/>
      <c r="M658" s="16"/>
      <c r="N658" s="17"/>
      <c r="O658" s="21"/>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row>
    <row r="659">
      <c r="A659" s="22"/>
      <c r="B659" s="21"/>
      <c r="C659" s="16"/>
      <c r="D659" s="16"/>
      <c r="E659" s="17"/>
      <c r="F659" s="21"/>
      <c r="G659" s="16"/>
      <c r="H659" s="16"/>
      <c r="I659" s="16"/>
      <c r="J659" s="17"/>
      <c r="K659" s="21"/>
      <c r="L659" s="16"/>
      <c r="M659" s="16"/>
      <c r="N659" s="17"/>
      <c r="O659" s="21"/>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row>
    <row r="660">
      <c r="A660" s="22"/>
      <c r="B660" s="21"/>
      <c r="C660" s="16"/>
      <c r="D660" s="16"/>
      <c r="E660" s="17"/>
      <c r="F660" s="21"/>
      <c r="G660" s="16"/>
      <c r="H660" s="16"/>
      <c r="I660" s="16"/>
      <c r="J660" s="17"/>
      <c r="K660" s="21"/>
      <c r="L660" s="16"/>
      <c r="M660" s="16"/>
      <c r="N660" s="17"/>
      <c r="O660" s="21"/>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row>
    <row r="661">
      <c r="A661" s="22"/>
      <c r="B661" s="21"/>
      <c r="C661" s="16"/>
      <c r="D661" s="16"/>
      <c r="E661" s="17"/>
      <c r="F661" s="21"/>
      <c r="G661" s="16"/>
      <c r="H661" s="16"/>
      <c r="I661" s="16"/>
      <c r="J661" s="17"/>
      <c r="K661" s="21"/>
      <c r="L661" s="16"/>
      <c r="M661" s="16"/>
      <c r="N661" s="17"/>
      <c r="O661" s="21"/>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row>
    <row r="662">
      <c r="A662" s="22"/>
      <c r="B662" s="21"/>
      <c r="C662" s="16"/>
      <c r="D662" s="16"/>
      <c r="E662" s="17"/>
      <c r="F662" s="21"/>
      <c r="G662" s="16"/>
      <c r="H662" s="16"/>
      <c r="I662" s="16"/>
      <c r="J662" s="17"/>
      <c r="K662" s="21"/>
      <c r="L662" s="16"/>
      <c r="M662" s="16"/>
      <c r="N662" s="17"/>
      <c r="O662" s="21"/>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row>
    <row r="663">
      <c r="A663" s="22"/>
      <c r="B663" s="21"/>
      <c r="C663" s="16"/>
      <c r="D663" s="16"/>
      <c r="E663" s="17"/>
      <c r="F663" s="21"/>
      <c r="G663" s="16"/>
      <c r="H663" s="16"/>
      <c r="I663" s="16"/>
      <c r="J663" s="17"/>
      <c r="K663" s="21"/>
      <c r="L663" s="16"/>
      <c r="M663" s="16"/>
      <c r="N663" s="17"/>
      <c r="O663" s="21"/>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row>
    <row r="664">
      <c r="A664" s="22"/>
      <c r="B664" s="21"/>
      <c r="C664" s="16"/>
      <c r="D664" s="16"/>
      <c r="E664" s="17"/>
      <c r="F664" s="21"/>
      <c r="G664" s="16"/>
      <c r="H664" s="16"/>
      <c r="I664" s="16"/>
      <c r="J664" s="17"/>
      <c r="K664" s="21"/>
      <c r="L664" s="16"/>
      <c r="M664" s="16"/>
      <c r="N664" s="17"/>
      <c r="O664" s="21"/>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row>
    <row r="665">
      <c r="A665" s="22"/>
      <c r="B665" s="21"/>
      <c r="C665" s="16"/>
      <c r="D665" s="16"/>
      <c r="E665" s="17"/>
      <c r="F665" s="21"/>
      <c r="G665" s="16"/>
      <c r="H665" s="16"/>
      <c r="I665" s="16"/>
      <c r="J665" s="17"/>
      <c r="K665" s="21"/>
      <c r="L665" s="16"/>
      <c r="M665" s="16"/>
      <c r="N665" s="17"/>
      <c r="O665" s="21"/>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row>
    <row r="666">
      <c r="A666" s="22"/>
      <c r="B666" s="21"/>
      <c r="C666" s="16"/>
      <c r="D666" s="16"/>
      <c r="E666" s="17"/>
      <c r="F666" s="21"/>
      <c r="G666" s="16"/>
      <c r="H666" s="16"/>
      <c r="I666" s="16"/>
      <c r="J666" s="17"/>
      <c r="K666" s="21"/>
      <c r="L666" s="16"/>
      <c r="M666" s="16"/>
      <c r="N666" s="17"/>
      <c r="O666" s="21"/>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row>
    <row r="667">
      <c r="A667" s="22"/>
      <c r="B667" s="21"/>
      <c r="C667" s="16"/>
      <c r="D667" s="16"/>
      <c r="E667" s="17"/>
      <c r="F667" s="21"/>
      <c r="G667" s="16"/>
      <c r="H667" s="16"/>
      <c r="I667" s="16"/>
      <c r="J667" s="17"/>
      <c r="K667" s="21"/>
      <c r="L667" s="16"/>
      <c r="M667" s="16"/>
      <c r="N667" s="17"/>
      <c r="O667" s="21"/>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row>
    <row r="668">
      <c r="A668" s="22"/>
      <c r="B668" s="21"/>
      <c r="C668" s="16"/>
      <c r="D668" s="16"/>
      <c r="E668" s="17"/>
      <c r="F668" s="21"/>
      <c r="G668" s="16"/>
      <c r="H668" s="16"/>
      <c r="I668" s="16"/>
      <c r="J668" s="17"/>
      <c r="K668" s="21"/>
      <c r="L668" s="16"/>
      <c r="M668" s="16"/>
      <c r="N668" s="17"/>
      <c r="O668" s="21"/>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row>
    <row r="669">
      <c r="A669" s="22"/>
      <c r="B669" s="21"/>
      <c r="C669" s="16"/>
      <c r="D669" s="16"/>
      <c r="E669" s="17"/>
      <c r="F669" s="21"/>
      <c r="G669" s="16"/>
      <c r="H669" s="16"/>
      <c r="I669" s="16"/>
      <c r="J669" s="17"/>
      <c r="K669" s="21"/>
      <c r="L669" s="16"/>
      <c r="M669" s="16"/>
      <c r="N669" s="17"/>
      <c r="O669" s="21"/>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row>
    <row r="670">
      <c r="A670" s="22"/>
      <c r="B670" s="21"/>
      <c r="C670" s="16"/>
      <c r="D670" s="16"/>
      <c r="E670" s="17"/>
      <c r="F670" s="21"/>
      <c r="G670" s="16"/>
      <c r="H670" s="16"/>
      <c r="I670" s="16"/>
      <c r="J670" s="17"/>
      <c r="K670" s="21"/>
      <c r="L670" s="16"/>
      <c r="M670" s="16"/>
      <c r="N670" s="17"/>
      <c r="O670" s="21"/>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row>
    <row r="671">
      <c r="A671" s="22"/>
      <c r="B671" s="21"/>
      <c r="C671" s="16"/>
      <c r="D671" s="16"/>
      <c r="E671" s="17"/>
      <c r="F671" s="21"/>
      <c r="G671" s="16"/>
      <c r="H671" s="16"/>
      <c r="I671" s="16"/>
      <c r="J671" s="17"/>
      <c r="K671" s="21"/>
      <c r="L671" s="16"/>
      <c r="M671" s="16"/>
      <c r="N671" s="17"/>
      <c r="O671" s="21"/>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row>
    <row r="672">
      <c r="A672" s="22"/>
      <c r="B672" s="21"/>
      <c r="C672" s="16"/>
      <c r="D672" s="16"/>
      <c r="E672" s="17"/>
      <c r="F672" s="21"/>
      <c r="G672" s="16"/>
      <c r="H672" s="16"/>
      <c r="I672" s="16"/>
      <c r="J672" s="17"/>
      <c r="K672" s="21"/>
      <c r="L672" s="16"/>
      <c r="M672" s="16"/>
      <c r="N672" s="17"/>
      <c r="O672" s="21"/>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row>
    <row r="673">
      <c r="A673" s="22"/>
      <c r="B673" s="21"/>
      <c r="C673" s="16"/>
      <c r="D673" s="16"/>
      <c r="E673" s="17"/>
      <c r="F673" s="21"/>
      <c r="G673" s="16"/>
      <c r="H673" s="16"/>
      <c r="I673" s="16"/>
      <c r="J673" s="17"/>
      <c r="K673" s="21"/>
      <c r="L673" s="16"/>
      <c r="M673" s="16"/>
      <c r="N673" s="17"/>
      <c r="O673" s="21"/>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row>
    <row r="674">
      <c r="A674" s="22"/>
      <c r="B674" s="21"/>
      <c r="C674" s="16"/>
      <c r="D674" s="16"/>
      <c r="E674" s="17"/>
      <c r="F674" s="21"/>
      <c r="G674" s="16"/>
      <c r="H674" s="16"/>
      <c r="I674" s="16"/>
      <c r="J674" s="17"/>
      <c r="K674" s="21"/>
      <c r="L674" s="16"/>
      <c r="M674" s="16"/>
      <c r="N674" s="17"/>
      <c r="O674" s="21"/>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row>
    <row r="675">
      <c r="A675" s="22"/>
      <c r="B675" s="21"/>
      <c r="C675" s="16"/>
      <c r="D675" s="16"/>
      <c r="E675" s="17"/>
      <c r="F675" s="21"/>
      <c r="G675" s="16"/>
      <c r="H675" s="16"/>
      <c r="I675" s="16"/>
      <c r="J675" s="17"/>
      <c r="K675" s="21"/>
      <c r="L675" s="16"/>
      <c r="M675" s="16"/>
      <c r="N675" s="17"/>
      <c r="O675" s="21"/>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row>
    <row r="676">
      <c r="A676" s="22"/>
      <c r="B676" s="21"/>
      <c r="C676" s="16"/>
      <c r="D676" s="16"/>
      <c r="E676" s="17"/>
      <c r="F676" s="21"/>
      <c r="G676" s="16"/>
      <c r="H676" s="16"/>
      <c r="I676" s="16"/>
      <c r="J676" s="17"/>
      <c r="K676" s="21"/>
      <c r="L676" s="16"/>
      <c r="M676" s="16"/>
      <c r="N676" s="17"/>
      <c r="O676" s="21"/>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row>
    <row r="677">
      <c r="A677" s="22"/>
      <c r="B677" s="21"/>
      <c r="C677" s="16"/>
      <c r="D677" s="16"/>
      <c r="E677" s="17"/>
      <c r="F677" s="21"/>
      <c r="G677" s="16"/>
      <c r="H677" s="16"/>
      <c r="I677" s="16"/>
      <c r="J677" s="17"/>
      <c r="K677" s="21"/>
      <c r="L677" s="16"/>
      <c r="M677" s="16"/>
      <c r="N677" s="17"/>
      <c r="O677" s="21"/>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row>
    <row r="678">
      <c r="A678" s="22"/>
      <c r="B678" s="21"/>
      <c r="C678" s="16"/>
      <c r="D678" s="16"/>
      <c r="E678" s="17"/>
      <c r="F678" s="21"/>
      <c r="G678" s="16"/>
      <c r="H678" s="16"/>
      <c r="I678" s="16"/>
      <c r="J678" s="17"/>
      <c r="K678" s="21"/>
      <c r="L678" s="16"/>
      <c r="M678" s="16"/>
      <c r="N678" s="17"/>
      <c r="O678" s="21"/>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row>
    <row r="679">
      <c r="A679" s="22"/>
      <c r="B679" s="21"/>
      <c r="C679" s="16"/>
      <c r="D679" s="16"/>
      <c r="E679" s="17"/>
      <c r="F679" s="21"/>
      <c r="G679" s="16"/>
      <c r="H679" s="16"/>
      <c r="I679" s="16"/>
      <c r="J679" s="17"/>
      <c r="K679" s="21"/>
      <c r="L679" s="16"/>
      <c r="M679" s="16"/>
      <c r="N679" s="17"/>
      <c r="O679" s="21"/>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row>
    <row r="680">
      <c r="A680" s="22"/>
      <c r="B680" s="21"/>
      <c r="C680" s="16"/>
      <c r="D680" s="16"/>
      <c r="E680" s="17"/>
      <c r="F680" s="21"/>
      <c r="G680" s="16"/>
      <c r="H680" s="16"/>
      <c r="I680" s="16"/>
      <c r="J680" s="17"/>
      <c r="K680" s="21"/>
      <c r="L680" s="16"/>
      <c r="M680" s="16"/>
      <c r="N680" s="17"/>
      <c r="O680" s="21"/>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row>
    <row r="681">
      <c r="A681" s="22"/>
      <c r="B681" s="21"/>
      <c r="C681" s="16"/>
      <c r="D681" s="16"/>
      <c r="E681" s="17"/>
      <c r="F681" s="21"/>
      <c r="G681" s="16"/>
      <c r="H681" s="16"/>
      <c r="I681" s="16"/>
      <c r="J681" s="17"/>
      <c r="K681" s="21"/>
      <c r="L681" s="16"/>
      <c r="M681" s="16"/>
      <c r="N681" s="17"/>
      <c r="O681" s="21"/>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row>
    <row r="682">
      <c r="A682" s="22"/>
      <c r="B682" s="21"/>
      <c r="C682" s="16"/>
      <c r="D682" s="16"/>
      <c r="E682" s="17"/>
      <c r="F682" s="21"/>
      <c r="G682" s="16"/>
      <c r="H682" s="16"/>
      <c r="I682" s="16"/>
      <c r="J682" s="17"/>
      <c r="K682" s="21"/>
      <c r="L682" s="16"/>
      <c r="M682" s="16"/>
      <c r="N682" s="17"/>
      <c r="O682" s="21"/>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row>
    <row r="683">
      <c r="A683" s="22"/>
      <c r="B683" s="21"/>
      <c r="C683" s="16"/>
      <c r="D683" s="16"/>
      <c r="E683" s="17"/>
      <c r="F683" s="21"/>
      <c r="G683" s="16"/>
      <c r="H683" s="16"/>
      <c r="I683" s="16"/>
      <c r="J683" s="17"/>
      <c r="K683" s="21"/>
      <c r="L683" s="16"/>
      <c r="M683" s="16"/>
      <c r="N683" s="17"/>
      <c r="O683" s="21"/>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row>
    <row r="684">
      <c r="A684" s="22"/>
      <c r="B684" s="21"/>
      <c r="C684" s="16"/>
      <c r="D684" s="16"/>
      <c r="E684" s="17"/>
      <c r="F684" s="21"/>
      <c r="G684" s="16"/>
      <c r="H684" s="16"/>
      <c r="I684" s="16"/>
      <c r="J684" s="17"/>
      <c r="K684" s="21"/>
      <c r="L684" s="16"/>
      <c r="M684" s="16"/>
      <c r="N684" s="17"/>
      <c r="O684" s="21"/>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row>
    <row r="685">
      <c r="A685" s="22"/>
      <c r="B685" s="21"/>
      <c r="C685" s="16"/>
      <c r="D685" s="16"/>
      <c r="E685" s="17"/>
      <c r="F685" s="21"/>
      <c r="G685" s="16"/>
      <c r="H685" s="16"/>
      <c r="I685" s="16"/>
      <c r="J685" s="17"/>
      <c r="K685" s="21"/>
      <c r="L685" s="16"/>
      <c r="M685" s="16"/>
      <c r="N685" s="17"/>
      <c r="O685" s="21"/>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row>
    <row r="686">
      <c r="A686" s="22"/>
      <c r="B686" s="21"/>
      <c r="C686" s="16"/>
      <c r="D686" s="16"/>
      <c r="E686" s="17"/>
      <c r="F686" s="21"/>
      <c r="G686" s="16"/>
      <c r="H686" s="16"/>
      <c r="I686" s="16"/>
      <c r="J686" s="17"/>
      <c r="K686" s="21"/>
      <c r="L686" s="16"/>
      <c r="M686" s="16"/>
      <c r="N686" s="17"/>
      <c r="O686" s="21"/>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row>
    <row r="687">
      <c r="A687" s="22"/>
      <c r="B687" s="21"/>
      <c r="C687" s="16"/>
      <c r="D687" s="16"/>
      <c r="E687" s="17"/>
      <c r="F687" s="21"/>
      <c r="G687" s="16"/>
      <c r="H687" s="16"/>
      <c r="I687" s="16"/>
      <c r="J687" s="17"/>
      <c r="K687" s="21"/>
      <c r="L687" s="16"/>
      <c r="M687" s="16"/>
      <c r="N687" s="17"/>
      <c r="O687" s="21"/>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row>
    <row r="688">
      <c r="A688" s="22"/>
      <c r="B688" s="21"/>
      <c r="C688" s="16"/>
      <c r="D688" s="16"/>
      <c r="E688" s="17"/>
      <c r="F688" s="21"/>
      <c r="G688" s="16"/>
      <c r="H688" s="16"/>
      <c r="I688" s="16"/>
      <c r="J688" s="17"/>
      <c r="K688" s="21"/>
      <c r="L688" s="16"/>
      <c r="M688" s="16"/>
      <c r="N688" s="17"/>
      <c r="O688" s="21"/>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row>
    <row r="689">
      <c r="A689" s="22"/>
      <c r="B689" s="21"/>
      <c r="C689" s="16"/>
      <c r="D689" s="16"/>
      <c r="E689" s="17"/>
      <c r="F689" s="21"/>
      <c r="G689" s="16"/>
      <c r="H689" s="16"/>
      <c r="I689" s="16"/>
      <c r="J689" s="17"/>
      <c r="K689" s="21"/>
      <c r="L689" s="16"/>
      <c r="M689" s="16"/>
      <c r="N689" s="17"/>
      <c r="O689" s="21"/>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row>
    <row r="690">
      <c r="A690" s="22"/>
      <c r="B690" s="21"/>
      <c r="C690" s="16"/>
      <c r="D690" s="16"/>
      <c r="E690" s="17"/>
      <c r="F690" s="21"/>
      <c r="G690" s="16"/>
      <c r="H690" s="16"/>
      <c r="I690" s="16"/>
      <c r="J690" s="17"/>
      <c r="K690" s="21"/>
      <c r="L690" s="16"/>
      <c r="M690" s="16"/>
      <c r="N690" s="17"/>
      <c r="O690" s="21"/>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row>
    <row r="691">
      <c r="A691" s="22"/>
      <c r="B691" s="21"/>
      <c r="C691" s="16"/>
      <c r="D691" s="16"/>
      <c r="E691" s="17"/>
      <c r="F691" s="21"/>
      <c r="G691" s="16"/>
      <c r="H691" s="16"/>
      <c r="I691" s="16"/>
      <c r="J691" s="17"/>
      <c r="K691" s="21"/>
      <c r="L691" s="16"/>
      <c r="M691" s="16"/>
      <c r="N691" s="17"/>
      <c r="O691" s="21"/>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row>
    <row r="692">
      <c r="A692" s="22"/>
      <c r="B692" s="21"/>
      <c r="C692" s="16"/>
      <c r="D692" s="16"/>
      <c r="E692" s="17"/>
      <c r="F692" s="21"/>
      <c r="G692" s="16"/>
      <c r="H692" s="16"/>
      <c r="I692" s="16"/>
      <c r="J692" s="17"/>
      <c r="K692" s="21"/>
      <c r="L692" s="16"/>
      <c r="M692" s="16"/>
      <c r="N692" s="17"/>
      <c r="O692" s="21"/>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row>
    <row r="693">
      <c r="A693" s="22"/>
      <c r="B693" s="21"/>
      <c r="C693" s="16"/>
      <c r="D693" s="16"/>
      <c r="E693" s="17"/>
      <c r="F693" s="21"/>
      <c r="G693" s="16"/>
      <c r="H693" s="16"/>
      <c r="I693" s="16"/>
      <c r="J693" s="17"/>
      <c r="K693" s="21"/>
      <c r="L693" s="16"/>
      <c r="M693" s="16"/>
      <c r="N693" s="17"/>
      <c r="O693" s="21"/>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row>
    <row r="694">
      <c r="A694" s="22"/>
      <c r="B694" s="21"/>
      <c r="C694" s="16"/>
      <c r="D694" s="16"/>
      <c r="E694" s="17"/>
      <c r="F694" s="21"/>
      <c r="G694" s="16"/>
      <c r="H694" s="16"/>
      <c r="I694" s="16"/>
      <c r="J694" s="17"/>
      <c r="K694" s="21"/>
      <c r="L694" s="16"/>
      <c r="M694" s="16"/>
      <c r="N694" s="17"/>
      <c r="O694" s="21"/>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row>
    <row r="695">
      <c r="A695" s="22"/>
      <c r="B695" s="21"/>
      <c r="C695" s="16"/>
      <c r="D695" s="16"/>
      <c r="E695" s="17"/>
      <c r="F695" s="21"/>
      <c r="G695" s="16"/>
      <c r="H695" s="16"/>
      <c r="I695" s="16"/>
      <c r="J695" s="17"/>
      <c r="K695" s="21"/>
      <c r="L695" s="16"/>
      <c r="M695" s="16"/>
      <c r="N695" s="17"/>
      <c r="O695" s="21"/>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row>
    <row r="696">
      <c r="A696" s="22"/>
      <c r="B696" s="21"/>
      <c r="C696" s="16"/>
      <c r="D696" s="16"/>
      <c r="E696" s="17"/>
      <c r="F696" s="21"/>
      <c r="G696" s="16"/>
      <c r="H696" s="16"/>
      <c r="I696" s="16"/>
      <c r="J696" s="17"/>
      <c r="K696" s="21"/>
      <c r="L696" s="16"/>
      <c r="M696" s="16"/>
      <c r="N696" s="17"/>
      <c r="O696" s="21"/>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row>
    <row r="697">
      <c r="A697" s="22"/>
      <c r="B697" s="21"/>
      <c r="C697" s="16"/>
      <c r="D697" s="16"/>
      <c r="E697" s="17"/>
      <c r="F697" s="21"/>
      <c r="G697" s="16"/>
      <c r="H697" s="16"/>
      <c r="I697" s="16"/>
      <c r="J697" s="17"/>
      <c r="K697" s="21"/>
      <c r="L697" s="16"/>
      <c r="M697" s="16"/>
      <c r="N697" s="17"/>
      <c r="O697" s="21"/>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row>
    <row r="698">
      <c r="A698" s="22"/>
      <c r="B698" s="21"/>
      <c r="C698" s="16"/>
      <c r="D698" s="16"/>
      <c r="E698" s="17"/>
      <c r="F698" s="21"/>
      <c r="G698" s="16"/>
      <c r="H698" s="16"/>
      <c r="I698" s="16"/>
      <c r="J698" s="17"/>
      <c r="K698" s="21"/>
      <c r="L698" s="16"/>
      <c r="M698" s="16"/>
      <c r="N698" s="17"/>
      <c r="O698" s="21"/>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row>
    <row r="699">
      <c r="A699" s="22"/>
      <c r="B699" s="21"/>
      <c r="C699" s="16"/>
      <c r="D699" s="16"/>
      <c r="E699" s="17"/>
      <c r="F699" s="21"/>
      <c r="G699" s="16"/>
      <c r="H699" s="16"/>
      <c r="I699" s="16"/>
      <c r="J699" s="17"/>
      <c r="K699" s="21"/>
      <c r="L699" s="16"/>
      <c r="M699" s="16"/>
      <c r="N699" s="17"/>
      <c r="O699" s="21"/>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row>
    <row r="700">
      <c r="A700" s="22"/>
      <c r="B700" s="21"/>
      <c r="C700" s="16"/>
      <c r="D700" s="16"/>
      <c r="E700" s="17"/>
      <c r="F700" s="21"/>
      <c r="G700" s="16"/>
      <c r="H700" s="16"/>
      <c r="I700" s="16"/>
      <c r="J700" s="17"/>
      <c r="K700" s="21"/>
      <c r="L700" s="16"/>
      <c r="M700" s="16"/>
      <c r="N700" s="17"/>
      <c r="O700" s="21"/>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row>
    <row r="701">
      <c r="A701" s="22"/>
      <c r="B701" s="21"/>
      <c r="C701" s="16"/>
      <c r="D701" s="16"/>
      <c r="E701" s="17"/>
      <c r="F701" s="21"/>
      <c r="G701" s="16"/>
      <c r="H701" s="16"/>
      <c r="I701" s="16"/>
      <c r="J701" s="17"/>
      <c r="K701" s="21"/>
      <c r="L701" s="16"/>
      <c r="M701" s="16"/>
      <c r="N701" s="17"/>
      <c r="O701" s="21"/>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row>
    <row r="702">
      <c r="A702" s="22"/>
      <c r="B702" s="21"/>
      <c r="C702" s="16"/>
      <c r="D702" s="16"/>
      <c r="E702" s="17"/>
      <c r="F702" s="21"/>
      <c r="G702" s="16"/>
      <c r="H702" s="16"/>
      <c r="I702" s="16"/>
      <c r="J702" s="17"/>
      <c r="K702" s="21"/>
      <c r="L702" s="16"/>
      <c r="M702" s="16"/>
      <c r="N702" s="17"/>
      <c r="O702" s="21"/>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row>
    <row r="703">
      <c r="A703" s="22"/>
      <c r="B703" s="21"/>
      <c r="C703" s="16"/>
      <c r="D703" s="16"/>
      <c r="E703" s="17"/>
      <c r="F703" s="21"/>
      <c r="G703" s="16"/>
      <c r="H703" s="16"/>
      <c r="I703" s="16"/>
      <c r="J703" s="17"/>
      <c r="K703" s="21"/>
      <c r="L703" s="16"/>
      <c r="M703" s="16"/>
      <c r="N703" s="17"/>
      <c r="O703" s="21"/>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row>
    <row r="704">
      <c r="A704" s="22"/>
      <c r="B704" s="21"/>
      <c r="C704" s="16"/>
      <c r="D704" s="16"/>
      <c r="E704" s="17"/>
      <c r="F704" s="21"/>
      <c r="G704" s="16"/>
      <c r="H704" s="16"/>
      <c r="I704" s="16"/>
      <c r="J704" s="17"/>
      <c r="K704" s="21"/>
      <c r="L704" s="16"/>
      <c r="M704" s="16"/>
      <c r="N704" s="17"/>
      <c r="O704" s="21"/>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row>
    <row r="705">
      <c r="A705" s="22"/>
      <c r="B705" s="21"/>
      <c r="C705" s="16"/>
      <c r="D705" s="16"/>
      <c r="E705" s="17"/>
      <c r="F705" s="21"/>
      <c r="G705" s="16"/>
      <c r="H705" s="16"/>
      <c r="I705" s="16"/>
      <c r="J705" s="17"/>
      <c r="K705" s="21"/>
      <c r="L705" s="16"/>
      <c r="M705" s="16"/>
      <c r="N705" s="17"/>
      <c r="O705" s="21"/>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row>
    <row r="706">
      <c r="A706" s="22"/>
      <c r="B706" s="21"/>
      <c r="C706" s="16"/>
      <c r="D706" s="16"/>
      <c r="E706" s="17"/>
      <c r="F706" s="21"/>
      <c r="G706" s="16"/>
      <c r="H706" s="16"/>
      <c r="I706" s="16"/>
      <c r="J706" s="17"/>
      <c r="K706" s="21"/>
      <c r="L706" s="16"/>
      <c r="M706" s="16"/>
      <c r="N706" s="17"/>
      <c r="O706" s="21"/>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row>
    <row r="707">
      <c r="A707" s="22"/>
      <c r="B707" s="21"/>
      <c r="C707" s="16"/>
      <c r="D707" s="16"/>
      <c r="E707" s="17"/>
      <c r="F707" s="21"/>
      <c r="G707" s="16"/>
      <c r="H707" s="16"/>
      <c r="I707" s="16"/>
      <c r="J707" s="17"/>
      <c r="K707" s="21"/>
      <c r="L707" s="16"/>
      <c r="M707" s="16"/>
      <c r="N707" s="17"/>
      <c r="O707" s="21"/>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row>
    <row r="708">
      <c r="A708" s="22"/>
      <c r="B708" s="21"/>
      <c r="C708" s="16"/>
      <c r="D708" s="16"/>
      <c r="E708" s="17"/>
      <c r="F708" s="21"/>
      <c r="G708" s="16"/>
      <c r="H708" s="16"/>
      <c r="I708" s="16"/>
      <c r="J708" s="17"/>
      <c r="K708" s="21"/>
      <c r="L708" s="16"/>
      <c r="M708" s="16"/>
      <c r="N708" s="17"/>
      <c r="O708" s="21"/>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row>
    <row r="709">
      <c r="A709" s="22"/>
      <c r="B709" s="21"/>
      <c r="C709" s="16"/>
      <c r="D709" s="16"/>
      <c r="E709" s="17"/>
      <c r="F709" s="21"/>
      <c r="G709" s="16"/>
      <c r="H709" s="16"/>
      <c r="I709" s="16"/>
      <c r="J709" s="17"/>
      <c r="K709" s="21"/>
      <c r="L709" s="16"/>
      <c r="M709" s="16"/>
      <c r="N709" s="17"/>
      <c r="O709" s="21"/>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row>
    <row r="710">
      <c r="A710" s="22"/>
      <c r="B710" s="21"/>
      <c r="C710" s="16"/>
      <c r="D710" s="16"/>
      <c r="E710" s="17"/>
      <c r="F710" s="21"/>
      <c r="G710" s="16"/>
      <c r="H710" s="16"/>
      <c r="I710" s="16"/>
      <c r="J710" s="17"/>
      <c r="K710" s="21"/>
      <c r="L710" s="16"/>
      <c r="M710" s="16"/>
      <c r="N710" s="17"/>
      <c r="O710" s="21"/>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row>
    <row r="711">
      <c r="A711" s="22"/>
      <c r="B711" s="21"/>
      <c r="C711" s="16"/>
      <c r="D711" s="16"/>
      <c r="E711" s="17"/>
      <c r="F711" s="21"/>
      <c r="G711" s="16"/>
      <c r="H711" s="16"/>
      <c r="I711" s="16"/>
      <c r="J711" s="17"/>
      <c r="K711" s="21"/>
      <c r="L711" s="16"/>
      <c r="M711" s="16"/>
      <c r="N711" s="17"/>
      <c r="O711" s="21"/>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row>
    <row r="712">
      <c r="A712" s="22"/>
      <c r="B712" s="21"/>
      <c r="C712" s="16"/>
      <c r="D712" s="16"/>
      <c r="E712" s="17"/>
      <c r="F712" s="21"/>
      <c r="G712" s="16"/>
      <c r="H712" s="16"/>
      <c r="I712" s="16"/>
      <c r="J712" s="17"/>
      <c r="K712" s="21"/>
      <c r="L712" s="16"/>
      <c r="M712" s="16"/>
      <c r="N712" s="17"/>
      <c r="O712" s="21"/>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row>
    <row r="713">
      <c r="A713" s="22"/>
      <c r="B713" s="21"/>
      <c r="C713" s="16"/>
      <c r="D713" s="16"/>
      <c r="E713" s="17"/>
      <c r="F713" s="21"/>
      <c r="G713" s="16"/>
      <c r="H713" s="16"/>
      <c r="I713" s="16"/>
      <c r="J713" s="17"/>
      <c r="K713" s="21"/>
      <c r="L713" s="16"/>
      <c r="M713" s="16"/>
      <c r="N713" s="17"/>
      <c r="O713" s="21"/>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row>
    <row r="714">
      <c r="A714" s="22"/>
      <c r="B714" s="21"/>
      <c r="C714" s="16"/>
      <c r="D714" s="16"/>
      <c r="E714" s="17"/>
      <c r="F714" s="21"/>
      <c r="G714" s="16"/>
      <c r="H714" s="16"/>
      <c r="I714" s="16"/>
      <c r="J714" s="17"/>
      <c r="K714" s="21"/>
      <c r="L714" s="16"/>
      <c r="M714" s="16"/>
      <c r="N714" s="17"/>
      <c r="O714" s="21"/>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row>
    <row r="715">
      <c r="A715" s="22"/>
      <c r="B715" s="21"/>
      <c r="C715" s="16"/>
      <c r="D715" s="16"/>
      <c r="E715" s="17"/>
      <c r="F715" s="21"/>
      <c r="G715" s="16"/>
      <c r="H715" s="16"/>
      <c r="I715" s="16"/>
      <c r="J715" s="17"/>
      <c r="K715" s="21"/>
      <c r="L715" s="16"/>
      <c r="M715" s="16"/>
      <c r="N715" s="17"/>
      <c r="O715" s="21"/>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row>
    <row r="716">
      <c r="A716" s="22"/>
      <c r="B716" s="21"/>
      <c r="C716" s="16"/>
      <c r="D716" s="16"/>
      <c r="E716" s="17"/>
      <c r="F716" s="21"/>
      <c r="G716" s="16"/>
      <c r="H716" s="16"/>
      <c r="I716" s="16"/>
      <c r="J716" s="17"/>
      <c r="K716" s="21"/>
      <c r="L716" s="16"/>
      <c r="M716" s="16"/>
      <c r="N716" s="17"/>
      <c r="O716" s="21"/>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row>
    <row r="717">
      <c r="A717" s="22"/>
      <c r="B717" s="21"/>
      <c r="C717" s="16"/>
      <c r="D717" s="16"/>
      <c r="E717" s="17"/>
      <c r="F717" s="21"/>
      <c r="G717" s="16"/>
      <c r="H717" s="16"/>
      <c r="I717" s="16"/>
      <c r="J717" s="17"/>
      <c r="K717" s="21"/>
      <c r="L717" s="16"/>
      <c r="M717" s="16"/>
      <c r="N717" s="17"/>
      <c r="O717" s="21"/>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row>
    <row r="718">
      <c r="A718" s="22"/>
      <c r="B718" s="21"/>
      <c r="C718" s="16"/>
      <c r="D718" s="16"/>
      <c r="E718" s="17"/>
      <c r="F718" s="21"/>
      <c r="G718" s="16"/>
      <c r="H718" s="16"/>
      <c r="I718" s="16"/>
      <c r="J718" s="17"/>
      <c r="K718" s="21"/>
      <c r="L718" s="16"/>
      <c r="M718" s="16"/>
      <c r="N718" s="17"/>
      <c r="O718" s="21"/>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row>
    <row r="719">
      <c r="A719" s="22"/>
      <c r="B719" s="21"/>
      <c r="C719" s="16"/>
      <c r="D719" s="16"/>
      <c r="E719" s="17"/>
      <c r="F719" s="21"/>
      <c r="G719" s="16"/>
      <c r="H719" s="16"/>
      <c r="I719" s="16"/>
      <c r="J719" s="17"/>
      <c r="K719" s="21"/>
      <c r="L719" s="16"/>
      <c r="M719" s="16"/>
      <c r="N719" s="17"/>
      <c r="O719" s="21"/>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row>
    <row r="720">
      <c r="A720" s="22"/>
      <c r="B720" s="21"/>
      <c r="C720" s="16"/>
      <c r="D720" s="16"/>
      <c r="E720" s="17"/>
      <c r="F720" s="21"/>
      <c r="G720" s="16"/>
      <c r="H720" s="16"/>
      <c r="I720" s="16"/>
      <c r="J720" s="17"/>
      <c r="K720" s="21"/>
      <c r="L720" s="16"/>
      <c r="M720" s="16"/>
      <c r="N720" s="17"/>
      <c r="O720" s="21"/>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row>
    <row r="721">
      <c r="A721" s="22"/>
      <c r="B721" s="21"/>
      <c r="C721" s="16"/>
      <c r="D721" s="16"/>
      <c r="E721" s="17"/>
      <c r="F721" s="21"/>
      <c r="G721" s="16"/>
      <c r="H721" s="16"/>
      <c r="I721" s="16"/>
      <c r="J721" s="17"/>
      <c r="K721" s="21"/>
      <c r="L721" s="16"/>
      <c r="M721" s="16"/>
      <c r="N721" s="17"/>
      <c r="O721" s="21"/>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row>
    <row r="722">
      <c r="A722" s="22"/>
      <c r="B722" s="21"/>
      <c r="C722" s="16"/>
      <c r="D722" s="16"/>
      <c r="E722" s="17"/>
      <c r="F722" s="21"/>
      <c r="G722" s="16"/>
      <c r="H722" s="16"/>
      <c r="I722" s="16"/>
      <c r="J722" s="17"/>
      <c r="K722" s="21"/>
      <c r="L722" s="16"/>
      <c r="M722" s="16"/>
      <c r="N722" s="17"/>
      <c r="O722" s="21"/>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row>
    <row r="723">
      <c r="A723" s="22"/>
      <c r="B723" s="21"/>
      <c r="C723" s="16"/>
      <c r="D723" s="16"/>
      <c r="E723" s="17"/>
      <c r="F723" s="21"/>
      <c r="G723" s="16"/>
      <c r="H723" s="16"/>
      <c r="I723" s="16"/>
      <c r="J723" s="17"/>
      <c r="K723" s="21"/>
      <c r="L723" s="16"/>
      <c r="M723" s="16"/>
      <c r="N723" s="17"/>
      <c r="O723" s="21"/>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row>
    <row r="724">
      <c r="A724" s="22"/>
      <c r="B724" s="21"/>
      <c r="C724" s="16"/>
      <c r="D724" s="16"/>
      <c r="E724" s="17"/>
      <c r="F724" s="21"/>
      <c r="G724" s="16"/>
      <c r="H724" s="16"/>
      <c r="I724" s="16"/>
      <c r="J724" s="17"/>
      <c r="K724" s="21"/>
      <c r="L724" s="16"/>
      <c r="M724" s="16"/>
      <c r="N724" s="17"/>
      <c r="O724" s="21"/>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row>
    <row r="725">
      <c r="A725" s="22"/>
      <c r="B725" s="21"/>
      <c r="C725" s="16"/>
      <c r="D725" s="16"/>
      <c r="E725" s="17"/>
      <c r="F725" s="21"/>
      <c r="G725" s="16"/>
      <c r="H725" s="16"/>
      <c r="I725" s="16"/>
      <c r="J725" s="17"/>
      <c r="K725" s="21"/>
      <c r="L725" s="16"/>
      <c r="M725" s="16"/>
      <c r="N725" s="17"/>
      <c r="O725" s="21"/>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row>
    <row r="726">
      <c r="A726" s="22"/>
      <c r="B726" s="21"/>
      <c r="C726" s="16"/>
      <c r="D726" s="16"/>
      <c r="E726" s="17"/>
      <c r="F726" s="21"/>
      <c r="G726" s="16"/>
      <c r="H726" s="16"/>
      <c r="I726" s="16"/>
      <c r="J726" s="17"/>
      <c r="K726" s="21"/>
      <c r="L726" s="16"/>
      <c r="M726" s="16"/>
      <c r="N726" s="17"/>
      <c r="O726" s="21"/>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row>
    <row r="727">
      <c r="A727" s="22"/>
      <c r="B727" s="21"/>
      <c r="C727" s="16"/>
      <c r="D727" s="16"/>
      <c r="E727" s="17"/>
      <c r="F727" s="21"/>
      <c r="G727" s="16"/>
      <c r="H727" s="16"/>
      <c r="I727" s="16"/>
      <c r="J727" s="17"/>
      <c r="K727" s="21"/>
      <c r="L727" s="16"/>
      <c r="M727" s="16"/>
      <c r="N727" s="17"/>
      <c r="O727" s="21"/>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row>
    <row r="728">
      <c r="A728" s="22"/>
      <c r="B728" s="21"/>
      <c r="C728" s="16"/>
      <c r="D728" s="16"/>
      <c r="E728" s="17"/>
      <c r="F728" s="21"/>
      <c r="G728" s="16"/>
      <c r="H728" s="16"/>
      <c r="I728" s="16"/>
      <c r="J728" s="17"/>
      <c r="K728" s="21"/>
      <c r="L728" s="16"/>
      <c r="M728" s="16"/>
      <c r="N728" s="17"/>
      <c r="O728" s="21"/>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row>
    <row r="729">
      <c r="A729" s="22"/>
      <c r="B729" s="21"/>
      <c r="C729" s="16"/>
      <c r="D729" s="16"/>
      <c r="E729" s="17"/>
      <c r="F729" s="21"/>
      <c r="G729" s="16"/>
      <c r="H729" s="16"/>
      <c r="I729" s="16"/>
      <c r="J729" s="17"/>
      <c r="K729" s="21"/>
      <c r="L729" s="16"/>
      <c r="M729" s="16"/>
      <c r="N729" s="17"/>
      <c r="O729" s="21"/>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row>
    <row r="730">
      <c r="A730" s="22"/>
      <c r="B730" s="21"/>
      <c r="C730" s="16"/>
      <c r="D730" s="16"/>
      <c r="E730" s="17"/>
      <c r="F730" s="21"/>
      <c r="G730" s="16"/>
      <c r="H730" s="16"/>
      <c r="I730" s="16"/>
      <c r="J730" s="17"/>
      <c r="K730" s="21"/>
      <c r="L730" s="16"/>
      <c r="M730" s="16"/>
      <c r="N730" s="17"/>
      <c r="O730" s="21"/>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row>
    <row r="731">
      <c r="A731" s="22"/>
      <c r="B731" s="21"/>
      <c r="C731" s="16"/>
      <c r="D731" s="16"/>
      <c r="E731" s="17"/>
      <c r="F731" s="21"/>
      <c r="G731" s="16"/>
      <c r="H731" s="16"/>
      <c r="I731" s="16"/>
      <c r="J731" s="17"/>
      <c r="K731" s="21"/>
      <c r="L731" s="16"/>
      <c r="M731" s="16"/>
      <c r="N731" s="17"/>
      <c r="O731" s="21"/>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row>
    <row r="732">
      <c r="A732" s="22"/>
      <c r="B732" s="21"/>
      <c r="C732" s="16"/>
      <c r="D732" s="16"/>
      <c r="E732" s="17"/>
      <c r="F732" s="21"/>
      <c r="G732" s="16"/>
      <c r="H732" s="16"/>
      <c r="I732" s="16"/>
      <c r="J732" s="17"/>
      <c r="K732" s="21"/>
      <c r="L732" s="16"/>
      <c r="M732" s="16"/>
      <c r="N732" s="17"/>
      <c r="O732" s="21"/>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row>
    <row r="733">
      <c r="A733" s="22"/>
      <c r="B733" s="21"/>
      <c r="C733" s="16"/>
      <c r="D733" s="16"/>
      <c r="E733" s="17"/>
      <c r="F733" s="21"/>
      <c r="G733" s="16"/>
      <c r="H733" s="16"/>
      <c r="I733" s="16"/>
      <c r="J733" s="17"/>
      <c r="K733" s="21"/>
      <c r="L733" s="16"/>
      <c r="M733" s="16"/>
      <c r="N733" s="17"/>
      <c r="O733" s="21"/>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row>
    <row r="734">
      <c r="A734" s="22"/>
      <c r="B734" s="21"/>
      <c r="C734" s="16"/>
      <c r="D734" s="16"/>
      <c r="E734" s="17"/>
      <c r="F734" s="21"/>
      <c r="G734" s="16"/>
      <c r="H734" s="16"/>
      <c r="I734" s="16"/>
      <c r="J734" s="17"/>
      <c r="K734" s="21"/>
      <c r="L734" s="16"/>
      <c r="M734" s="16"/>
      <c r="N734" s="17"/>
      <c r="O734" s="21"/>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row>
    <row r="735">
      <c r="A735" s="22"/>
      <c r="B735" s="21"/>
      <c r="C735" s="16"/>
      <c r="D735" s="16"/>
      <c r="E735" s="17"/>
      <c r="F735" s="21"/>
      <c r="G735" s="16"/>
      <c r="H735" s="16"/>
      <c r="I735" s="16"/>
      <c r="J735" s="17"/>
      <c r="K735" s="21"/>
      <c r="L735" s="16"/>
      <c r="M735" s="16"/>
      <c r="N735" s="17"/>
      <c r="O735" s="21"/>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row>
    <row r="736">
      <c r="A736" s="22"/>
      <c r="B736" s="21"/>
      <c r="C736" s="16"/>
      <c r="D736" s="16"/>
      <c r="E736" s="17"/>
      <c r="F736" s="21"/>
      <c r="G736" s="16"/>
      <c r="H736" s="16"/>
      <c r="I736" s="16"/>
      <c r="J736" s="17"/>
      <c r="K736" s="21"/>
      <c r="L736" s="16"/>
      <c r="M736" s="16"/>
      <c r="N736" s="17"/>
      <c r="O736" s="21"/>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row>
    <row r="737">
      <c r="A737" s="22"/>
      <c r="B737" s="21"/>
      <c r="C737" s="16"/>
      <c r="D737" s="16"/>
      <c r="E737" s="17"/>
      <c r="F737" s="21"/>
      <c r="G737" s="16"/>
      <c r="H737" s="16"/>
      <c r="I737" s="16"/>
      <c r="J737" s="17"/>
      <c r="K737" s="21"/>
      <c r="L737" s="16"/>
      <c r="M737" s="16"/>
      <c r="N737" s="17"/>
      <c r="O737" s="21"/>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row>
    <row r="738">
      <c r="A738" s="22"/>
      <c r="B738" s="21"/>
      <c r="C738" s="16"/>
      <c r="D738" s="16"/>
      <c r="E738" s="17"/>
      <c r="F738" s="21"/>
      <c r="G738" s="16"/>
      <c r="H738" s="16"/>
      <c r="I738" s="16"/>
      <c r="J738" s="17"/>
      <c r="K738" s="21"/>
      <c r="L738" s="16"/>
      <c r="M738" s="16"/>
      <c r="N738" s="17"/>
      <c r="O738" s="21"/>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row>
    <row r="739">
      <c r="A739" s="22"/>
      <c r="B739" s="21"/>
      <c r="C739" s="16"/>
      <c r="D739" s="16"/>
      <c r="E739" s="17"/>
      <c r="F739" s="21"/>
      <c r="G739" s="16"/>
      <c r="H739" s="16"/>
      <c r="I739" s="16"/>
      <c r="J739" s="17"/>
      <c r="K739" s="21"/>
      <c r="L739" s="16"/>
      <c r="M739" s="16"/>
      <c r="N739" s="17"/>
      <c r="O739" s="21"/>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row>
    <row r="740">
      <c r="A740" s="22"/>
      <c r="B740" s="21"/>
      <c r="C740" s="16"/>
      <c r="D740" s="16"/>
      <c r="E740" s="17"/>
      <c r="F740" s="21"/>
      <c r="G740" s="16"/>
      <c r="H740" s="16"/>
      <c r="I740" s="16"/>
      <c r="J740" s="17"/>
      <c r="K740" s="21"/>
      <c r="L740" s="16"/>
      <c r="M740" s="16"/>
      <c r="N740" s="17"/>
      <c r="O740" s="21"/>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row>
    <row r="741">
      <c r="A741" s="22"/>
      <c r="B741" s="21"/>
      <c r="C741" s="16"/>
      <c r="D741" s="16"/>
      <c r="E741" s="17"/>
      <c r="F741" s="21"/>
      <c r="G741" s="16"/>
      <c r="H741" s="16"/>
      <c r="I741" s="16"/>
      <c r="J741" s="17"/>
      <c r="K741" s="21"/>
      <c r="L741" s="16"/>
      <c r="M741" s="16"/>
      <c r="N741" s="17"/>
      <c r="O741" s="21"/>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row>
    <row r="742">
      <c r="A742" s="22"/>
      <c r="B742" s="21"/>
      <c r="C742" s="16"/>
      <c r="D742" s="16"/>
      <c r="E742" s="17"/>
      <c r="F742" s="21"/>
      <c r="G742" s="16"/>
      <c r="H742" s="16"/>
      <c r="I742" s="16"/>
      <c r="J742" s="17"/>
      <c r="K742" s="21"/>
      <c r="L742" s="16"/>
      <c r="M742" s="16"/>
      <c r="N742" s="17"/>
      <c r="O742" s="21"/>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row>
    <row r="743">
      <c r="A743" s="22"/>
      <c r="B743" s="21"/>
      <c r="C743" s="16"/>
      <c r="D743" s="16"/>
      <c r="E743" s="17"/>
      <c r="F743" s="21"/>
      <c r="G743" s="16"/>
      <c r="H743" s="16"/>
      <c r="I743" s="16"/>
      <c r="J743" s="17"/>
      <c r="K743" s="21"/>
      <c r="L743" s="16"/>
      <c r="M743" s="16"/>
      <c r="N743" s="17"/>
      <c r="O743" s="21"/>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row>
    <row r="744">
      <c r="A744" s="22"/>
      <c r="B744" s="21"/>
      <c r="C744" s="16"/>
      <c r="D744" s="16"/>
      <c r="E744" s="17"/>
      <c r="F744" s="21"/>
      <c r="G744" s="16"/>
      <c r="H744" s="16"/>
      <c r="I744" s="16"/>
      <c r="J744" s="17"/>
      <c r="K744" s="21"/>
      <c r="L744" s="16"/>
      <c r="M744" s="16"/>
      <c r="N744" s="17"/>
      <c r="O744" s="21"/>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row>
    <row r="745">
      <c r="A745" s="22"/>
      <c r="B745" s="21"/>
      <c r="C745" s="16"/>
      <c r="D745" s="16"/>
      <c r="E745" s="17"/>
      <c r="F745" s="21"/>
      <c r="G745" s="16"/>
      <c r="H745" s="16"/>
      <c r="I745" s="16"/>
      <c r="J745" s="17"/>
      <c r="K745" s="21"/>
      <c r="L745" s="16"/>
      <c r="M745" s="16"/>
      <c r="N745" s="17"/>
      <c r="O745" s="21"/>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row>
    <row r="746">
      <c r="A746" s="22"/>
      <c r="B746" s="21"/>
      <c r="C746" s="16"/>
      <c r="D746" s="16"/>
      <c r="E746" s="17"/>
      <c r="F746" s="21"/>
      <c r="G746" s="16"/>
      <c r="H746" s="16"/>
      <c r="I746" s="16"/>
      <c r="J746" s="17"/>
      <c r="K746" s="21"/>
      <c r="L746" s="16"/>
      <c r="M746" s="16"/>
      <c r="N746" s="17"/>
      <c r="O746" s="21"/>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row>
    <row r="747">
      <c r="A747" s="22"/>
      <c r="B747" s="21"/>
      <c r="C747" s="16"/>
      <c r="D747" s="16"/>
      <c r="E747" s="17"/>
      <c r="F747" s="21"/>
      <c r="G747" s="16"/>
      <c r="H747" s="16"/>
      <c r="I747" s="16"/>
      <c r="J747" s="17"/>
      <c r="K747" s="21"/>
      <c r="L747" s="16"/>
      <c r="M747" s="16"/>
      <c r="N747" s="17"/>
      <c r="O747" s="21"/>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row>
    <row r="748">
      <c r="A748" s="22"/>
      <c r="B748" s="21"/>
      <c r="C748" s="16"/>
      <c r="D748" s="16"/>
      <c r="E748" s="17"/>
      <c r="F748" s="21"/>
      <c r="G748" s="16"/>
      <c r="H748" s="16"/>
      <c r="I748" s="16"/>
      <c r="J748" s="17"/>
      <c r="K748" s="21"/>
      <c r="L748" s="16"/>
      <c r="M748" s="16"/>
      <c r="N748" s="17"/>
      <c r="O748" s="21"/>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row>
    <row r="749">
      <c r="A749" s="22"/>
      <c r="B749" s="21"/>
      <c r="C749" s="16"/>
      <c r="D749" s="16"/>
      <c r="E749" s="17"/>
      <c r="F749" s="21"/>
      <c r="G749" s="16"/>
      <c r="H749" s="16"/>
      <c r="I749" s="16"/>
      <c r="J749" s="17"/>
      <c r="K749" s="21"/>
      <c r="L749" s="16"/>
      <c r="M749" s="16"/>
      <c r="N749" s="17"/>
      <c r="O749" s="21"/>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row>
    <row r="750">
      <c r="A750" s="22"/>
      <c r="B750" s="21"/>
      <c r="C750" s="16"/>
      <c r="D750" s="16"/>
      <c r="E750" s="17"/>
      <c r="F750" s="21"/>
      <c r="G750" s="16"/>
      <c r="H750" s="16"/>
      <c r="I750" s="16"/>
      <c r="J750" s="17"/>
      <c r="K750" s="21"/>
      <c r="L750" s="16"/>
      <c r="M750" s="16"/>
      <c r="N750" s="17"/>
      <c r="O750" s="21"/>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row>
    <row r="751">
      <c r="A751" s="22"/>
      <c r="B751" s="21"/>
      <c r="C751" s="16"/>
      <c r="D751" s="16"/>
      <c r="E751" s="17"/>
      <c r="F751" s="21"/>
      <c r="G751" s="16"/>
      <c r="H751" s="16"/>
      <c r="I751" s="16"/>
      <c r="J751" s="17"/>
      <c r="K751" s="21"/>
      <c r="L751" s="16"/>
      <c r="M751" s="16"/>
      <c r="N751" s="17"/>
      <c r="O751" s="21"/>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row>
    <row r="752">
      <c r="A752" s="22"/>
      <c r="B752" s="21"/>
      <c r="C752" s="16"/>
      <c r="D752" s="16"/>
      <c r="E752" s="17"/>
      <c r="F752" s="21"/>
      <c r="G752" s="16"/>
      <c r="H752" s="16"/>
      <c r="I752" s="16"/>
      <c r="J752" s="17"/>
      <c r="K752" s="21"/>
      <c r="L752" s="16"/>
      <c r="M752" s="16"/>
      <c r="N752" s="17"/>
      <c r="O752" s="21"/>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row>
    <row r="753">
      <c r="A753" s="22"/>
      <c r="B753" s="21"/>
      <c r="C753" s="16"/>
      <c r="D753" s="16"/>
      <c r="E753" s="17"/>
      <c r="F753" s="21"/>
      <c r="G753" s="16"/>
      <c r="H753" s="16"/>
      <c r="I753" s="16"/>
      <c r="J753" s="17"/>
      <c r="K753" s="21"/>
      <c r="L753" s="16"/>
      <c r="M753" s="16"/>
      <c r="N753" s="17"/>
      <c r="O753" s="21"/>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row>
    <row r="754">
      <c r="A754" s="22"/>
      <c r="B754" s="21"/>
      <c r="C754" s="16"/>
      <c r="D754" s="16"/>
      <c r="E754" s="17"/>
      <c r="F754" s="21"/>
      <c r="G754" s="16"/>
      <c r="H754" s="16"/>
      <c r="I754" s="16"/>
      <c r="J754" s="17"/>
      <c r="K754" s="21"/>
      <c r="L754" s="16"/>
      <c r="M754" s="16"/>
      <c r="N754" s="17"/>
      <c r="O754" s="21"/>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row>
    <row r="755">
      <c r="A755" s="22"/>
      <c r="B755" s="21"/>
      <c r="C755" s="16"/>
      <c r="D755" s="16"/>
      <c r="E755" s="17"/>
      <c r="F755" s="21"/>
      <c r="G755" s="16"/>
      <c r="H755" s="16"/>
      <c r="I755" s="16"/>
      <c r="J755" s="17"/>
      <c r="K755" s="21"/>
      <c r="L755" s="16"/>
      <c r="M755" s="16"/>
      <c r="N755" s="17"/>
      <c r="O755" s="21"/>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row>
    <row r="756">
      <c r="A756" s="22"/>
      <c r="B756" s="21"/>
      <c r="C756" s="16"/>
      <c r="D756" s="16"/>
      <c r="E756" s="17"/>
      <c r="F756" s="21"/>
      <c r="G756" s="16"/>
      <c r="H756" s="16"/>
      <c r="I756" s="16"/>
      <c r="J756" s="17"/>
      <c r="K756" s="21"/>
      <c r="L756" s="16"/>
      <c r="M756" s="16"/>
      <c r="N756" s="17"/>
      <c r="O756" s="21"/>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row>
    <row r="757">
      <c r="A757" s="22"/>
      <c r="B757" s="21"/>
      <c r="C757" s="16"/>
      <c r="D757" s="16"/>
      <c r="E757" s="17"/>
      <c r="F757" s="21"/>
      <c r="G757" s="16"/>
      <c r="H757" s="16"/>
      <c r="I757" s="16"/>
      <c r="J757" s="17"/>
      <c r="K757" s="21"/>
      <c r="L757" s="16"/>
      <c r="M757" s="16"/>
      <c r="N757" s="17"/>
      <c r="O757" s="21"/>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row>
    <row r="758">
      <c r="A758" s="22"/>
      <c r="B758" s="21"/>
      <c r="C758" s="16"/>
      <c r="D758" s="16"/>
      <c r="E758" s="17"/>
      <c r="F758" s="21"/>
      <c r="G758" s="16"/>
      <c r="H758" s="16"/>
      <c r="I758" s="16"/>
      <c r="J758" s="17"/>
      <c r="K758" s="21"/>
      <c r="L758" s="16"/>
      <c r="M758" s="16"/>
      <c r="N758" s="17"/>
      <c r="O758" s="21"/>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row>
    <row r="759">
      <c r="A759" s="22"/>
      <c r="B759" s="21"/>
      <c r="C759" s="16"/>
      <c r="D759" s="16"/>
      <c r="E759" s="17"/>
      <c r="F759" s="21"/>
      <c r="G759" s="16"/>
      <c r="H759" s="16"/>
      <c r="I759" s="16"/>
      <c r="J759" s="17"/>
      <c r="K759" s="21"/>
      <c r="L759" s="16"/>
      <c r="M759" s="16"/>
      <c r="N759" s="17"/>
      <c r="O759" s="21"/>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row>
    <row r="760">
      <c r="A760" s="22"/>
      <c r="B760" s="21"/>
      <c r="C760" s="16"/>
      <c r="D760" s="16"/>
      <c r="E760" s="17"/>
      <c r="F760" s="21"/>
      <c r="G760" s="16"/>
      <c r="H760" s="16"/>
      <c r="I760" s="16"/>
      <c r="J760" s="17"/>
      <c r="K760" s="21"/>
      <c r="L760" s="16"/>
      <c r="M760" s="16"/>
      <c r="N760" s="17"/>
      <c r="O760" s="21"/>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row>
    <row r="761">
      <c r="A761" s="22"/>
      <c r="B761" s="21"/>
      <c r="C761" s="16"/>
      <c r="D761" s="16"/>
      <c r="E761" s="17"/>
      <c r="F761" s="21"/>
      <c r="G761" s="16"/>
      <c r="H761" s="16"/>
      <c r="I761" s="16"/>
      <c r="J761" s="17"/>
      <c r="K761" s="21"/>
      <c r="L761" s="16"/>
      <c r="M761" s="16"/>
      <c r="N761" s="17"/>
      <c r="O761" s="21"/>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row>
    <row r="762">
      <c r="A762" s="22"/>
      <c r="B762" s="21"/>
      <c r="C762" s="16"/>
      <c r="D762" s="16"/>
      <c r="E762" s="17"/>
      <c r="F762" s="21"/>
      <c r="G762" s="16"/>
      <c r="H762" s="16"/>
      <c r="I762" s="16"/>
      <c r="J762" s="17"/>
      <c r="K762" s="21"/>
      <c r="L762" s="16"/>
      <c r="M762" s="16"/>
      <c r="N762" s="17"/>
      <c r="O762" s="21"/>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row>
    <row r="763">
      <c r="A763" s="22"/>
      <c r="B763" s="21"/>
      <c r="C763" s="16"/>
      <c r="D763" s="16"/>
      <c r="E763" s="17"/>
      <c r="F763" s="21"/>
      <c r="G763" s="16"/>
      <c r="H763" s="16"/>
      <c r="I763" s="16"/>
      <c r="J763" s="17"/>
      <c r="K763" s="21"/>
      <c r="L763" s="16"/>
      <c r="M763" s="16"/>
      <c r="N763" s="17"/>
      <c r="O763" s="21"/>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row>
    <row r="764">
      <c r="A764" s="22"/>
      <c r="B764" s="21"/>
      <c r="C764" s="16"/>
      <c r="D764" s="16"/>
      <c r="E764" s="17"/>
      <c r="F764" s="21"/>
      <c r="G764" s="16"/>
      <c r="H764" s="16"/>
      <c r="I764" s="16"/>
      <c r="J764" s="17"/>
      <c r="K764" s="21"/>
      <c r="L764" s="16"/>
      <c r="M764" s="16"/>
      <c r="N764" s="17"/>
      <c r="O764" s="21"/>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row>
    <row r="765">
      <c r="A765" s="22"/>
      <c r="B765" s="21"/>
      <c r="C765" s="16"/>
      <c r="D765" s="16"/>
      <c r="E765" s="17"/>
      <c r="F765" s="21"/>
      <c r="G765" s="16"/>
      <c r="H765" s="16"/>
      <c r="I765" s="16"/>
      <c r="J765" s="17"/>
      <c r="K765" s="21"/>
      <c r="L765" s="16"/>
      <c r="M765" s="16"/>
      <c r="N765" s="17"/>
      <c r="O765" s="21"/>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row>
    <row r="766">
      <c r="A766" s="22"/>
      <c r="B766" s="21"/>
      <c r="C766" s="16"/>
      <c r="D766" s="16"/>
      <c r="E766" s="17"/>
      <c r="F766" s="21"/>
      <c r="G766" s="16"/>
      <c r="H766" s="16"/>
      <c r="I766" s="16"/>
      <c r="J766" s="17"/>
      <c r="K766" s="21"/>
      <c r="L766" s="16"/>
      <c r="M766" s="16"/>
      <c r="N766" s="17"/>
      <c r="O766" s="21"/>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row>
    <row r="767">
      <c r="A767" s="22"/>
      <c r="B767" s="21"/>
      <c r="C767" s="16"/>
      <c r="D767" s="16"/>
      <c r="E767" s="17"/>
      <c r="F767" s="21"/>
      <c r="G767" s="16"/>
      <c r="H767" s="16"/>
      <c r="I767" s="16"/>
      <c r="J767" s="17"/>
      <c r="K767" s="21"/>
      <c r="L767" s="16"/>
      <c r="M767" s="16"/>
      <c r="N767" s="17"/>
      <c r="O767" s="21"/>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row>
    <row r="768">
      <c r="A768" s="22"/>
      <c r="B768" s="21"/>
      <c r="C768" s="16"/>
      <c r="D768" s="16"/>
      <c r="E768" s="17"/>
      <c r="F768" s="21"/>
      <c r="G768" s="16"/>
      <c r="H768" s="16"/>
      <c r="I768" s="16"/>
      <c r="J768" s="17"/>
      <c r="K768" s="21"/>
      <c r="L768" s="16"/>
      <c r="M768" s="16"/>
      <c r="N768" s="17"/>
      <c r="O768" s="21"/>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row>
    <row r="769">
      <c r="A769" s="22"/>
      <c r="B769" s="21"/>
      <c r="C769" s="16"/>
      <c r="D769" s="16"/>
      <c r="E769" s="17"/>
      <c r="F769" s="21"/>
      <c r="G769" s="16"/>
      <c r="H769" s="16"/>
      <c r="I769" s="16"/>
      <c r="J769" s="17"/>
      <c r="K769" s="21"/>
      <c r="L769" s="16"/>
      <c r="M769" s="16"/>
      <c r="N769" s="17"/>
      <c r="O769" s="21"/>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row>
    <row r="770">
      <c r="A770" s="22"/>
      <c r="B770" s="21"/>
      <c r="C770" s="16"/>
      <c r="D770" s="16"/>
      <c r="E770" s="17"/>
      <c r="F770" s="21"/>
      <c r="G770" s="16"/>
      <c r="H770" s="16"/>
      <c r="I770" s="16"/>
      <c r="J770" s="17"/>
      <c r="K770" s="21"/>
      <c r="L770" s="16"/>
      <c r="M770" s="16"/>
      <c r="N770" s="17"/>
      <c r="O770" s="21"/>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row>
    <row r="771">
      <c r="A771" s="22"/>
      <c r="B771" s="21"/>
      <c r="C771" s="16"/>
      <c r="D771" s="16"/>
      <c r="E771" s="17"/>
      <c r="F771" s="21"/>
      <c r="G771" s="16"/>
      <c r="H771" s="16"/>
      <c r="I771" s="16"/>
      <c r="J771" s="17"/>
      <c r="K771" s="21"/>
      <c r="L771" s="16"/>
      <c r="M771" s="16"/>
      <c r="N771" s="17"/>
      <c r="O771" s="21"/>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row>
    <row r="772">
      <c r="A772" s="22"/>
      <c r="B772" s="21"/>
      <c r="C772" s="16"/>
      <c r="D772" s="16"/>
      <c r="E772" s="17"/>
      <c r="F772" s="21"/>
      <c r="G772" s="16"/>
      <c r="H772" s="16"/>
      <c r="I772" s="16"/>
      <c r="J772" s="17"/>
      <c r="K772" s="21"/>
      <c r="L772" s="16"/>
      <c r="M772" s="16"/>
      <c r="N772" s="17"/>
      <c r="O772" s="21"/>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row>
    <row r="773">
      <c r="A773" s="22"/>
      <c r="B773" s="21"/>
      <c r="C773" s="16"/>
      <c r="D773" s="16"/>
      <c r="E773" s="17"/>
      <c r="F773" s="21"/>
      <c r="G773" s="16"/>
      <c r="H773" s="16"/>
      <c r="I773" s="16"/>
      <c r="J773" s="17"/>
      <c r="K773" s="21"/>
      <c r="L773" s="16"/>
      <c r="M773" s="16"/>
      <c r="N773" s="17"/>
      <c r="O773" s="21"/>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row>
    <row r="774">
      <c r="A774" s="22"/>
      <c r="B774" s="21"/>
      <c r="C774" s="16"/>
      <c r="D774" s="16"/>
      <c r="E774" s="17"/>
      <c r="F774" s="21"/>
      <c r="G774" s="16"/>
      <c r="H774" s="16"/>
      <c r="I774" s="16"/>
      <c r="J774" s="17"/>
      <c r="K774" s="21"/>
      <c r="L774" s="16"/>
      <c r="M774" s="16"/>
      <c r="N774" s="17"/>
      <c r="O774" s="21"/>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row>
    <row r="775">
      <c r="A775" s="22"/>
      <c r="B775" s="21"/>
      <c r="C775" s="16"/>
      <c r="D775" s="16"/>
      <c r="E775" s="17"/>
      <c r="F775" s="21"/>
      <c r="G775" s="16"/>
      <c r="H775" s="16"/>
      <c r="I775" s="16"/>
      <c r="J775" s="17"/>
      <c r="K775" s="21"/>
      <c r="L775" s="16"/>
      <c r="M775" s="16"/>
      <c r="N775" s="17"/>
      <c r="O775" s="21"/>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row>
    <row r="776">
      <c r="A776" s="22"/>
      <c r="B776" s="21"/>
      <c r="C776" s="16"/>
      <c r="D776" s="16"/>
      <c r="E776" s="17"/>
      <c r="F776" s="21"/>
      <c r="G776" s="16"/>
      <c r="H776" s="16"/>
      <c r="I776" s="16"/>
      <c r="J776" s="17"/>
      <c r="K776" s="21"/>
      <c r="L776" s="16"/>
      <c r="M776" s="16"/>
      <c r="N776" s="17"/>
      <c r="O776" s="21"/>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row>
    <row r="777">
      <c r="A777" s="22"/>
      <c r="B777" s="21"/>
      <c r="C777" s="16"/>
      <c r="D777" s="16"/>
      <c r="E777" s="17"/>
      <c r="F777" s="21"/>
      <c r="G777" s="16"/>
      <c r="H777" s="16"/>
      <c r="I777" s="16"/>
      <c r="J777" s="17"/>
      <c r="K777" s="21"/>
      <c r="L777" s="16"/>
      <c r="M777" s="16"/>
      <c r="N777" s="17"/>
      <c r="O777" s="21"/>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row>
    <row r="778">
      <c r="A778" s="22"/>
      <c r="B778" s="21"/>
      <c r="C778" s="16"/>
      <c r="D778" s="16"/>
      <c r="E778" s="17"/>
      <c r="F778" s="21"/>
      <c r="G778" s="16"/>
      <c r="H778" s="16"/>
      <c r="I778" s="16"/>
      <c r="J778" s="17"/>
      <c r="K778" s="21"/>
      <c r="L778" s="16"/>
      <c r="M778" s="16"/>
      <c r="N778" s="17"/>
      <c r="O778" s="21"/>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row>
    <row r="779">
      <c r="A779" s="22"/>
      <c r="B779" s="21"/>
      <c r="C779" s="16"/>
      <c r="D779" s="16"/>
      <c r="E779" s="17"/>
      <c r="F779" s="21"/>
      <c r="G779" s="16"/>
      <c r="H779" s="16"/>
      <c r="I779" s="16"/>
      <c r="J779" s="17"/>
      <c r="K779" s="21"/>
      <c r="L779" s="16"/>
      <c r="M779" s="16"/>
      <c r="N779" s="17"/>
      <c r="O779" s="21"/>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row>
    <row r="780">
      <c r="A780" s="22"/>
      <c r="B780" s="21"/>
      <c r="C780" s="16"/>
      <c r="D780" s="16"/>
      <c r="E780" s="17"/>
      <c r="F780" s="21"/>
      <c r="G780" s="16"/>
      <c r="H780" s="16"/>
      <c r="I780" s="16"/>
      <c r="J780" s="17"/>
      <c r="K780" s="21"/>
      <c r="L780" s="16"/>
      <c r="M780" s="16"/>
      <c r="N780" s="17"/>
      <c r="O780" s="21"/>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row>
    <row r="781">
      <c r="A781" s="22"/>
      <c r="B781" s="21"/>
      <c r="C781" s="16"/>
      <c r="D781" s="16"/>
      <c r="E781" s="17"/>
      <c r="F781" s="21"/>
      <c r="G781" s="16"/>
      <c r="H781" s="16"/>
      <c r="I781" s="16"/>
      <c r="J781" s="17"/>
      <c r="K781" s="21"/>
      <c r="L781" s="16"/>
      <c r="M781" s="16"/>
      <c r="N781" s="17"/>
      <c r="O781" s="21"/>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row>
    <row r="782">
      <c r="A782" s="22"/>
      <c r="B782" s="21"/>
      <c r="C782" s="16"/>
      <c r="D782" s="16"/>
      <c r="E782" s="17"/>
      <c r="F782" s="21"/>
      <c r="G782" s="16"/>
      <c r="H782" s="16"/>
      <c r="I782" s="16"/>
      <c r="J782" s="17"/>
      <c r="K782" s="21"/>
      <c r="L782" s="16"/>
      <c r="M782" s="16"/>
      <c r="N782" s="17"/>
      <c r="O782" s="21"/>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row>
    <row r="783">
      <c r="A783" s="22"/>
      <c r="B783" s="21"/>
      <c r="C783" s="16"/>
      <c r="D783" s="16"/>
      <c r="E783" s="17"/>
      <c r="F783" s="21"/>
      <c r="G783" s="16"/>
      <c r="H783" s="16"/>
      <c r="I783" s="16"/>
      <c r="J783" s="17"/>
      <c r="K783" s="21"/>
      <c r="L783" s="16"/>
      <c r="M783" s="16"/>
      <c r="N783" s="17"/>
      <c r="O783" s="21"/>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row>
    <row r="784">
      <c r="A784" s="22"/>
      <c r="B784" s="21"/>
      <c r="C784" s="16"/>
      <c r="D784" s="16"/>
      <c r="E784" s="17"/>
      <c r="F784" s="21"/>
      <c r="G784" s="16"/>
      <c r="H784" s="16"/>
      <c r="I784" s="16"/>
      <c r="J784" s="17"/>
      <c r="K784" s="21"/>
      <c r="L784" s="16"/>
      <c r="M784" s="16"/>
      <c r="N784" s="17"/>
      <c r="O784" s="21"/>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row>
    <row r="785">
      <c r="A785" s="22"/>
      <c r="B785" s="21"/>
      <c r="C785" s="16"/>
      <c r="D785" s="16"/>
      <c r="E785" s="17"/>
      <c r="F785" s="21"/>
      <c r="G785" s="16"/>
      <c r="H785" s="16"/>
      <c r="I785" s="16"/>
      <c r="J785" s="17"/>
      <c r="K785" s="21"/>
      <c r="L785" s="16"/>
      <c r="M785" s="16"/>
      <c r="N785" s="17"/>
      <c r="O785" s="21"/>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row>
    <row r="786">
      <c r="A786" s="22"/>
      <c r="B786" s="21"/>
      <c r="C786" s="16"/>
      <c r="D786" s="16"/>
      <c r="E786" s="17"/>
      <c r="F786" s="21"/>
      <c r="G786" s="16"/>
      <c r="H786" s="16"/>
      <c r="I786" s="16"/>
      <c r="J786" s="17"/>
      <c r="K786" s="21"/>
      <c r="L786" s="16"/>
      <c r="M786" s="16"/>
      <c r="N786" s="17"/>
      <c r="O786" s="21"/>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row>
    <row r="787">
      <c r="A787" s="22"/>
      <c r="B787" s="21"/>
      <c r="C787" s="16"/>
      <c r="D787" s="16"/>
      <c r="E787" s="17"/>
      <c r="F787" s="21"/>
      <c r="G787" s="16"/>
      <c r="H787" s="16"/>
      <c r="I787" s="16"/>
      <c r="J787" s="17"/>
      <c r="K787" s="21"/>
      <c r="L787" s="16"/>
      <c r="M787" s="16"/>
      <c r="N787" s="17"/>
      <c r="O787" s="21"/>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row>
    <row r="788">
      <c r="A788" s="22"/>
      <c r="B788" s="21"/>
      <c r="C788" s="16"/>
      <c r="D788" s="16"/>
      <c r="E788" s="17"/>
      <c r="F788" s="21"/>
      <c r="G788" s="16"/>
      <c r="H788" s="16"/>
      <c r="I788" s="16"/>
      <c r="J788" s="17"/>
      <c r="K788" s="21"/>
      <c r="L788" s="16"/>
      <c r="M788" s="16"/>
      <c r="N788" s="17"/>
      <c r="O788" s="21"/>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row>
    <row r="789">
      <c r="A789" s="22"/>
      <c r="B789" s="21"/>
      <c r="C789" s="16"/>
      <c r="D789" s="16"/>
      <c r="E789" s="17"/>
      <c r="F789" s="21"/>
      <c r="G789" s="16"/>
      <c r="H789" s="16"/>
      <c r="I789" s="16"/>
      <c r="J789" s="17"/>
      <c r="K789" s="21"/>
      <c r="L789" s="16"/>
      <c r="M789" s="16"/>
      <c r="N789" s="17"/>
      <c r="O789" s="21"/>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row>
    <row r="790">
      <c r="A790" s="22"/>
      <c r="B790" s="21"/>
      <c r="C790" s="16"/>
      <c r="D790" s="16"/>
      <c r="E790" s="17"/>
      <c r="F790" s="21"/>
      <c r="G790" s="16"/>
      <c r="H790" s="16"/>
      <c r="I790" s="16"/>
      <c r="J790" s="17"/>
      <c r="K790" s="21"/>
      <c r="L790" s="16"/>
      <c r="M790" s="16"/>
      <c r="N790" s="17"/>
      <c r="O790" s="21"/>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row>
    <row r="791">
      <c r="A791" s="22"/>
      <c r="B791" s="21"/>
      <c r="C791" s="16"/>
      <c r="D791" s="16"/>
      <c r="E791" s="17"/>
      <c r="F791" s="21"/>
      <c r="G791" s="16"/>
      <c r="H791" s="16"/>
      <c r="I791" s="16"/>
      <c r="J791" s="17"/>
      <c r="K791" s="21"/>
      <c r="L791" s="16"/>
      <c r="M791" s="16"/>
      <c r="N791" s="17"/>
      <c r="O791" s="21"/>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row>
    <row r="792">
      <c r="A792" s="22"/>
      <c r="B792" s="21"/>
      <c r="C792" s="16"/>
      <c r="D792" s="16"/>
      <c r="E792" s="17"/>
      <c r="F792" s="21"/>
      <c r="G792" s="16"/>
      <c r="H792" s="16"/>
      <c r="I792" s="16"/>
      <c r="J792" s="17"/>
      <c r="K792" s="21"/>
      <c r="L792" s="16"/>
      <c r="M792" s="16"/>
      <c r="N792" s="17"/>
      <c r="O792" s="21"/>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row>
    <row r="793">
      <c r="A793" s="22"/>
      <c r="B793" s="21"/>
      <c r="C793" s="16"/>
      <c r="D793" s="16"/>
      <c r="E793" s="17"/>
      <c r="F793" s="21"/>
      <c r="G793" s="16"/>
      <c r="H793" s="16"/>
      <c r="I793" s="16"/>
      <c r="J793" s="17"/>
      <c r="K793" s="21"/>
      <c r="L793" s="16"/>
      <c r="M793" s="16"/>
      <c r="N793" s="17"/>
      <c r="O793" s="21"/>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row>
    <row r="794">
      <c r="A794" s="22"/>
      <c r="B794" s="21"/>
      <c r="C794" s="16"/>
      <c r="D794" s="16"/>
      <c r="E794" s="17"/>
      <c r="F794" s="21"/>
      <c r="G794" s="16"/>
      <c r="H794" s="16"/>
      <c r="I794" s="16"/>
      <c r="J794" s="17"/>
      <c r="K794" s="21"/>
      <c r="L794" s="16"/>
      <c r="M794" s="16"/>
      <c r="N794" s="17"/>
      <c r="O794" s="21"/>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row>
    <row r="795">
      <c r="A795" s="22"/>
      <c r="B795" s="21"/>
      <c r="C795" s="16"/>
      <c r="D795" s="16"/>
      <c r="E795" s="17"/>
      <c r="F795" s="21"/>
      <c r="G795" s="16"/>
      <c r="H795" s="16"/>
      <c r="I795" s="16"/>
      <c r="J795" s="17"/>
      <c r="K795" s="21"/>
      <c r="L795" s="16"/>
      <c r="M795" s="16"/>
      <c r="N795" s="17"/>
      <c r="O795" s="21"/>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row>
    <row r="796">
      <c r="A796" s="22"/>
      <c r="B796" s="21"/>
      <c r="C796" s="16"/>
      <c r="D796" s="16"/>
      <c r="E796" s="17"/>
      <c r="F796" s="21"/>
      <c r="G796" s="16"/>
      <c r="H796" s="16"/>
      <c r="I796" s="16"/>
      <c r="J796" s="17"/>
      <c r="K796" s="21"/>
      <c r="L796" s="16"/>
      <c r="M796" s="16"/>
      <c r="N796" s="17"/>
      <c r="O796" s="21"/>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row>
    <row r="797">
      <c r="A797" s="22"/>
      <c r="B797" s="21"/>
      <c r="C797" s="16"/>
      <c r="D797" s="16"/>
      <c r="E797" s="17"/>
      <c r="F797" s="21"/>
      <c r="G797" s="16"/>
      <c r="H797" s="16"/>
      <c r="I797" s="16"/>
      <c r="J797" s="17"/>
      <c r="K797" s="21"/>
      <c r="L797" s="16"/>
      <c r="M797" s="16"/>
      <c r="N797" s="17"/>
      <c r="O797" s="21"/>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row>
    <row r="798">
      <c r="A798" s="22"/>
      <c r="B798" s="21"/>
      <c r="C798" s="16"/>
      <c r="D798" s="16"/>
      <c r="E798" s="17"/>
      <c r="F798" s="21"/>
      <c r="G798" s="16"/>
      <c r="H798" s="16"/>
      <c r="I798" s="16"/>
      <c r="J798" s="17"/>
      <c r="K798" s="21"/>
      <c r="L798" s="16"/>
      <c r="M798" s="16"/>
      <c r="N798" s="17"/>
      <c r="O798" s="21"/>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row>
    <row r="799">
      <c r="A799" s="22"/>
      <c r="B799" s="21"/>
      <c r="C799" s="16"/>
      <c r="D799" s="16"/>
      <c r="E799" s="17"/>
      <c r="F799" s="21"/>
      <c r="G799" s="16"/>
      <c r="H799" s="16"/>
      <c r="I799" s="16"/>
      <c r="J799" s="17"/>
      <c r="K799" s="21"/>
      <c r="L799" s="16"/>
      <c r="M799" s="16"/>
      <c r="N799" s="17"/>
      <c r="O799" s="21"/>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row>
    <row r="800">
      <c r="A800" s="22"/>
      <c r="B800" s="21"/>
      <c r="C800" s="16"/>
      <c r="D800" s="16"/>
      <c r="E800" s="17"/>
      <c r="F800" s="21"/>
      <c r="G800" s="16"/>
      <c r="H800" s="16"/>
      <c r="I800" s="16"/>
      <c r="J800" s="17"/>
      <c r="K800" s="21"/>
      <c r="L800" s="16"/>
      <c r="M800" s="16"/>
      <c r="N800" s="17"/>
      <c r="O800" s="21"/>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row>
    <row r="801">
      <c r="A801" s="22"/>
      <c r="B801" s="21"/>
      <c r="C801" s="16"/>
      <c r="D801" s="16"/>
      <c r="E801" s="17"/>
      <c r="F801" s="21"/>
      <c r="G801" s="16"/>
      <c r="H801" s="16"/>
      <c r="I801" s="16"/>
      <c r="J801" s="17"/>
      <c r="K801" s="21"/>
      <c r="L801" s="16"/>
      <c r="M801" s="16"/>
      <c r="N801" s="17"/>
      <c r="O801" s="21"/>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row>
    <row r="802">
      <c r="A802" s="22"/>
      <c r="B802" s="21"/>
      <c r="C802" s="16"/>
      <c r="D802" s="16"/>
      <c r="E802" s="17"/>
      <c r="F802" s="21"/>
      <c r="G802" s="16"/>
      <c r="H802" s="16"/>
      <c r="I802" s="16"/>
      <c r="J802" s="17"/>
      <c r="K802" s="21"/>
      <c r="L802" s="16"/>
      <c r="M802" s="16"/>
      <c r="N802" s="17"/>
      <c r="O802" s="21"/>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row>
    <row r="803">
      <c r="A803" s="22"/>
      <c r="B803" s="21"/>
      <c r="C803" s="16"/>
      <c r="D803" s="16"/>
      <c r="E803" s="17"/>
      <c r="F803" s="21"/>
      <c r="G803" s="16"/>
      <c r="H803" s="16"/>
      <c r="I803" s="16"/>
      <c r="J803" s="17"/>
      <c r="K803" s="21"/>
      <c r="L803" s="16"/>
      <c r="M803" s="16"/>
      <c r="N803" s="17"/>
      <c r="O803" s="21"/>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row>
    <row r="804">
      <c r="A804" s="22"/>
      <c r="B804" s="21"/>
      <c r="C804" s="16"/>
      <c r="D804" s="16"/>
      <c r="E804" s="17"/>
      <c r="F804" s="21"/>
      <c r="G804" s="16"/>
      <c r="H804" s="16"/>
      <c r="I804" s="16"/>
      <c r="J804" s="17"/>
      <c r="K804" s="21"/>
      <c r="L804" s="16"/>
      <c r="M804" s="16"/>
      <c r="N804" s="17"/>
      <c r="O804" s="21"/>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row>
    <row r="805">
      <c r="A805" s="22"/>
      <c r="B805" s="21"/>
      <c r="C805" s="16"/>
      <c r="D805" s="16"/>
      <c r="E805" s="17"/>
      <c r="F805" s="21"/>
      <c r="G805" s="16"/>
      <c r="H805" s="16"/>
      <c r="I805" s="16"/>
      <c r="J805" s="17"/>
      <c r="K805" s="21"/>
      <c r="L805" s="16"/>
      <c r="M805" s="16"/>
      <c r="N805" s="17"/>
      <c r="O805" s="21"/>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row>
    <row r="806">
      <c r="A806" s="22"/>
      <c r="B806" s="21"/>
      <c r="C806" s="16"/>
      <c r="D806" s="16"/>
      <c r="E806" s="17"/>
      <c r="F806" s="21"/>
      <c r="G806" s="16"/>
      <c r="H806" s="16"/>
      <c r="I806" s="16"/>
      <c r="J806" s="17"/>
      <c r="K806" s="21"/>
      <c r="L806" s="16"/>
      <c r="M806" s="16"/>
      <c r="N806" s="17"/>
      <c r="O806" s="21"/>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row>
    <row r="807">
      <c r="A807" s="22"/>
      <c r="B807" s="21"/>
      <c r="C807" s="16"/>
      <c r="D807" s="16"/>
      <c r="E807" s="17"/>
      <c r="F807" s="21"/>
      <c r="G807" s="16"/>
      <c r="H807" s="16"/>
      <c r="I807" s="16"/>
      <c r="J807" s="17"/>
      <c r="K807" s="21"/>
      <c r="L807" s="16"/>
      <c r="M807" s="16"/>
      <c r="N807" s="17"/>
      <c r="O807" s="21"/>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row>
    <row r="808">
      <c r="A808" s="22"/>
      <c r="B808" s="21"/>
      <c r="C808" s="16"/>
      <c r="D808" s="16"/>
      <c r="E808" s="17"/>
      <c r="F808" s="21"/>
      <c r="G808" s="16"/>
      <c r="H808" s="16"/>
      <c r="I808" s="16"/>
      <c r="J808" s="17"/>
      <c r="K808" s="21"/>
      <c r="L808" s="16"/>
      <c r="M808" s="16"/>
      <c r="N808" s="17"/>
      <c r="O808" s="21"/>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row>
    <row r="809">
      <c r="A809" s="22"/>
      <c r="B809" s="21"/>
      <c r="C809" s="16"/>
      <c r="D809" s="16"/>
      <c r="E809" s="17"/>
      <c r="F809" s="21"/>
      <c r="G809" s="16"/>
      <c r="H809" s="16"/>
      <c r="I809" s="16"/>
      <c r="J809" s="17"/>
      <c r="K809" s="21"/>
      <c r="L809" s="16"/>
      <c r="M809" s="16"/>
      <c r="N809" s="17"/>
      <c r="O809" s="21"/>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row>
    <row r="810">
      <c r="A810" s="22"/>
      <c r="B810" s="21"/>
      <c r="C810" s="16"/>
      <c r="D810" s="16"/>
      <c r="E810" s="17"/>
      <c r="F810" s="21"/>
      <c r="G810" s="16"/>
      <c r="H810" s="16"/>
      <c r="I810" s="16"/>
      <c r="J810" s="17"/>
      <c r="K810" s="21"/>
      <c r="L810" s="16"/>
      <c r="M810" s="16"/>
      <c r="N810" s="17"/>
      <c r="O810" s="21"/>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row>
    <row r="811">
      <c r="A811" s="22"/>
      <c r="B811" s="21"/>
      <c r="C811" s="16"/>
      <c r="D811" s="16"/>
      <c r="E811" s="17"/>
      <c r="F811" s="21"/>
      <c r="G811" s="16"/>
      <c r="H811" s="16"/>
      <c r="I811" s="16"/>
      <c r="J811" s="17"/>
      <c r="K811" s="21"/>
      <c r="L811" s="16"/>
      <c r="M811" s="16"/>
      <c r="N811" s="17"/>
      <c r="O811" s="21"/>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row>
    <row r="812">
      <c r="A812" s="22"/>
      <c r="B812" s="21"/>
      <c r="C812" s="16"/>
      <c r="D812" s="16"/>
      <c r="E812" s="17"/>
      <c r="F812" s="21"/>
      <c r="G812" s="16"/>
      <c r="H812" s="16"/>
      <c r="I812" s="16"/>
      <c r="J812" s="17"/>
      <c r="K812" s="21"/>
      <c r="L812" s="16"/>
      <c r="M812" s="16"/>
      <c r="N812" s="17"/>
      <c r="O812" s="21"/>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row>
    <row r="813">
      <c r="A813" s="22"/>
      <c r="B813" s="21"/>
      <c r="C813" s="16"/>
      <c r="D813" s="16"/>
      <c r="E813" s="17"/>
      <c r="F813" s="21"/>
      <c r="G813" s="16"/>
      <c r="H813" s="16"/>
      <c r="I813" s="16"/>
      <c r="J813" s="17"/>
      <c r="K813" s="21"/>
      <c r="L813" s="16"/>
      <c r="M813" s="16"/>
      <c r="N813" s="17"/>
      <c r="O813" s="21"/>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row>
    <row r="814">
      <c r="A814" s="22"/>
      <c r="B814" s="21"/>
      <c r="C814" s="16"/>
      <c r="D814" s="16"/>
      <c r="E814" s="17"/>
      <c r="F814" s="21"/>
      <c r="G814" s="16"/>
      <c r="H814" s="16"/>
      <c r="I814" s="16"/>
      <c r="J814" s="17"/>
      <c r="K814" s="21"/>
      <c r="L814" s="16"/>
      <c r="M814" s="16"/>
      <c r="N814" s="17"/>
      <c r="O814" s="21"/>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row>
    <row r="815">
      <c r="A815" s="22"/>
      <c r="B815" s="21"/>
      <c r="C815" s="16"/>
      <c r="D815" s="16"/>
      <c r="E815" s="17"/>
      <c r="F815" s="21"/>
      <c r="G815" s="16"/>
      <c r="H815" s="16"/>
      <c r="I815" s="16"/>
      <c r="J815" s="17"/>
      <c r="K815" s="21"/>
      <c r="L815" s="16"/>
      <c r="M815" s="16"/>
      <c r="N815" s="17"/>
      <c r="O815" s="21"/>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row>
    <row r="816">
      <c r="A816" s="22"/>
      <c r="B816" s="21"/>
      <c r="C816" s="16"/>
      <c r="D816" s="16"/>
      <c r="E816" s="17"/>
      <c r="F816" s="21"/>
      <c r="G816" s="16"/>
      <c r="H816" s="16"/>
      <c r="I816" s="16"/>
      <c r="J816" s="17"/>
      <c r="K816" s="21"/>
      <c r="L816" s="16"/>
      <c r="M816" s="16"/>
      <c r="N816" s="17"/>
      <c r="O816" s="21"/>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row>
    <row r="817">
      <c r="A817" s="22"/>
      <c r="B817" s="21"/>
      <c r="C817" s="16"/>
      <c r="D817" s="16"/>
      <c r="E817" s="17"/>
      <c r="F817" s="21"/>
      <c r="G817" s="16"/>
      <c r="H817" s="16"/>
      <c r="I817" s="16"/>
      <c r="J817" s="17"/>
      <c r="K817" s="21"/>
      <c r="L817" s="16"/>
      <c r="M817" s="16"/>
      <c r="N817" s="17"/>
      <c r="O817" s="21"/>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row>
    <row r="818">
      <c r="A818" s="22"/>
      <c r="B818" s="21"/>
      <c r="C818" s="16"/>
      <c r="D818" s="16"/>
      <c r="E818" s="17"/>
      <c r="F818" s="21"/>
      <c r="G818" s="16"/>
      <c r="H818" s="16"/>
      <c r="I818" s="16"/>
      <c r="J818" s="17"/>
      <c r="K818" s="21"/>
      <c r="L818" s="16"/>
      <c r="M818" s="16"/>
      <c r="N818" s="17"/>
      <c r="O818" s="21"/>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row>
    <row r="819">
      <c r="A819" s="22"/>
      <c r="B819" s="21"/>
      <c r="C819" s="16"/>
      <c r="D819" s="16"/>
      <c r="E819" s="17"/>
      <c r="F819" s="21"/>
      <c r="G819" s="16"/>
      <c r="H819" s="16"/>
      <c r="I819" s="16"/>
      <c r="J819" s="17"/>
      <c r="K819" s="21"/>
      <c r="L819" s="16"/>
      <c r="M819" s="16"/>
      <c r="N819" s="17"/>
      <c r="O819" s="21"/>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row>
    <row r="820">
      <c r="A820" s="22"/>
      <c r="B820" s="21"/>
      <c r="C820" s="16"/>
      <c r="D820" s="16"/>
      <c r="E820" s="17"/>
      <c r="F820" s="21"/>
      <c r="G820" s="16"/>
      <c r="H820" s="16"/>
      <c r="I820" s="16"/>
      <c r="J820" s="17"/>
      <c r="K820" s="21"/>
      <c r="L820" s="16"/>
      <c r="M820" s="16"/>
      <c r="N820" s="17"/>
      <c r="O820" s="21"/>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row>
    <row r="821">
      <c r="A821" s="22"/>
      <c r="B821" s="21"/>
      <c r="C821" s="16"/>
      <c r="D821" s="16"/>
      <c r="E821" s="17"/>
      <c r="F821" s="21"/>
      <c r="G821" s="16"/>
      <c r="H821" s="16"/>
      <c r="I821" s="16"/>
      <c r="J821" s="17"/>
      <c r="K821" s="21"/>
      <c r="L821" s="16"/>
      <c r="M821" s="16"/>
      <c r="N821" s="17"/>
      <c r="O821" s="21"/>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row>
    <row r="822">
      <c r="A822" s="22"/>
      <c r="B822" s="21"/>
      <c r="C822" s="16"/>
      <c r="D822" s="16"/>
      <c r="E822" s="17"/>
      <c r="F822" s="21"/>
      <c r="G822" s="16"/>
      <c r="H822" s="16"/>
      <c r="I822" s="16"/>
      <c r="J822" s="17"/>
      <c r="K822" s="21"/>
      <c r="L822" s="16"/>
      <c r="M822" s="16"/>
      <c r="N822" s="17"/>
      <c r="O822" s="21"/>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row>
    <row r="823">
      <c r="A823" s="22"/>
      <c r="B823" s="21"/>
      <c r="C823" s="16"/>
      <c r="D823" s="16"/>
      <c r="E823" s="17"/>
      <c r="F823" s="21"/>
      <c r="G823" s="16"/>
      <c r="H823" s="16"/>
      <c r="I823" s="16"/>
      <c r="J823" s="17"/>
      <c r="K823" s="21"/>
      <c r="L823" s="16"/>
      <c r="M823" s="16"/>
      <c r="N823" s="17"/>
      <c r="O823" s="21"/>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row>
    <row r="824">
      <c r="A824" s="22"/>
      <c r="B824" s="21"/>
      <c r="C824" s="16"/>
      <c r="D824" s="16"/>
      <c r="E824" s="17"/>
      <c r="F824" s="21"/>
      <c r="G824" s="16"/>
      <c r="H824" s="16"/>
      <c r="I824" s="16"/>
      <c r="J824" s="17"/>
      <c r="K824" s="21"/>
      <c r="L824" s="16"/>
      <c r="M824" s="16"/>
      <c r="N824" s="17"/>
      <c r="O824" s="21"/>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row>
    <row r="825">
      <c r="A825" s="22"/>
      <c r="B825" s="21"/>
      <c r="C825" s="16"/>
      <c r="D825" s="16"/>
      <c r="E825" s="17"/>
      <c r="F825" s="21"/>
      <c r="G825" s="16"/>
      <c r="H825" s="16"/>
      <c r="I825" s="16"/>
      <c r="J825" s="17"/>
      <c r="K825" s="21"/>
      <c r="L825" s="16"/>
      <c r="M825" s="16"/>
      <c r="N825" s="17"/>
      <c r="O825" s="21"/>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row>
    <row r="826">
      <c r="A826" s="22"/>
      <c r="B826" s="21"/>
      <c r="C826" s="16"/>
      <c r="D826" s="16"/>
      <c r="E826" s="17"/>
      <c r="F826" s="21"/>
      <c r="G826" s="16"/>
      <c r="H826" s="16"/>
      <c r="I826" s="16"/>
      <c r="J826" s="17"/>
      <c r="K826" s="21"/>
      <c r="L826" s="16"/>
      <c r="M826" s="16"/>
      <c r="N826" s="17"/>
      <c r="O826" s="21"/>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row>
    <row r="827">
      <c r="A827" s="22"/>
      <c r="B827" s="21"/>
      <c r="C827" s="16"/>
      <c r="D827" s="16"/>
      <c r="E827" s="17"/>
      <c r="F827" s="21"/>
      <c r="G827" s="16"/>
      <c r="H827" s="16"/>
      <c r="I827" s="16"/>
      <c r="J827" s="17"/>
      <c r="K827" s="21"/>
      <c r="L827" s="16"/>
      <c r="M827" s="16"/>
      <c r="N827" s="17"/>
      <c r="O827" s="21"/>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row>
    <row r="828">
      <c r="A828" s="22"/>
      <c r="B828" s="21"/>
      <c r="C828" s="16"/>
      <c r="D828" s="16"/>
      <c r="E828" s="17"/>
      <c r="F828" s="21"/>
      <c r="G828" s="16"/>
      <c r="H828" s="16"/>
      <c r="I828" s="16"/>
      <c r="J828" s="17"/>
      <c r="K828" s="21"/>
      <c r="L828" s="16"/>
      <c r="M828" s="16"/>
      <c r="N828" s="17"/>
      <c r="O828" s="21"/>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row>
    <row r="829">
      <c r="A829" s="22"/>
      <c r="B829" s="21"/>
      <c r="C829" s="16"/>
      <c r="D829" s="16"/>
      <c r="E829" s="17"/>
      <c r="F829" s="21"/>
      <c r="G829" s="16"/>
      <c r="H829" s="16"/>
      <c r="I829" s="16"/>
      <c r="J829" s="17"/>
      <c r="K829" s="21"/>
      <c r="L829" s="16"/>
      <c r="M829" s="16"/>
      <c r="N829" s="17"/>
      <c r="O829" s="21"/>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row>
    <row r="830">
      <c r="A830" s="22"/>
      <c r="B830" s="21"/>
      <c r="C830" s="16"/>
      <c r="D830" s="16"/>
      <c r="E830" s="17"/>
      <c r="F830" s="21"/>
      <c r="G830" s="16"/>
      <c r="H830" s="16"/>
      <c r="I830" s="16"/>
      <c r="J830" s="17"/>
      <c r="K830" s="21"/>
      <c r="L830" s="16"/>
      <c r="M830" s="16"/>
      <c r="N830" s="17"/>
      <c r="O830" s="21"/>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row>
    <row r="831">
      <c r="A831" s="22"/>
      <c r="B831" s="21"/>
      <c r="C831" s="16"/>
      <c r="D831" s="16"/>
      <c r="E831" s="17"/>
      <c r="F831" s="21"/>
      <c r="G831" s="16"/>
      <c r="H831" s="16"/>
      <c r="I831" s="16"/>
      <c r="J831" s="17"/>
      <c r="K831" s="21"/>
      <c r="L831" s="16"/>
      <c r="M831" s="16"/>
      <c r="N831" s="17"/>
      <c r="O831" s="21"/>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row>
    <row r="832">
      <c r="A832" s="22"/>
      <c r="B832" s="21"/>
      <c r="C832" s="16"/>
      <c r="D832" s="16"/>
      <c r="E832" s="17"/>
      <c r="F832" s="21"/>
      <c r="G832" s="16"/>
      <c r="H832" s="16"/>
      <c r="I832" s="16"/>
      <c r="J832" s="17"/>
      <c r="K832" s="21"/>
      <c r="L832" s="16"/>
      <c r="M832" s="16"/>
      <c r="N832" s="17"/>
      <c r="O832" s="21"/>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row>
    <row r="833">
      <c r="A833" s="22"/>
      <c r="B833" s="21"/>
      <c r="C833" s="16"/>
      <c r="D833" s="16"/>
      <c r="E833" s="17"/>
      <c r="F833" s="21"/>
      <c r="G833" s="16"/>
      <c r="H833" s="16"/>
      <c r="I833" s="16"/>
      <c r="J833" s="17"/>
      <c r="K833" s="21"/>
      <c r="L833" s="16"/>
      <c r="M833" s="16"/>
      <c r="N833" s="17"/>
      <c r="O833" s="21"/>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row>
    <row r="834">
      <c r="A834" s="22"/>
      <c r="B834" s="21"/>
      <c r="C834" s="16"/>
      <c r="D834" s="16"/>
      <c r="E834" s="17"/>
      <c r="F834" s="21"/>
      <c r="G834" s="16"/>
      <c r="H834" s="16"/>
      <c r="I834" s="16"/>
      <c r="J834" s="17"/>
      <c r="K834" s="21"/>
      <c r="L834" s="16"/>
      <c r="M834" s="16"/>
      <c r="N834" s="17"/>
      <c r="O834" s="21"/>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row>
    <row r="835">
      <c r="A835" s="22"/>
      <c r="B835" s="21"/>
      <c r="C835" s="16"/>
      <c r="D835" s="16"/>
      <c r="E835" s="17"/>
      <c r="F835" s="21"/>
      <c r="G835" s="16"/>
      <c r="H835" s="16"/>
      <c r="I835" s="16"/>
      <c r="J835" s="17"/>
      <c r="K835" s="21"/>
      <c r="L835" s="16"/>
      <c r="M835" s="16"/>
      <c r="N835" s="17"/>
      <c r="O835" s="21"/>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row>
    <row r="836">
      <c r="A836" s="22"/>
      <c r="B836" s="21"/>
      <c r="C836" s="16"/>
      <c r="D836" s="16"/>
      <c r="E836" s="17"/>
      <c r="F836" s="21"/>
      <c r="G836" s="16"/>
      <c r="H836" s="16"/>
      <c r="I836" s="16"/>
      <c r="J836" s="17"/>
      <c r="K836" s="21"/>
      <c r="L836" s="16"/>
      <c r="M836" s="16"/>
      <c r="N836" s="17"/>
      <c r="O836" s="21"/>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row>
    <row r="837">
      <c r="A837" s="22"/>
      <c r="B837" s="21"/>
      <c r="C837" s="16"/>
      <c r="D837" s="16"/>
      <c r="E837" s="17"/>
      <c r="F837" s="21"/>
      <c r="G837" s="16"/>
      <c r="H837" s="16"/>
      <c r="I837" s="16"/>
      <c r="J837" s="17"/>
      <c r="K837" s="21"/>
      <c r="L837" s="16"/>
      <c r="M837" s="16"/>
      <c r="N837" s="17"/>
      <c r="O837" s="21"/>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row>
    <row r="838">
      <c r="A838" s="22"/>
      <c r="B838" s="21"/>
      <c r="C838" s="16"/>
      <c r="D838" s="16"/>
      <c r="E838" s="17"/>
      <c r="F838" s="21"/>
      <c r="G838" s="16"/>
      <c r="H838" s="16"/>
      <c r="I838" s="16"/>
      <c r="J838" s="17"/>
      <c r="K838" s="21"/>
      <c r="L838" s="16"/>
      <c r="M838" s="16"/>
      <c r="N838" s="17"/>
      <c r="O838" s="21"/>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row>
    <row r="839">
      <c r="A839" s="22"/>
      <c r="B839" s="21"/>
      <c r="C839" s="16"/>
      <c r="D839" s="16"/>
      <c r="E839" s="17"/>
      <c r="F839" s="21"/>
      <c r="G839" s="16"/>
      <c r="H839" s="16"/>
      <c r="I839" s="16"/>
      <c r="J839" s="17"/>
      <c r="K839" s="21"/>
      <c r="L839" s="16"/>
      <c r="M839" s="16"/>
      <c r="N839" s="17"/>
      <c r="O839" s="21"/>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row>
    <row r="840">
      <c r="A840" s="22"/>
      <c r="B840" s="21"/>
      <c r="C840" s="16"/>
      <c r="D840" s="16"/>
      <c r="E840" s="17"/>
      <c r="F840" s="21"/>
      <c r="G840" s="16"/>
      <c r="H840" s="16"/>
      <c r="I840" s="16"/>
      <c r="J840" s="17"/>
      <c r="K840" s="21"/>
      <c r="L840" s="16"/>
      <c r="M840" s="16"/>
      <c r="N840" s="17"/>
      <c r="O840" s="21"/>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row>
    <row r="841">
      <c r="A841" s="22"/>
      <c r="B841" s="21"/>
      <c r="C841" s="16"/>
      <c r="D841" s="16"/>
      <c r="E841" s="17"/>
      <c r="F841" s="21"/>
      <c r="G841" s="16"/>
      <c r="H841" s="16"/>
      <c r="I841" s="16"/>
      <c r="J841" s="17"/>
      <c r="K841" s="21"/>
      <c r="L841" s="16"/>
      <c r="M841" s="16"/>
      <c r="N841" s="17"/>
      <c r="O841" s="21"/>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row>
    <row r="842">
      <c r="A842" s="22"/>
      <c r="B842" s="21"/>
      <c r="C842" s="16"/>
      <c r="D842" s="16"/>
      <c r="E842" s="17"/>
      <c r="F842" s="21"/>
      <c r="G842" s="16"/>
      <c r="H842" s="16"/>
      <c r="I842" s="16"/>
      <c r="J842" s="17"/>
      <c r="K842" s="21"/>
      <c r="L842" s="16"/>
      <c r="M842" s="16"/>
      <c r="N842" s="17"/>
      <c r="O842" s="21"/>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row>
    <row r="843">
      <c r="A843" s="22"/>
      <c r="B843" s="21"/>
      <c r="C843" s="16"/>
      <c r="D843" s="16"/>
      <c r="E843" s="17"/>
      <c r="F843" s="21"/>
      <c r="G843" s="16"/>
      <c r="H843" s="16"/>
      <c r="I843" s="16"/>
      <c r="J843" s="17"/>
      <c r="K843" s="21"/>
      <c r="L843" s="16"/>
      <c r="M843" s="16"/>
      <c r="N843" s="17"/>
      <c r="O843" s="21"/>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row>
    <row r="844">
      <c r="A844" s="22"/>
      <c r="B844" s="21"/>
      <c r="C844" s="16"/>
      <c r="D844" s="16"/>
      <c r="E844" s="17"/>
      <c r="F844" s="21"/>
      <c r="G844" s="16"/>
      <c r="H844" s="16"/>
      <c r="I844" s="16"/>
      <c r="J844" s="17"/>
      <c r="K844" s="21"/>
      <c r="L844" s="16"/>
      <c r="M844" s="16"/>
      <c r="N844" s="17"/>
      <c r="O844" s="21"/>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row>
    <row r="845">
      <c r="A845" s="22"/>
      <c r="B845" s="21"/>
      <c r="C845" s="16"/>
      <c r="D845" s="16"/>
      <c r="E845" s="17"/>
      <c r="F845" s="21"/>
      <c r="G845" s="16"/>
      <c r="H845" s="16"/>
      <c r="I845" s="16"/>
      <c r="J845" s="17"/>
      <c r="K845" s="21"/>
      <c r="L845" s="16"/>
      <c r="M845" s="16"/>
      <c r="N845" s="17"/>
      <c r="O845" s="21"/>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row>
    <row r="846">
      <c r="A846" s="22"/>
      <c r="B846" s="21"/>
      <c r="C846" s="16"/>
      <c r="D846" s="16"/>
      <c r="E846" s="17"/>
      <c r="F846" s="21"/>
      <c r="G846" s="16"/>
      <c r="H846" s="16"/>
      <c r="I846" s="16"/>
      <c r="J846" s="17"/>
      <c r="K846" s="21"/>
      <c r="L846" s="16"/>
      <c r="M846" s="16"/>
      <c r="N846" s="17"/>
      <c r="O846" s="21"/>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row>
    <row r="847">
      <c r="A847" s="22"/>
      <c r="B847" s="21"/>
      <c r="C847" s="16"/>
      <c r="D847" s="16"/>
      <c r="E847" s="17"/>
      <c r="F847" s="21"/>
      <c r="G847" s="16"/>
      <c r="H847" s="16"/>
      <c r="I847" s="16"/>
      <c r="J847" s="17"/>
      <c r="K847" s="21"/>
      <c r="L847" s="16"/>
      <c r="M847" s="16"/>
      <c r="N847" s="17"/>
      <c r="O847" s="21"/>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row>
    <row r="848">
      <c r="A848" s="22"/>
      <c r="B848" s="21"/>
      <c r="C848" s="16"/>
      <c r="D848" s="16"/>
      <c r="E848" s="17"/>
      <c r="F848" s="21"/>
      <c r="G848" s="16"/>
      <c r="H848" s="16"/>
      <c r="I848" s="16"/>
      <c r="J848" s="17"/>
      <c r="K848" s="21"/>
      <c r="L848" s="16"/>
      <c r="M848" s="16"/>
      <c r="N848" s="17"/>
      <c r="O848" s="21"/>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row>
    <row r="849">
      <c r="A849" s="22"/>
      <c r="B849" s="21"/>
      <c r="C849" s="16"/>
      <c r="D849" s="16"/>
      <c r="E849" s="17"/>
      <c r="F849" s="21"/>
      <c r="G849" s="16"/>
      <c r="H849" s="16"/>
      <c r="I849" s="16"/>
      <c r="J849" s="17"/>
      <c r="K849" s="21"/>
      <c r="L849" s="16"/>
      <c r="M849" s="16"/>
      <c r="N849" s="17"/>
      <c r="O849" s="21"/>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row>
    <row r="850">
      <c r="A850" s="22"/>
      <c r="B850" s="21"/>
      <c r="C850" s="16"/>
      <c r="D850" s="16"/>
      <c r="E850" s="17"/>
      <c r="F850" s="21"/>
      <c r="G850" s="16"/>
      <c r="H850" s="16"/>
      <c r="I850" s="16"/>
      <c r="J850" s="17"/>
      <c r="K850" s="21"/>
      <c r="L850" s="16"/>
      <c r="M850" s="16"/>
      <c r="N850" s="17"/>
      <c r="O850" s="21"/>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row>
    <row r="851">
      <c r="A851" s="22"/>
      <c r="B851" s="21"/>
      <c r="C851" s="16"/>
      <c r="D851" s="16"/>
      <c r="E851" s="17"/>
      <c r="F851" s="21"/>
      <c r="G851" s="16"/>
      <c r="H851" s="16"/>
      <c r="I851" s="16"/>
      <c r="J851" s="17"/>
      <c r="K851" s="21"/>
      <c r="L851" s="16"/>
      <c r="M851" s="16"/>
      <c r="N851" s="17"/>
      <c r="O851" s="21"/>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row>
    <row r="852">
      <c r="A852" s="22"/>
      <c r="B852" s="21"/>
      <c r="C852" s="16"/>
      <c r="D852" s="16"/>
      <c r="E852" s="17"/>
      <c r="F852" s="21"/>
      <c r="G852" s="16"/>
      <c r="H852" s="16"/>
      <c r="I852" s="16"/>
      <c r="J852" s="17"/>
      <c r="K852" s="21"/>
      <c r="L852" s="16"/>
      <c r="M852" s="16"/>
      <c r="N852" s="17"/>
      <c r="O852" s="21"/>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row>
    <row r="853">
      <c r="A853" s="22"/>
      <c r="B853" s="21"/>
      <c r="C853" s="16"/>
      <c r="D853" s="16"/>
      <c r="E853" s="17"/>
      <c r="F853" s="21"/>
      <c r="G853" s="16"/>
      <c r="H853" s="16"/>
      <c r="I853" s="16"/>
      <c r="J853" s="17"/>
      <c r="K853" s="21"/>
      <c r="L853" s="16"/>
      <c r="M853" s="16"/>
      <c r="N853" s="17"/>
      <c r="O853" s="21"/>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row>
    <row r="854">
      <c r="A854" s="22"/>
      <c r="B854" s="21"/>
      <c r="C854" s="16"/>
      <c r="D854" s="16"/>
      <c r="E854" s="17"/>
      <c r="F854" s="21"/>
      <c r="G854" s="16"/>
      <c r="H854" s="16"/>
      <c r="I854" s="16"/>
      <c r="J854" s="17"/>
      <c r="K854" s="21"/>
      <c r="L854" s="16"/>
      <c r="M854" s="16"/>
      <c r="N854" s="17"/>
      <c r="O854" s="21"/>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row>
    <row r="855">
      <c r="A855" s="22"/>
      <c r="B855" s="21"/>
      <c r="C855" s="16"/>
      <c r="D855" s="16"/>
      <c r="E855" s="17"/>
      <c r="F855" s="21"/>
      <c r="G855" s="16"/>
      <c r="H855" s="16"/>
      <c r="I855" s="16"/>
      <c r="J855" s="17"/>
      <c r="K855" s="21"/>
      <c r="L855" s="16"/>
      <c r="M855" s="16"/>
      <c r="N855" s="17"/>
      <c r="O855" s="21"/>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row>
    <row r="856">
      <c r="A856" s="22"/>
      <c r="B856" s="21"/>
      <c r="C856" s="16"/>
      <c r="D856" s="16"/>
      <c r="E856" s="17"/>
      <c r="F856" s="21"/>
      <c r="G856" s="16"/>
      <c r="H856" s="16"/>
      <c r="I856" s="16"/>
      <c r="J856" s="17"/>
      <c r="K856" s="21"/>
      <c r="L856" s="16"/>
      <c r="M856" s="16"/>
      <c r="N856" s="17"/>
      <c r="O856" s="21"/>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row>
    <row r="857">
      <c r="A857" s="22"/>
      <c r="B857" s="21"/>
      <c r="C857" s="16"/>
      <c r="D857" s="16"/>
      <c r="E857" s="17"/>
      <c r="F857" s="21"/>
      <c r="G857" s="16"/>
      <c r="H857" s="16"/>
      <c r="I857" s="16"/>
      <c r="J857" s="17"/>
      <c r="K857" s="21"/>
      <c r="L857" s="16"/>
      <c r="M857" s="16"/>
      <c r="N857" s="17"/>
      <c r="O857" s="21"/>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row>
    <row r="858">
      <c r="A858" s="22"/>
      <c r="B858" s="21"/>
      <c r="C858" s="16"/>
      <c r="D858" s="16"/>
      <c r="E858" s="17"/>
      <c r="F858" s="21"/>
      <c r="G858" s="16"/>
      <c r="H858" s="16"/>
      <c r="I858" s="16"/>
      <c r="J858" s="17"/>
      <c r="K858" s="21"/>
      <c r="L858" s="16"/>
      <c r="M858" s="16"/>
      <c r="N858" s="17"/>
      <c r="O858" s="21"/>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row>
    <row r="859">
      <c r="A859" s="22"/>
      <c r="B859" s="21"/>
      <c r="C859" s="16"/>
      <c r="D859" s="16"/>
      <c r="E859" s="17"/>
      <c r="F859" s="21"/>
      <c r="G859" s="16"/>
      <c r="H859" s="16"/>
      <c r="I859" s="16"/>
      <c r="J859" s="17"/>
      <c r="K859" s="21"/>
      <c r="L859" s="16"/>
      <c r="M859" s="16"/>
      <c r="N859" s="17"/>
      <c r="O859" s="21"/>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row>
    <row r="860">
      <c r="A860" s="22"/>
      <c r="B860" s="21"/>
      <c r="C860" s="16"/>
      <c r="D860" s="16"/>
      <c r="E860" s="17"/>
      <c r="F860" s="21"/>
      <c r="G860" s="16"/>
      <c r="H860" s="16"/>
      <c r="I860" s="16"/>
      <c r="J860" s="17"/>
      <c r="K860" s="21"/>
      <c r="L860" s="16"/>
      <c r="M860" s="16"/>
      <c r="N860" s="17"/>
      <c r="O860" s="21"/>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row>
    <row r="861">
      <c r="A861" s="22"/>
      <c r="B861" s="21"/>
      <c r="C861" s="16"/>
      <c r="D861" s="16"/>
      <c r="E861" s="17"/>
      <c r="F861" s="21"/>
      <c r="G861" s="16"/>
      <c r="H861" s="16"/>
      <c r="I861" s="16"/>
      <c r="J861" s="17"/>
      <c r="K861" s="21"/>
      <c r="L861" s="16"/>
      <c r="M861" s="16"/>
      <c r="N861" s="17"/>
      <c r="O861" s="21"/>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row>
    <row r="862">
      <c r="A862" s="22"/>
      <c r="B862" s="21"/>
      <c r="C862" s="16"/>
      <c r="D862" s="16"/>
      <c r="E862" s="17"/>
      <c r="F862" s="21"/>
      <c r="G862" s="16"/>
      <c r="H862" s="16"/>
      <c r="I862" s="16"/>
      <c r="J862" s="17"/>
      <c r="K862" s="21"/>
      <c r="L862" s="16"/>
      <c r="M862" s="16"/>
      <c r="N862" s="17"/>
      <c r="O862" s="21"/>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row>
    <row r="863">
      <c r="A863" s="22"/>
      <c r="B863" s="21"/>
      <c r="C863" s="16"/>
      <c r="D863" s="16"/>
      <c r="E863" s="17"/>
      <c r="F863" s="21"/>
      <c r="G863" s="16"/>
      <c r="H863" s="16"/>
      <c r="I863" s="16"/>
      <c r="J863" s="17"/>
      <c r="K863" s="21"/>
      <c r="L863" s="16"/>
      <c r="M863" s="16"/>
      <c r="N863" s="17"/>
      <c r="O863" s="21"/>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row>
    <row r="864">
      <c r="A864" s="22"/>
      <c r="B864" s="21"/>
      <c r="C864" s="16"/>
      <c r="D864" s="16"/>
      <c r="E864" s="17"/>
      <c r="F864" s="21"/>
      <c r="G864" s="16"/>
      <c r="H864" s="16"/>
      <c r="I864" s="16"/>
      <c r="J864" s="17"/>
      <c r="K864" s="21"/>
      <c r="L864" s="16"/>
      <c r="M864" s="16"/>
      <c r="N864" s="17"/>
      <c r="O864" s="21"/>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row>
    <row r="865">
      <c r="A865" s="22"/>
      <c r="B865" s="21"/>
      <c r="C865" s="16"/>
      <c r="D865" s="16"/>
      <c r="E865" s="17"/>
      <c r="F865" s="21"/>
      <c r="G865" s="16"/>
      <c r="H865" s="16"/>
      <c r="I865" s="16"/>
      <c r="J865" s="17"/>
      <c r="K865" s="21"/>
      <c r="L865" s="16"/>
      <c r="M865" s="16"/>
      <c r="N865" s="17"/>
      <c r="O865" s="21"/>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row>
    <row r="866">
      <c r="A866" s="22"/>
      <c r="B866" s="21"/>
      <c r="C866" s="16"/>
      <c r="D866" s="16"/>
      <c r="E866" s="17"/>
      <c r="F866" s="21"/>
      <c r="G866" s="16"/>
      <c r="H866" s="16"/>
      <c r="I866" s="16"/>
      <c r="J866" s="17"/>
      <c r="K866" s="21"/>
      <c r="L866" s="16"/>
      <c r="M866" s="16"/>
      <c r="N866" s="17"/>
      <c r="O866" s="21"/>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row>
    <row r="867">
      <c r="A867" s="22"/>
      <c r="B867" s="21"/>
      <c r="C867" s="16"/>
      <c r="D867" s="16"/>
      <c r="E867" s="17"/>
      <c r="F867" s="21"/>
      <c r="G867" s="16"/>
      <c r="H867" s="16"/>
      <c r="I867" s="16"/>
      <c r="J867" s="17"/>
      <c r="K867" s="21"/>
      <c r="L867" s="16"/>
      <c r="M867" s="16"/>
      <c r="N867" s="17"/>
      <c r="O867" s="21"/>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row>
    <row r="868">
      <c r="A868" s="22"/>
      <c r="B868" s="21"/>
      <c r="C868" s="16"/>
      <c r="D868" s="16"/>
      <c r="E868" s="17"/>
      <c r="F868" s="21"/>
      <c r="G868" s="16"/>
      <c r="H868" s="16"/>
      <c r="I868" s="16"/>
      <c r="J868" s="17"/>
      <c r="K868" s="21"/>
      <c r="L868" s="16"/>
      <c r="M868" s="16"/>
      <c r="N868" s="17"/>
      <c r="O868" s="21"/>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row>
    <row r="869">
      <c r="A869" s="22"/>
      <c r="B869" s="21"/>
      <c r="C869" s="16"/>
      <c r="D869" s="16"/>
      <c r="E869" s="17"/>
      <c r="F869" s="21"/>
      <c r="G869" s="16"/>
      <c r="H869" s="16"/>
      <c r="I869" s="16"/>
      <c r="J869" s="17"/>
      <c r="K869" s="21"/>
      <c r="L869" s="16"/>
      <c r="M869" s="16"/>
      <c r="N869" s="17"/>
      <c r="O869" s="21"/>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row>
    <row r="870">
      <c r="A870" s="22"/>
      <c r="B870" s="21"/>
      <c r="C870" s="16"/>
      <c r="D870" s="16"/>
      <c r="E870" s="17"/>
      <c r="F870" s="21"/>
      <c r="G870" s="16"/>
      <c r="H870" s="16"/>
      <c r="I870" s="16"/>
      <c r="J870" s="17"/>
      <c r="K870" s="21"/>
      <c r="L870" s="16"/>
      <c r="M870" s="16"/>
      <c r="N870" s="17"/>
      <c r="O870" s="21"/>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row>
    <row r="871">
      <c r="A871" s="22"/>
      <c r="B871" s="21"/>
      <c r="C871" s="16"/>
      <c r="D871" s="16"/>
      <c r="E871" s="17"/>
      <c r="F871" s="21"/>
      <c r="G871" s="16"/>
      <c r="H871" s="16"/>
      <c r="I871" s="16"/>
      <c r="J871" s="17"/>
      <c r="K871" s="21"/>
      <c r="L871" s="16"/>
      <c r="M871" s="16"/>
      <c r="N871" s="17"/>
      <c r="O871" s="21"/>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row>
    <row r="872">
      <c r="A872" s="22"/>
      <c r="B872" s="21"/>
      <c r="C872" s="16"/>
      <c r="D872" s="16"/>
      <c r="E872" s="17"/>
      <c r="F872" s="21"/>
      <c r="G872" s="16"/>
      <c r="H872" s="16"/>
      <c r="I872" s="16"/>
      <c r="J872" s="17"/>
      <c r="K872" s="21"/>
      <c r="L872" s="16"/>
      <c r="M872" s="16"/>
      <c r="N872" s="17"/>
      <c r="O872" s="21"/>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row>
    <row r="873">
      <c r="A873" s="22"/>
      <c r="B873" s="21"/>
      <c r="C873" s="16"/>
      <c r="D873" s="16"/>
      <c r="E873" s="17"/>
      <c r="F873" s="21"/>
      <c r="G873" s="16"/>
      <c r="H873" s="16"/>
      <c r="I873" s="16"/>
      <c r="J873" s="17"/>
      <c r="K873" s="21"/>
      <c r="L873" s="16"/>
      <c r="M873" s="16"/>
      <c r="N873" s="17"/>
      <c r="O873" s="21"/>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row>
    <row r="874">
      <c r="A874" s="22"/>
      <c r="B874" s="21"/>
      <c r="C874" s="16"/>
      <c r="D874" s="16"/>
      <c r="E874" s="17"/>
      <c r="F874" s="21"/>
      <c r="G874" s="16"/>
      <c r="H874" s="16"/>
      <c r="I874" s="16"/>
      <c r="J874" s="17"/>
      <c r="K874" s="21"/>
      <c r="L874" s="16"/>
      <c r="M874" s="16"/>
      <c r="N874" s="17"/>
      <c r="O874" s="21"/>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row>
    <row r="875">
      <c r="A875" s="22"/>
      <c r="B875" s="21"/>
      <c r="C875" s="16"/>
      <c r="D875" s="16"/>
      <c r="E875" s="17"/>
      <c r="F875" s="21"/>
      <c r="G875" s="16"/>
      <c r="H875" s="16"/>
      <c r="I875" s="16"/>
      <c r="J875" s="17"/>
      <c r="K875" s="21"/>
      <c r="L875" s="16"/>
      <c r="M875" s="16"/>
      <c r="N875" s="17"/>
      <c r="O875" s="21"/>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row>
    <row r="876">
      <c r="A876" s="22"/>
      <c r="B876" s="21"/>
      <c r="C876" s="16"/>
      <c r="D876" s="16"/>
      <c r="E876" s="17"/>
      <c r="F876" s="21"/>
      <c r="G876" s="16"/>
      <c r="H876" s="16"/>
      <c r="I876" s="16"/>
      <c r="J876" s="17"/>
      <c r="K876" s="21"/>
      <c r="L876" s="16"/>
      <c r="M876" s="16"/>
      <c r="N876" s="17"/>
      <c r="O876" s="21"/>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row>
    <row r="877">
      <c r="A877" s="22"/>
      <c r="B877" s="21"/>
      <c r="C877" s="16"/>
      <c r="D877" s="16"/>
      <c r="E877" s="17"/>
      <c r="F877" s="21"/>
      <c r="G877" s="16"/>
      <c r="H877" s="16"/>
      <c r="I877" s="16"/>
      <c r="J877" s="17"/>
      <c r="K877" s="21"/>
      <c r="L877" s="16"/>
      <c r="M877" s="16"/>
      <c r="N877" s="17"/>
      <c r="O877" s="21"/>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row>
    <row r="878">
      <c r="A878" s="22"/>
      <c r="B878" s="21"/>
      <c r="C878" s="16"/>
      <c r="D878" s="16"/>
      <c r="E878" s="17"/>
      <c r="F878" s="21"/>
      <c r="G878" s="16"/>
      <c r="H878" s="16"/>
      <c r="I878" s="16"/>
      <c r="J878" s="17"/>
      <c r="K878" s="21"/>
      <c r="L878" s="16"/>
      <c r="M878" s="16"/>
      <c r="N878" s="17"/>
      <c r="O878" s="21"/>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row>
    <row r="879">
      <c r="A879" s="22"/>
      <c r="B879" s="21"/>
      <c r="C879" s="16"/>
      <c r="D879" s="16"/>
      <c r="E879" s="17"/>
      <c r="F879" s="21"/>
      <c r="G879" s="16"/>
      <c r="H879" s="16"/>
      <c r="I879" s="16"/>
      <c r="J879" s="17"/>
      <c r="K879" s="21"/>
      <c r="L879" s="16"/>
      <c r="M879" s="16"/>
      <c r="N879" s="17"/>
      <c r="O879" s="21"/>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row>
    <row r="880">
      <c r="A880" s="22"/>
      <c r="B880" s="21"/>
      <c r="C880" s="16"/>
      <c r="D880" s="16"/>
      <c r="E880" s="17"/>
      <c r="F880" s="21"/>
      <c r="G880" s="16"/>
      <c r="H880" s="16"/>
      <c r="I880" s="16"/>
      <c r="J880" s="17"/>
      <c r="K880" s="21"/>
      <c r="L880" s="16"/>
      <c r="M880" s="16"/>
      <c r="N880" s="17"/>
      <c r="O880" s="21"/>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row>
    <row r="881">
      <c r="A881" s="22"/>
      <c r="B881" s="21"/>
      <c r="C881" s="16"/>
      <c r="D881" s="16"/>
      <c r="E881" s="17"/>
      <c r="F881" s="21"/>
      <c r="G881" s="16"/>
      <c r="H881" s="16"/>
      <c r="I881" s="16"/>
      <c r="J881" s="17"/>
      <c r="K881" s="21"/>
      <c r="L881" s="16"/>
      <c r="M881" s="16"/>
      <c r="N881" s="17"/>
      <c r="O881" s="21"/>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row>
    <row r="882">
      <c r="A882" s="22"/>
      <c r="B882" s="21"/>
      <c r="C882" s="16"/>
      <c r="D882" s="16"/>
      <c r="E882" s="17"/>
      <c r="F882" s="21"/>
      <c r="G882" s="16"/>
      <c r="H882" s="16"/>
      <c r="I882" s="16"/>
      <c r="J882" s="17"/>
      <c r="K882" s="21"/>
      <c r="L882" s="16"/>
      <c r="M882" s="16"/>
      <c r="N882" s="17"/>
      <c r="O882" s="21"/>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row>
    <row r="883">
      <c r="A883" s="22"/>
      <c r="B883" s="21"/>
      <c r="C883" s="16"/>
      <c r="D883" s="16"/>
      <c r="E883" s="17"/>
      <c r="F883" s="21"/>
      <c r="G883" s="16"/>
      <c r="H883" s="16"/>
      <c r="I883" s="16"/>
      <c r="J883" s="17"/>
      <c r="K883" s="21"/>
      <c r="L883" s="16"/>
      <c r="M883" s="16"/>
      <c r="N883" s="17"/>
      <c r="O883" s="21"/>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row>
    <row r="884">
      <c r="A884" s="22"/>
      <c r="B884" s="21"/>
      <c r="C884" s="16"/>
      <c r="D884" s="16"/>
      <c r="E884" s="17"/>
      <c r="F884" s="21"/>
      <c r="G884" s="16"/>
      <c r="H884" s="16"/>
      <c r="I884" s="16"/>
      <c r="J884" s="17"/>
      <c r="K884" s="21"/>
      <c r="L884" s="16"/>
      <c r="M884" s="16"/>
      <c r="N884" s="17"/>
      <c r="O884" s="21"/>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row>
    <row r="885">
      <c r="A885" s="22"/>
      <c r="B885" s="21"/>
      <c r="C885" s="16"/>
      <c r="D885" s="16"/>
      <c r="E885" s="17"/>
      <c r="F885" s="21"/>
      <c r="G885" s="16"/>
      <c r="H885" s="16"/>
      <c r="I885" s="16"/>
      <c r="J885" s="17"/>
      <c r="K885" s="21"/>
      <c r="L885" s="16"/>
      <c r="M885" s="16"/>
      <c r="N885" s="17"/>
      <c r="O885" s="21"/>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row>
    <row r="886">
      <c r="A886" s="22"/>
      <c r="B886" s="21"/>
      <c r="C886" s="16"/>
      <c r="D886" s="16"/>
      <c r="E886" s="17"/>
      <c r="F886" s="21"/>
      <c r="G886" s="16"/>
      <c r="H886" s="16"/>
      <c r="I886" s="16"/>
      <c r="J886" s="17"/>
      <c r="K886" s="21"/>
      <c r="L886" s="16"/>
      <c r="M886" s="16"/>
      <c r="N886" s="17"/>
      <c r="O886" s="21"/>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row>
    <row r="887">
      <c r="A887" s="22"/>
      <c r="B887" s="21"/>
      <c r="C887" s="16"/>
      <c r="D887" s="16"/>
      <c r="E887" s="17"/>
      <c r="F887" s="21"/>
      <c r="G887" s="16"/>
      <c r="H887" s="16"/>
      <c r="I887" s="16"/>
      <c r="J887" s="17"/>
      <c r="K887" s="21"/>
      <c r="L887" s="16"/>
      <c r="M887" s="16"/>
      <c r="N887" s="17"/>
      <c r="O887" s="21"/>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row>
    <row r="888">
      <c r="A888" s="22"/>
      <c r="B888" s="21"/>
      <c r="C888" s="16"/>
      <c r="D888" s="16"/>
      <c r="E888" s="17"/>
      <c r="F888" s="21"/>
      <c r="G888" s="16"/>
      <c r="H888" s="16"/>
      <c r="I888" s="16"/>
      <c r="J888" s="17"/>
      <c r="K888" s="21"/>
      <c r="L888" s="16"/>
      <c r="M888" s="16"/>
      <c r="N888" s="17"/>
      <c r="O888" s="21"/>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row>
    <row r="889">
      <c r="A889" s="22"/>
      <c r="B889" s="21"/>
      <c r="C889" s="16"/>
      <c r="D889" s="16"/>
      <c r="E889" s="17"/>
      <c r="F889" s="21"/>
      <c r="G889" s="16"/>
      <c r="H889" s="16"/>
      <c r="I889" s="16"/>
      <c r="J889" s="17"/>
      <c r="K889" s="21"/>
      <c r="L889" s="16"/>
      <c r="M889" s="16"/>
      <c r="N889" s="17"/>
      <c r="O889" s="21"/>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row>
    <row r="890">
      <c r="A890" s="22"/>
      <c r="B890" s="21"/>
      <c r="C890" s="16"/>
      <c r="D890" s="16"/>
      <c r="E890" s="17"/>
      <c r="F890" s="21"/>
      <c r="G890" s="16"/>
      <c r="H890" s="16"/>
      <c r="I890" s="16"/>
      <c r="J890" s="17"/>
      <c r="K890" s="21"/>
      <c r="L890" s="16"/>
      <c r="M890" s="16"/>
      <c r="N890" s="17"/>
      <c r="O890" s="21"/>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row>
    <row r="891">
      <c r="A891" s="22"/>
      <c r="B891" s="21"/>
      <c r="C891" s="16"/>
      <c r="D891" s="16"/>
      <c r="E891" s="17"/>
      <c r="F891" s="21"/>
      <c r="G891" s="16"/>
      <c r="H891" s="16"/>
      <c r="I891" s="16"/>
      <c r="J891" s="17"/>
      <c r="K891" s="21"/>
      <c r="L891" s="16"/>
      <c r="M891" s="16"/>
      <c r="N891" s="17"/>
      <c r="O891" s="21"/>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row>
    <row r="892">
      <c r="A892" s="22"/>
      <c r="B892" s="21"/>
      <c r="C892" s="16"/>
      <c r="D892" s="16"/>
      <c r="E892" s="17"/>
      <c r="F892" s="21"/>
      <c r="G892" s="16"/>
      <c r="H892" s="16"/>
      <c r="I892" s="16"/>
      <c r="J892" s="17"/>
      <c r="K892" s="21"/>
      <c r="L892" s="16"/>
      <c r="M892" s="16"/>
      <c r="N892" s="17"/>
      <c r="O892" s="21"/>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row>
    <row r="893">
      <c r="A893" s="22"/>
      <c r="B893" s="21"/>
      <c r="C893" s="16"/>
      <c r="D893" s="16"/>
      <c r="E893" s="17"/>
      <c r="F893" s="21"/>
      <c r="G893" s="16"/>
      <c r="H893" s="16"/>
      <c r="I893" s="16"/>
      <c r="J893" s="17"/>
      <c r="K893" s="21"/>
      <c r="L893" s="16"/>
      <c r="M893" s="16"/>
      <c r="N893" s="17"/>
      <c r="O893" s="21"/>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row>
    <row r="894">
      <c r="A894" s="22"/>
      <c r="B894" s="21"/>
      <c r="C894" s="16"/>
      <c r="D894" s="16"/>
      <c r="E894" s="17"/>
      <c r="F894" s="21"/>
      <c r="G894" s="16"/>
      <c r="H894" s="16"/>
      <c r="I894" s="16"/>
      <c r="J894" s="17"/>
      <c r="K894" s="21"/>
      <c r="L894" s="16"/>
      <c r="M894" s="16"/>
      <c r="N894" s="17"/>
      <c r="O894" s="21"/>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row>
    <row r="895">
      <c r="A895" s="22"/>
      <c r="B895" s="21"/>
      <c r="C895" s="16"/>
      <c r="D895" s="16"/>
      <c r="E895" s="17"/>
      <c r="F895" s="21"/>
      <c r="G895" s="16"/>
      <c r="H895" s="16"/>
      <c r="I895" s="16"/>
      <c r="J895" s="17"/>
      <c r="K895" s="21"/>
      <c r="L895" s="16"/>
      <c r="M895" s="16"/>
      <c r="N895" s="17"/>
      <c r="O895" s="21"/>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row>
    <row r="896">
      <c r="A896" s="22"/>
      <c r="B896" s="21"/>
      <c r="C896" s="16"/>
      <c r="D896" s="16"/>
      <c r="E896" s="17"/>
      <c r="F896" s="21"/>
      <c r="G896" s="16"/>
      <c r="H896" s="16"/>
      <c r="I896" s="16"/>
      <c r="J896" s="17"/>
      <c r="K896" s="21"/>
      <c r="L896" s="16"/>
      <c r="M896" s="16"/>
      <c r="N896" s="17"/>
      <c r="O896" s="21"/>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row>
    <row r="897">
      <c r="A897" s="22"/>
      <c r="B897" s="21"/>
      <c r="C897" s="16"/>
      <c r="D897" s="16"/>
      <c r="E897" s="17"/>
      <c r="F897" s="21"/>
      <c r="G897" s="16"/>
      <c r="H897" s="16"/>
      <c r="I897" s="16"/>
      <c r="J897" s="17"/>
      <c r="K897" s="21"/>
      <c r="L897" s="16"/>
      <c r="M897" s="16"/>
      <c r="N897" s="17"/>
      <c r="O897" s="21"/>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row>
    <row r="898">
      <c r="A898" s="22"/>
      <c r="B898" s="21"/>
      <c r="C898" s="16"/>
      <c r="D898" s="16"/>
      <c r="E898" s="17"/>
      <c r="F898" s="21"/>
      <c r="G898" s="16"/>
      <c r="H898" s="16"/>
      <c r="I898" s="16"/>
      <c r="J898" s="17"/>
      <c r="K898" s="21"/>
      <c r="L898" s="16"/>
      <c r="M898" s="16"/>
      <c r="N898" s="17"/>
      <c r="O898" s="21"/>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row>
    <row r="899">
      <c r="A899" s="22"/>
      <c r="B899" s="21"/>
      <c r="C899" s="16"/>
      <c r="D899" s="16"/>
      <c r="E899" s="17"/>
      <c r="F899" s="21"/>
      <c r="G899" s="16"/>
      <c r="H899" s="16"/>
      <c r="I899" s="16"/>
      <c r="J899" s="17"/>
      <c r="K899" s="21"/>
      <c r="L899" s="16"/>
      <c r="M899" s="16"/>
      <c r="N899" s="17"/>
      <c r="O899" s="21"/>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row>
    <row r="900">
      <c r="A900" s="22"/>
      <c r="B900" s="21"/>
      <c r="C900" s="16"/>
      <c r="D900" s="16"/>
      <c r="E900" s="17"/>
      <c r="F900" s="21"/>
      <c r="G900" s="16"/>
      <c r="H900" s="16"/>
      <c r="I900" s="16"/>
      <c r="J900" s="17"/>
      <c r="K900" s="21"/>
      <c r="L900" s="16"/>
      <c r="M900" s="16"/>
      <c r="N900" s="17"/>
      <c r="O900" s="21"/>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row>
    <row r="901">
      <c r="A901" s="22"/>
      <c r="B901" s="21"/>
      <c r="C901" s="16"/>
      <c r="D901" s="16"/>
      <c r="E901" s="17"/>
      <c r="F901" s="21"/>
      <c r="G901" s="16"/>
      <c r="H901" s="16"/>
      <c r="I901" s="16"/>
      <c r="J901" s="17"/>
      <c r="K901" s="21"/>
      <c r="L901" s="16"/>
      <c r="M901" s="16"/>
      <c r="N901" s="17"/>
      <c r="O901" s="21"/>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row>
    <row r="902">
      <c r="A902" s="22"/>
      <c r="B902" s="21"/>
      <c r="C902" s="16"/>
      <c r="D902" s="16"/>
      <c r="E902" s="17"/>
      <c r="F902" s="21"/>
      <c r="G902" s="16"/>
      <c r="H902" s="16"/>
      <c r="I902" s="16"/>
      <c r="J902" s="17"/>
      <c r="K902" s="21"/>
      <c r="L902" s="16"/>
      <c r="M902" s="16"/>
      <c r="N902" s="17"/>
      <c r="O902" s="21"/>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row>
    <row r="903">
      <c r="A903" s="22"/>
      <c r="B903" s="21"/>
      <c r="C903" s="16"/>
      <c r="D903" s="16"/>
      <c r="E903" s="17"/>
      <c r="F903" s="21"/>
      <c r="G903" s="16"/>
      <c r="H903" s="16"/>
      <c r="I903" s="16"/>
      <c r="J903" s="17"/>
      <c r="K903" s="21"/>
      <c r="L903" s="16"/>
      <c r="M903" s="16"/>
      <c r="N903" s="17"/>
      <c r="O903" s="21"/>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row>
    <row r="904">
      <c r="A904" s="22"/>
      <c r="B904" s="21"/>
      <c r="C904" s="16"/>
      <c r="D904" s="16"/>
      <c r="E904" s="17"/>
      <c r="F904" s="21"/>
      <c r="G904" s="16"/>
      <c r="H904" s="16"/>
      <c r="I904" s="16"/>
      <c r="J904" s="17"/>
      <c r="K904" s="21"/>
      <c r="L904" s="16"/>
      <c r="M904" s="16"/>
      <c r="N904" s="17"/>
      <c r="O904" s="21"/>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row>
    <row r="905">
      <c r="A905" s="22"/>
      <c r="B905" s="21"/>
      <c r="C905" s="16"/>
      <c r="D905" s="16"/>
      <c r="E905" s="17"/>
      <c r="F905" s="21"/>
      <c r="G905" s="16"/>
      <c r="H905" s="16"/>
      <c r="I905" s="16"/>
      <c r="J905" s="17"/>
      <c r="K905" s="21"/>
      <c r="L905" s="16"/>
      <c r="M905" s="16"/>
      <c r="N905" s="17"/>
      <c r="O905" s="21"/>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row>
    <row r="906">
      <c r="A906" s="22"/>
      <c r="B906" s="21"/>
      <c r="C906" s="16"/>
      <c r="D906" s="16"/>
      <c r="E906" s="17"/>
      <c r="F906" s="21"/>
      <c r="G906" s="16"/>
      <c r="H906" s="16"/>
      <c r="I906" s="16"/>
      <c r="J906" s="17"/>
      <c r="K906" s="21"/>
      <c r="L906" s="16"/>
      <c r="M906" s="16"/>
      <c r="N906" s="17"/>
      <c r="O906" s="21"/>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row>
    <row r="907">
      <c r="A907" s="22"/>
      <c r="B907" s="21"/>
      <c r="C907" s="16"/>
      <c r="D907" s="16"/>
      <c r="E907" s="17"/>
      <c r="F907" s="21"/>
      <c r="G907" s="16"/>
      <c r="H907" s="16"/>
      <c r="I907" s="16"/>
      <c r="J907" s="17"/>
      <c r="K907" s="21"/>
      <c r="L907" s="16"/>
      <c r="M907" s="16"/>
      <c r="N907" s="17"/>
      <c r="O907" s="21"/>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row>
    <row r="908">
      <c r="A908" s="22"/>
      <c r="B908" s="21"/>
      <c r="C908" s="16"/>
      <c r="D908" s="16"/>
      <c r="E908" s="17"/>
      <c r="F908" s="21"/>
      <c r="G908" s="16"/>
      <c r="H908" s="16"/>
      <c r="I908" s="16"/>
      <c r="J908" s="17"/>
      <c r="K908" s="21"/>
      <c r="L908" s="16"/>
      <c r="M908" s="16"/>
      <c r="N908" s="17"/>
      <c r="O908" s="21"/>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row>
    <row r="909">
      <c r="A909" s="22"/>
      <c r="B909" s="21"/>
      <c r="C909" s="16"/>
      <c r="D909" s="16"/>
      <c r="E909" s="17"/>
      <c r="F909" s="21"/>
      <c r="G909" s="16"/>
      <c r="H909" s="16"/>
      <c r="I909" s="16"/>
      <c r="J909" s="17"/>
      <c r="K909" s="21"/>
      <c r="L909" s="16"/>
      <c r="M909" s="16"/>
      <c r="N909" s="17"/>
      <c r="O909" s="21"/>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row>
    <row r="910">
      <c r="A910" s="22"/>
      <c r="B910" s="21"/>
      <c r="C910" s="16"/>
      <c r="D910" s="16"/>
      <c r="E910" s="17"/>
      <c r="F910" s="21"/>
      <c r="G910" s="16"/>
      <c r="H910" s="16"/>
      <c r="I910" s="16"/>
      <c r="J910" s="17"/>
      <c r="K910" s="21"/>
      <c r="L910" s="16"/>
      <c r="M910" s="16"/>
      <c r="N910" s="17"/>
      <c r="O910" s="21"/>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row>
    <row r="911">
      <c r="A911" s="22"/>
      <c r="B911" s="21"/>
      <c r="C911" s="16"/>
      <c r="D911" s="16"/>
      <c r="E911" s="17"/>
      <c r="F911" s="21"/>
      <c r="G911" s="16"/>
      <c r="H911" s="16"/>
      <c r="I911" s="16"/>
      <c r="J911" s="17"/>
      <c r="K911" s="21"/>
      <c r="L911" s="16"/>
      <c r="M911" s="16"/>
      <c r="N911" s="17"/>
      <c r="O911" s="21"/>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row>
    <row r="912">
      <c r="A912" s="22"/>
      <c r="B912" s="21"/>
      <c r="C912" s="16"/>
      <c r="D912" s="16"/>
      <c r="E912" s="17"/>
      <c r="F912" s="21"/>
      <c r="G912" s="16"/>
      <c r="H912" s="16"/>
      <c r="I912" s="16"/>
      <c r="J912" s="17"/>
      <c r="K912" s="21"/>
      <c r="L912" s="16"/>
      <c r="M912" s="16"/>
      <c r="N912" s="17"/>
      <c r="O912" s="21"/>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row>
    <row r="913">
      <c r="A913" s="22"/>
      <c r="B913" s="21"/>
      <c r="C913" s="16"/>
      <c r="D913" s="16"/>
      <c r="E913" s="17"/>
      <c r="F913" s="21"/>
      <c r="G913" s="16"/>
      <c r="H913" s="16"/>
      <c r="I913" s="16"/>
      <c r="J913" s="17"/>
      <c r="K913" s="21"/>
      <c r="L913" s="16"/>
      <c r="M913" s="16"/>
      <c r="N913" s="17"/>
      <c r="O913" s="21"/>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row>
    <row r="914">
      <c r="A914" s="22"/>
      <c r="B914" s="21"/>
      <c r="C914" s="16"/>
      <c r="D914" s="16"/>
      <c r="E914" s="17"/>
      <c r="F914" s="21"/>
      <c r="G914" s="16"/>
      <c r="H914" s="16"/>
      <c r="I914" s="16"/>
      <c r="J914" s="17"/>
      <c r="K914" s="21"/>
      <c r="L914" s="16"/>
      <c r="M914" s="16"/>
      <c r="N914" s="17"/>
      <c r="O914" s="21"/>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row>
    <row r="915">
      <c r="A915" s="22"/>
      <c r="B915" s="21"/>
      <c r="C915" s="16"/>
      <c r="D915" s="16"/>
      <c r="E915" s="17"/>
      <c r="F915" s="21"/>
      <c r="G915" s="16"/>
      <c r="H915" s="16"/>
      <c r="I915" s="16"/>
      <c r="J915" s="17"/>
      <c r="K915" s="21"/>
      <c r="L915" s="16"/>
      <c r="M915" s="16"/>
      <c r="N915" s="17"/>
      <c r="O915" s="21"/>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row>
    <row r="916">
      <c r="A916" s="22"/>
      <c r="B916" s="21"/>
      <c r="C916" s="16"/>
      <c r="D916" s="16"/>
      <c r="E916" s="17"/>
      <c r="F916" s="21"/>
      <c r="G916" s="16"/>
      <c r="H916" s="16"/>
      <c r="I916" s="16"/>
      <c r="J916" s="17"/>
      <c r="K916" s="21"/>
      <c r="L916" s="16"/>
      <c r="M916" s="16"/>
      <c r="N916" s="17"/>
      <c r="O916" s="21"/>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row>
    <row r="917">
      <c r="A917" s="22"/>
      <c r="B917" s="21"/>
      <c r="C917" s="16"/>
      <c r="D917" s="16"/>
      <c r="E917" s="17"/>
      <c r="F917" s="21"/>
      <c r="G917" s="16"/>
      <c r="H917" s="16"/>
      <c r="I917" s="16"/>
      <c r="J917" s="17"/>
      <c r="K917" s="21"/>
      <c r="L917" s="16"/>
      <c r="M917" s="16"/>
      <c r="N917" s="17"/>
      <c r="O917" s="21"/>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row>
    <row r="918">
      <c r="A918" s="22"/>
      <c r="B918" s="21"/>
      <c r="C918" s="16"/>
      <c r="D918" s="16"/>
      <c r="E918" s="17"/>
      <c r="F918" s="21"/>
      <c r="G918" s="16"/>
      <c r="H918" s="16"/>
      <c r="I918" s="16"/>
      <c r="J918" s="17"/>
      <c r="K918" s="21"/>
      <c r="L918" s="16"/>
      <c r="M918" s="16"/>
      <c r="N918" s="17"/>
      <c r="O918" s="21"/>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row>
    <row r="919">
      <c r="A919" s="22"/>
      <c r="B919" s="21"/>
      <c r="C919" s="16"/>
      <c r="D919" s="16"/>
      <c r="E919" s="17"/>
      <c r="F919" s="21"/>
      <c r="G919" s="16"/>
      <c r="H919" s="16"/>
      <c r="I919" s="16"/>
      <c r="J919" s="17"/>
      <c r="K919" s="21"/>
      <c r="L919" s="16"/>
      <c r="M919" s="16"/>
      <c r="N919" s="17"/>
      <c r="O919" s="21"/>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row>
    <row r="920">
      <c r="A920" s="22"/>
      <c r="B920" s="21"/>
      <c r="C920" s="16"/>
      <c r="D920" s="16"/>
      <c r="E920" s="17"/>
      <c r="F920" s="21"/>
      <c r="G920" s="16"/>
      <c r="H920" s="16"/>
      <c r="I920" s="16"/>
      <c r="J920" s="17"/>
      <c r="K920" s="21"/>
      <c r="L920" s="16"/>
      <c r="M920" s="16"/>
      <c r="N920" s="17"/>
      <c r="O920" s="21"/>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row>
    <row r="921">
      <c r="A921" s="22"/>
      <c r="B921" s="21"/>
      <c r="C921" s="16"/>
      <c r="D921" s="16"/>
      <c r="E921" s="17"/>
      <c r="F921" s="21"/>
      <c r="G921" s="16"/>
      <c r="H921" s="16"/>
      <c r="I921" s="16"/>
      <c r="J921" s="17"/>
      <c r="K921" s="21"/>
      <c r="L921" s="16"/>
      <c r="M921" s="16"/>
      <c r="N921" s="17"/>
      <c r="O921" s="21"/>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row>
    <row r="922">
      <c r="A922" s="22"/>
      <c r="B922" s="21"/>
      <c r="C922" s="16"/>
      <c r="D922" s="16"/>
      <c r="E922" s="17"/>
      <c r="F922" s="21"/>
      <c r="G922" s="16"/>
      <c r="H922" s="16"/>
      <c r="I922" s="16"/>
      <c r="J922" s="17"/>
      <c r="K922" s="21"/>
      <c r="L922" s="16"/>
      <c r="M922" s="16"/>
      <c r="N922" s="17"/>
      <c r="O922" s="21"/>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row>
    <row r="923">
      <c r="A923" s="22"/>
      <c r="B923" s="21"/>
      <c r="C923" s="16"/>
      <c r="D923" s="16"/>
      <c r="E923" s="17"/>
      <c r="F923" s="21"/>
      <c r="G923" s="16"/>
      <c r="H923" s="16"/>
      <c r="I923" s="16"/>
      <c r="J923" s="17"/>
      <c r="K923" s="21"/>
      <c r="L923" s="16"/>
      <c r="M923" s="16"/>
      <c r="N923" s="17"/>
      <c r="O923" s="21"/>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row>
    <row r="924">
      <c r="A924" s="22"/>
      <c r="B924" s="21"/>
      <c r="C924" s="16"/>
      <c r="D924" s="16"/>
      <c r="E924" s="17"/>
      <c r="F924" s="21"/>
      <c r="G924" s="16"/>
      <c r="H924" s="16"/>
      <c r="I924" s="16"/>
      <c r="J924" s="17"/>
      <c r="K924" s="21"/>
      <c r="L924" s="16"/>
      <c r="M924" s="16"/>
      <c r="N924" s="17"/>
      <c r="O924" s="21"/>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row>
    <row r="925">
      <c r="A925" s="22"/>
      <c r="B925" s="21"/>
      <c r="C925" s="16"/>
      <c r="D925" s="16"/>
      <c r="E925" s="17"/>
      <c r="F925" s="21"/>
      <c r="G925" s="16"/>
      <c r="H925" s="16"/>
      <c r="I925" s="16"/>
      <c r="J925" s="17"/>
      <c r="K925" s="21"/>
      <c r="L925" s="16"/>
      <c r="M925" s="16"/>
      <c r="N925" s="17"/>
      <c r="O925" s="21"/>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row>
    <row r="926">
      <c r="A926" s="22"/>
      <c r="B926" s="21"/>
      <c r="C926" s="16"/>
      <c r="D926" s="16"/>
      <c r="E926" s="17"/>
      <c r="F926" s="21"/>
      <c r="G926" s="16"/>
      <c r="H926" s="16"/>
      <c r="I926" s="16"/>
      <c r="J926" s="17"/>
      <c r="K926" s="21"/>
      <c r="L926" s="16"/>
      <c r="M926" s="16"/>
      <c r="N926" s="17"/>
      <c r="O926" s="21"/>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row>
    <row r="927">
      <c r="A927" s="22"/>
      <c r="B927" s="21"/>
      <c r="C927" s="16"/>
      <c r="D927" s="16"/>
      <c r="E927" s="17"/>
      <c r="F927" s="21"/>
      <c r="G927" s="16"/>
      <c r="H927" s="16"/>
      <c r="I927" s="16"/>
      <c r="J927" s="17"/>
      <c r="K927" s="21"/>
      <c r="L927" s="16"/>
      <c r="M927" s="16"/>
      <c r="N927" s="17"/>
      <c r="O927" s="21"/>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row>
    <row r="928">
      <c r="A928" s="22"/>
      <c r="B928" s="21"/>
      <c r="C928" s="16"/>
      <c r="D928" s="16"/>
      <c r="E928" s="17"/>
      <c r="F928" s="21"/>
      <c r="G928" s="16"/>
      <c r="H928" s="16"/>
      <c r="I928" s="16"/>
      <c r="J928" s="17"/>
      <c r="K928" s="21"/>
      <c r="L928" s="16"/>
      <c r="M928" s="16"/>
      <c r="N928" s="17"/>
      <c r="O928" s="21"/>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row>
    <row r="929">
      <c r="A929" s="22"/>
      <c r="B929" s="21"/>
      <c r="C929" s="16"/>
      <c r="D929" s="16"/>
      <c r="E929" s="17"/>
      <c r="F929" s="21"/>
      <c r="G929" s="16"/>
      <c r="H929" s="16"/>
      <c r="I929" s="16"/>
      <c r="J929" s="17"/>
      <c r="K929" s="21"/>
      <c r="L929" s="16"/>
      <c r="M929" s="16"/>
      <c r="N929" s="17"/>
      <c r="O929" s="21"/>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row>
    <row r="930">
      <c r="A930" s="22"/>
      <c r="B930" s="21"/>
      <c r="C930" s="16"/>
      <c r="D930" s="16"/>
      <c r="E930" s="17"/>
      <c r="F930" s="21"/>
      <c r="G930" s="16"/>
      <c r="H930" s="16"/>
      <c r="I930" s="16"/>
      <c r="J930" s="17"/>
      <c r="K930" s="21"/>
      <c r="L930" s="16"/>
      <c r="M930" s="16"/>
      <c r="N930" s="17"/>
      <c r="O930" s="21"/>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row>
    <row r="931">
      <c r="A931" s="22"/>
      <c r="B931" s="21"/>
      <c r="C931" s="16"/>
      <c r="D931" s="16"/>
      <c r="E931" s="17"/>
      <c r="F931" s="21"/>
      <c r="G931" s="16"/>
      <c r="H931" s="16"/>
      <c r="I931" s="16"/>
      <c r="J931" s="17"/>
      <c r="K931" s="21"/>
      <c r="L931" s="16"/>
      <c r="M931" s="16"/>
      <c r="N931" s="17"/>
      <c r="O931" s="21"/>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row>
    <row r="932">
      <c r="A932" s="22"/>
      <c r="B932" s="21"/>
      <c r="C932" s="16"/>
      <c r="D932" s="16"/>
      <c r="E932" s="17"/>
      <c r="F932" s="21"/>
      <c r="G932" s="16"/>
      <c r="H932" s="16"/>
      <c r="I932" s="16"/>
      <c r="J932" s="17"/>
      <c r="K932" s="21"/>
      <c r="L932" s="16"/>
      <c r="M932" s="16"/>
      <c r="N932" s="17"/>
      <c r="O932" s="21"/>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row>
    <row r="933">
      <c r="A933" s="22"/>
      <c r="B933" s="21"/>
      <c r="C933" s="16"/>
      <c r="D933" s="16"/>
      <c r="E933" s="17"/>
      <c r="F933" s="21"/>
      <c r="G933" s="16"/>
      <c r="H933" s="16"/>
      <c r="I933" s="16"/>
      <c r="J933" s="17"/>
      <c r="K933" s="21"/>
      <c r="L933" s="16"/>
      <c r="M933" s="16"/>
      <c r="N933" s="17"/>
      <c r="O933" s="21"/>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row>
    <row r="934">
      <c r="A934" s="22"/>
      <c r="B934" s="21"/>
      <c r="C934" s="16"/>
      <c r="D934" s="16"/>
      <c r="E934" s="17"/>
      <c r="F934" s="21"/>
      <c r="G934" s="16"/>
      <c r="H934" s="16"/>
      <c r="I934" s="16"/>
      <c r="J934" s="17"/>
      <c r="K934" s="21"/>
      <c r="L934" s="16"/>
      <c r="M934" s="16"/>
      <c r="N934" s="17"/>
      <c r="O934" s="21"/>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row>
    <row r="935">
      <c r="A935" s="22"/>
      <c r="B935" s="21"/>
      <c r="C935" s="16"/>
      <c r="D935" s="16"/>
      <c r="E935" s="17"/>
      <c r="F935" s="21"/>
      <c r="G935" s="16"/>
      <c r="H935" s="16"/>
      <c r="I935" s="16"/>
      <c r="J935" s="17"/>
      <c r="K935" s="21"/>
      <c r="L935" s="16"/>
      <c r="M935" s="16"/>
      <c r="N935" s="17"/>
      <c r="O935" s="21"/>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row>
    <row r="936">
      <c r="A936" s="22"/>
      <c r="B936" s="21"/>
      <c r="C936" s="16"/>
      <c r="D936" s="16"/>
      <c r="E936" s="17"/>
      <c r="F936" s="21"/>
      <c r="G936" s="16"/>
      <c r="H936" s="16"/>
      <c r="I936" s="16"/>
      <c r="J936" s="17"/>
      <c r="K936" s="21"/>
      <c r="L936" s="16"/>
      <c r="M936" s="16"/>
      <c r="N936" s="17"/>
      <c r="O936" s="21"/>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row>
    <row r="937">
      <c r="A937" s="22"/>
      <c r="B937" s="21"/>
      <c r="C937" s="16"/>
      <c r="D937" s="16"/>
      <c r="E937" s="17"/>
      <c r="F937" s="21"/>
      <c r="G937" s="16"/>
      <c r="H937" s="16"/>
      <c r="I937" s="16"/>
      <c r="J937" s="17"/>
      <c r="K937" s="21"/>
      <c r="L937" s="16"/>
      <c r="M937" s="16"/>
      <c r="N937" s="17"/>
      <c r="O937" s="21"/>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row>
    <row r="938">
      <c r="A938" s="22"/>
      <c r="B938" s="21"/>
      <c r="C938" s="16"/>
      <c r="D938" s="16"/>
      <c r="E938" s="17"/>
      <c r="F938" s="21"/>
      <c r="G938" s="16"/>
      <c r="H938" s="16"/>
      <c r="I938" s="16"/>
      <c r="J938" s="17"/>
      <c r="K938" s="21"/>
      <c r="L938" s="16"/>
      <c r="M938" s="16"/>
      <c r="N938" s="17"/>
      <c r="O938" s="21"/>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row>
    <row r="939">
      <c r="A939" s="22"/>
      <c r="B939" s="21"/>
      <c r="C939" s="16"/>
      <c r="D939" s="16"/>
      <c r="E939" s="17"/>
      <c r="F939" s="21"/>
      <c r="G939" s="16"/>
      <c r="H939" s="16"/>
      <c r="I939" s="16"/>
      <c r="J939" s="17"/>
      <c r="K939" s="21"/>
      <c r="L939" s="16"/>
      <c r="M939" s="16"/>
      <c r="N939" s="17"/>
      <c r="O939" s="21"/>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row>
    <row r="940">
      <c r="A940" s="22"/>
      <c r="B940" s="21"/>
      <c r="C940" s="16"/>
      <c r="D940" s="16"/>
      <c r="E940" s="17"/>
      <c r="F940" s="21"/>
      <c r="G940" s="16"/>
      <c r="H940" s="16"/>
      <c r="I940" s="16"/>
      <c r="J940" s="17"/>
      <c r="K940" s="21"/>
      <c r="L940" s="16"/>
      <c r="M940" s="16"/>
      <c r="N940" s="17"/>
      <c r="O940" s="21"/>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row>
    <row r="941">
      <c r="A941" s="22"/>
      <c r="B941" s="21"/>
      <c r="C941" s="16"/>
      <c r="D941" s="16"/>
      <c r="E941" s="17"/>
      <c r="F941" s="21"/>
      <c r="G941" s="16"/>
      <c r="H941" s="16"/>
      <c r="I941" s="16"/>
      <c r="J941" s="17"/>
      <c r="K941" s="21"/>
      <c r="L941" s="16"/>
      <c r="M941" s="16"/>
      <c r="N941" s="17"/>
      <c r="O941" s="21"/>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row>
    <row r="942">
      <c r="A942" s="22"/>
      <c r="B942" s="21"/>
      <c r="C942" s="16"/>
      <c r="D942" s="16"/>
      <c r="E942" s="17"/>
      <c r="F942" s="21"/>
      <c r="G942" s="16"/>
      <c r="H942" s="16"/>
      <c r="I942" s="16"/>
      <c r="J942" s="17"/>
      <c r="K942" s="21"/>
      <c r="L942" s="16"/>
      <c r="M942" s="16"/>
      <c r="N942" s="17"/>
      <c r="O942" s="21"/>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row>
    <row r="943">
      <c r="A943" s="22"/>
      <c r="B943" s="21"/>
      <c r="C943" s="16"/>
      <c r="D943" s="16"/>
      <c r="E943" s="17"/>
      <c r="F943" s="21"/>
      <c r="G943" s="16"/>
      <c r="H943" s="16"/>
      <c r="I943" s="16"/>
      <c r="J943" s="17"/>
      <c r="K943" s="21"/>
      <c r="L943" s="16"/>
      <c r="M943" s="16"/>
      <c r="N943" s="17"/>
      <c r="O943" s="21"/>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row>
    <row r="944">
      <c r="A944" s="22"/>
      <c r="B944" s="21"/>
      <c r="C944" s="16"/>
      <c r="D944" s="16"/>
      <c r="E944" s="17"/>
      <c r="F944" s="21"/>
      <c r="G944" s="16"/>
      <c r="H944" s="16"/>
      <c r="I944" s="16"/>
      <c r="J944" s="17"/>
      <c r="K944" s="21"/>
      <c r="L944" s="16"/>
      <c r="M944" s="16"/>
      <c r="N944" s="17"/>
      <c r="O944" s="21"/>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row>
    <row r="945">
      <c r="A945" s="22"/>
      <c r="B945" s="21"/>
      <c r="C945" s="16"/>
      <c r="D945" s="16"/>
      <c r="E945" s="17"/>
      <c r="F945" s="21"/>
      <c r="G945" s="16"/>
      <c r="H945" s="16"/>
      <c r="I945" s="16"/>
      <c r="J945" s="17"/>
      <c r="K945" s="21"/>
      <c r="L945" s="16"/>
      <c r="M945" s="16"/>
      <c r="N945" s="17"/>
      <c r="O945" s="21"/>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row>
    <row r="946">
      <c r="A946" s="22"/>
      <c r="B946" s="21"/>
      <c r="C946" s="16"/>
      <c r="D946" s="16"/>
      <c r="E946" s="17"/>
      <c r="F946" s="21"/>
      <c r="G946" s="16"/>
      <c r="H946" s="16"/>
      <c r="I946" s="16"/>
      <c r="J946" s="17"/>
      <c r="K946" s="21"/>
      <c r="L946" s="16"/>
      <c r="M946" s="16"/>
      <c r="N946" s="17"/>
      <c r="O946" s="21"/>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row>
    <row r="947">
      <c r="A947" s="22"/>
      <c r="B947" s="21"/>
      <c r="C947" s="16"/>
      <c r="D947" s="16"/>
      <c r="E947" s="17"/>
      <c r="F947" s="21"/>
      <c r="G947" s="16"/>
      <c r="H947" s="16"/>
      <c r="I947" s="16"/>
      <c r="J947" s="17"/>
      <c r="K947" s="21"/>
      <c r="L947" s="16"/>
      <c r="M947" s="16"/>
      <c r="N947" s="17"/>
      <c r="O947" s="21"/>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row>
    <row r="948">
      <c r="A948" s="22"/>
      <c r="B948" s="21"/>
      <c r="C948" s="16"/>
      <c r="D948" s="16"/>
      <c r="E948" s="17"/>
      <c r="F948" s="21"/>
      <c r="G948" s="16"/>
      <c r="H948" s="16"/>
      <c r="I948" s="16"/>
      <c r="J948" s="17"/>
      <c r="K948" s="21"/>
      <c r="L948" s="16"/>
      <c r="M948" s="16"/>
      <c r="N948" s="17"/>
      <c r="O948" s="21"/>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row>
    <row r="949">
      <c r="A949" s="22"/>
      <c r="B949" s="21"/>
      <c r="C949" s="16"/>
      <c r="D949" s="16"/>
      <c r="E949" s="17"/>
      <c r="F949" s="21"/>
      <c r="G949" s="16"/>
      <c r="H949" s="16"/>
      <c r="I949" s="16"/>
      <c r="J949" s="17"/>
      <c r="K949" s="21"/>
      <c r="L949" s="16"/>
      <c r="M949" s="16"/>
      <c r="N949" s="17"/>
      <c r="O949" s="21"/>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row>
    <row r="950">
      <c r="A950" s="22"/>
      <c r="B950" s="21"/>
      <c r="C950" s="16"/>
      <c r="D950" s="16"/>
      <c r="E950" s="17"/>
      <c r="F950" s="21"/>
      <c r="G950" s="16"/>
      <c r="H950" s="16"/>
      <c r="I950" s="16"/>
      <c r="J950" s="17"/>
      <c r="K950" s="21"/>
      <c r="L950" s="16"/>
      <c r="M950" s="16"/>
      <c r="N950" s="17"/>
      <c r="O950" s="21"/>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row>
    <row r="951">
      <c r="A951" s="22"/>
      <c r="B951" s="21"/>
      <c r="C951" s="16"/>
      <c r="D951" s="16"/>
      <c r="E951" s="17"/>
      <c r="F951" s="21"/>
      <c r="G951" s="16"/>
      <c r="H951" s="16"/>
      <c r="I951" s="16"/>
      <c r="J951" s="17"/>
      <c r="K951" s="21"/>
      <c r="L951" s="16"/>
      <c r="M951" s="16"/>
      <c r="N951" s="17"/>
      <c r="O951" s="21"/>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row>
    <row r="952">
      <c r="A952" s="22"/>
      <c r="B952" s="21"/>
      <c r="C952" s="16"/>
      <c r="D952" s="16"/>
      <c r="E952" s="17"/>
      <c r="F952" s="21"/>
      <c r="G952" s="16"/>
      <c r="H952" s="16"/>
      <c r="I952" s="16"/>
      <c r="J952" s="17"/>
      <c r="K952" s="21"/>
      <c r="L952" s="16"/>
      <c r="M952" s="16"/>
      <c r="N952" s="17"/>
      <c r="O952" s="21"/>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row>
    <row r="953">
      <c r="A953" s="22"/>
      <c r="B953" s="21"/>
      <c r="C953" s="16"/>
      <c r="D953" s="16"/>
      <c r="E953" s="17"/>
      <c r="F953" s="21"/>
      <c r="G953" s="16"/>
      <c r="H953" s="16"/>
      <c r="I953" s="16"/>
      <c r="J953" s="17"/>
      <c r="K953" s="21"/>
      <c r="L953" s="16"/>
      <c r="M953" s="16"/>
      <c r="N953" s="17"/>
      <c r="O953" s="21"/>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row>
    <row r="954">
      <c r="A954" s="22"/>
      <c r="B954" s="21"/>
      <c r="C954" s="16"/>
      <c r="D954" s="16"/>
      <c r="E954" s="17"/>
      <c r="F954" s="21"/>
      <c r="G954" s="16"/>
      <c r="H954" s="16"/>
      <c r="I954" s="16"/>
      <c r="J954" s="17"/>
      <c r="K954" s="21"/>
      <c r="L954" s="16"/>
      <c r="M954" s="16"/>
      <c r="N954" s="17"/>
      <c r="O954" s="21"/>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row>
    <row r="955">
      <c r="A955" s="22"/>
      <c r="B955" s="21"/>
      <c r="C955" s="16"/>
      <c r="D955" s="16"/>
      <c r="E955" s="17"/>
      <c r="F955" s="21"/>
      <c r="G955" s="16"/>
      <c r="H955" s="16"/>
      <c r="I955" s="16"/>
      <c r="J955" s="17"/>
      <c r="K955" s="21"/>
      <c r="L955" s="16"/>
      <c r="M955" s="16"/>
      <c r="N955" s="17"/>
      <c r="O955" s="21"/>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row>
    <row r="956">
      <c r="A956" s="22"/>
      <c r="B956" s="21"/>
      <c r="C956" s="16"/>
      <c r="D956" s="16"/>
      <c r="E956" s="17"/>
      <c r="F956" s="21"/>
      <c r="G956" s="16"/>
      <c r="H956" s="16"/>
      <c r="I956" s="16"/>
      <c r="J956" s="17"/>
      <c r="K956" s="21"/>
      <c r="L956" s="16"/>
      <c r="M956" s="16"/>
      <c r="N956" s="17"/>
      <c r="O956" s="21"/>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row>
    <row r="957">
      <c r="A957" s="22"/>
      <c r="B957" s="21"/>
      <c r="C957" s="16"/>
      <c r="D957" s="16"/>
      <c r="E957" s="17"/>
      <c r="F957" s="21"/>
      <c r="G957" s="16"/>
      <c r="H957" s="16"/>
      <c r="I957" s="16"/>
      <c r="J957" s="17"/>
      <c r="K957" s="21"/>
      <c r="L957" s="16"/>
      <c r="M957" s="16"/>
      <c r="N957" s="17"/>
      <c r="O957" s="21"/>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row>
    <row r="958">
      <c r="A958" s="22"/>
      <c r="B958" s="21"/>
      <c r="C958" s="16"/>
      <c r="D958" s="16"/>
      <c r="E958" s="17"/>
      <c r="F958" s="21"/>
      <c r="G958" s="16"/>
      <c r="H958" s="16"/>
      <c r="I958" s="16"/>
      <c r="J958" s="17"/>
      <c r="K958" s="21"/>
      <c r="L958" s="16"/>
      <c r="M958" s="16"/>
      <c r="N958" s="17"/>
      <c r="O958" s="21"/>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row>
    <row r="959">
      <c r="A959" s="22"/>
      <c r="B959" s="21"/>
      <c r="C959" s="16"/>
      <c r="D959" s="16"/>
      <c r="E959" s="17"/>
      <c r="F959" s="21"/>
      <c r="G959" s="16"/>
      <c r="H959" s="16"/>
      <c r="I959" s="16"/>
      <c r="J959" s="17"/>
      <c r="K959" s="21"/>
      <c r="L959" s="16"/>
      <c r="M959" s="16"/>
      <c r="N959" s="17"/>
      <c r="O959" s="21"/>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row>
    <row r="960">
      <c r="A960" s="22"/>
      <c r="B960" s="21"/>
      <c r="C960" s="16"/>
      <c r="D960" s="16"/>
      <c r="E960" s="17"/>
      <c r="F960" s="21"/>
      <c r="G960" s="16"/>
      <c r="H960" s="16"/>
      <c r="I960" s="16"/>
      <c r="J960" s="17"/>
      <c r="K960" s="21"/>
      <c r="L960" s="16"/>
      <c r="M960" s="16"/>
      <c r="N960" s="17"/>
      <c r="O960" s="21"/>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row>
    <row r="961">
      <c r="A961" s="22"/>
      <c r="B961" s="21"/>
      <c r="C961" s="16"/>
      <c r="D961" s="16"/>
      <c r="E961" s="17"/>
      <c r="F961" s="21"/>
      <c r="G961" s="16"/>
      <c r="H961" s="16"/>
      <c r="I961" s="16"/>
      <c r="J961" s="17"/>
      <c r="K961" s="21"/>
      <c r="L961" s="16"/>
      <c r="M961" s="16"/>
      <c r="N961" s="17"/>
      <c r="O961" s="21"/>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row>
    <row r="962">
      <c r="A962" s="22"/>
      <c r="B962" s="21"/>
      <c r="C962" s="16"/>
      <c r="D962" s="16"/>
      <c r="E962" s="17"/>
      <c r="F962" s="21"/>
      <c r="G962" s="16"/>
      <c r="H962" s="16"/>
      <c r="I962" s="16"/>
      <c r="J962" s="17"/>
      <c r="K962" s="21"/>
      <c r="L962" s="16"/>
      <c r="M962" s="16"/>
      <c r="N962" s="17"/>
      <c r="O962" s="21"/>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row>
    <row r="963">
      <c r="A963" s="22"/>
      <c r="B963" s="21"/>
      <c r="C963" s="16"/>
      <c r="D963" s="16"/>
      <c r="E963" s="17"/>
      <c r="F963" s="21"/>
      <c r="G963" s="16"/>
      <c r="H963" s="16"/>
      <c r="I963" s="16"/>
      <c r="J963" s="17"/>
      <c r="K963" s="21"/>
      <c r="L963" s="16"/>
      <c r="M963" s="16"/>
      <c r="N963" s="17"/>
      <c r="O963" s="21"/>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row>
    <row r="964">
      <c r="A964" s="22"/>
      <c r="B964" s="21"/>
      <c r="C964" s="16"/>
      <c r="D964" s="16"/>
      <c r="E964" s="17"/>
      <c r="F964" s="21"/>
      <c r="G964" s="16"/>
      <c r="H964" s="16"/>
      <c r="I964" s="16"/>
      <c r="J964" s="17"/>
      <c r="K964" s="21"/>
      <c r="L964" s="16"/>
      <c r="M964" s="16"/>
      <c r="N964" s="17"/>
      <c r="O964" s="21"/>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row>
    <row r="965">
      <c r="A965" s="22"/>
      <c r="B965" s="21"/>
      <c r="C965" s="16"/>
      <c r="D965" s="16"/>
      <c r="E965" s="17"/>
      <c r="F965" s="21"/>
      <c r="G965" s="16"/>
      <c r="H965" s="16"/>
      <c r="I965" s="16"/>
      <c r="J965" s="17"/>
      <c r="K965" s="21"/>
      <c r="L965" s="16"/>
      <c r="M965" s="16"/>
      <c r="N965" s="17"/>
      <c r="O965" s="21"/>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row>
    <row r="966">
      <c r="A966" s="22"/>
      <c r="B966" s="21"/>
      <c r="C966" s="16"/>
      <c r="D966" s="16"/>
      <c r="E966" s="17"/>
      <c r="F966" s="21"/>
      <c r="G966" s="16"/>
      <c r="H966" s="16"/>
      <c r="I966" s="16"/>
      <c r="J966" s="17"/>
      <c r="K966" s="21"/>
      <c r="L966" s="16"/>
      <c r="M966" s="16"/>
      <c r="N966" s="17"/>
      <c r="O966" s="21"/>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row>
    <row r="967">
      <c r="A967" s="22"/>
      <c r="B967" s="21"/>
      <c r="C967" s="16"/>
      <c r="D967" s="16"/>
      <c r="E967" s="17"/>
      <c r="F967" s="21"/>
      <c r="G967" s="16"/>
      <c r="H967" s="16"/>
      <c r="I967" s="16"/>
      <c r="J967" s="17"/>
      <c r="K967" s="21"/>
      <c r="L967" s="16"/>
      <c r="M967" s="16"/>
      <c r="N967" s="17"/>
      <c r="O967" s="21"/>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row>
    <row r="968">
      <c r="A968" s="22"/>
      <c r="B968" s="21"/>
      <c r="C968" s="16"/>
      <c r="D968" s="16"/>
      <c r="E968" s="17"/>
      <c r="F968" s="21"/>
      <c r="G968" s="16"/>
      <c r="H968" s="16"/>
      <c r="I968" s="16"/>
      <c r="J968" s="17"/>
      <c r="K968" s="21"/>
      <c r="L968" s="16"/>
      <c r="M968" s="16"/>
      <c r="N968" s="17"/>
      <c r="O968" s="21"/>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row>
    <row r="969">
      <c r="A969" s="22"/>
      <c r="B969" s="21"/>
      <c r="C969" s="16"/>
      <c r="D969" s="16"/>
      <c r="E969" s="17"/>
      <c r="F969" s="21"/>
      <c r="G969" s="16"/>
      <c r="H969" s="16"/>
      <c r="I969" s="16"/>
      <c r="J969" s="17"/>
      <c r="K969" s="21"/>
      <c r="L969" s="16"/>
      <c r="M969" s="16"/>
      <c r="N969" s="17"/>
      <c r="O969" s="21"/>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row>
    <row r="970">
      <c r="A970" s="22"/>
      <c r="B970" s="21"/>
      <c r="C970" s="16"/>
      <c r="D970" s="16"/>
      <c r="E970" s="17"/>
      <c r="F970" s="21"/>
      <c r="G970" s="16"/>
      <c r="H970" s="16"/>
      <c r="I970" s="16"/>
      <c r="J970" s="17"/>
      <c r="K970" s="21"/>
      <c r="L970" s="16"/>
      <c r="M970" s="16"/>
      <c r="N970" s="17"/>
      <c r="O970" s="21"/>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row>
    <row r="971">
      <c r="A971" s="22"/>
      <c r="B971" s="21"/>
      <c r="C971" s="16"/>
      <c r="D971" s="16"/>
      <c r="E971" s="17"/>
      <c r="F971" s="21"/>
      <c r="G971" s="16"/>
      <c r="H971" s="16"/>
      <c r="I971" s="16"/>
      <c r="J971" s="17"/>
      <c r="K971" s="21"/>
      <c r="L971" s="16"/>
      <c r="M971" s="16"/>
      <c r="N971" s="17"/>
      <c r="O971" s="21"/>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row>
    <row r="972">
      <c r="A972" s="22"/>
      <c r="B972" s="21"/>
      <c r="C972" s="16"/>
      <c r="D972" s="16"/>
      <c r="E972" s="17"/>
      <c r="F972" s="21"/>
      <c r="G972" s="16"/>
      <c r="H972" s="16"/>
      <c r="I972" s="16"/>
      <c r="J972" s="17"/>
      <c r="K972" s="21"/>
      <c r="L972" s="16"/>
      <c r="M972" s="16"/>
      <c r="N972" s="17"/>
      <c r="O972" s="21"/>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row>
    <row r="973">
      <c r="A973" s="22"/>
      <c r="B973" s="21"/>
      <c r="C973" s="16"/>
      <c r="D973" s="16"/>
      <c r="E973" s="17"/>
      <c r="F973" s="21"/>
      <c r="G973" s="16"/>
      <c r="H973" s="16"/>
      <c r="I973" s="16"/>
      <c r="J973" s="17"/>
      <c r="K973" s="21"/>
      <c r="L973" s="16"/>
      <c r="M973" s="16"/>
      <c r="N973" s="17"/>
      <c r="O973" s="21"/>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row>
    <row r="974">
      <c r="A974" s="22"/>
      <c r="B974" s="21"/>
      <c r="C974" s="16"/>
      <c r="D974" s="16"/>
      <c r="E974" s="17"/>
      <c r="F974" s="21"/>
      <c r="G974" s="16"/>
      <c r="H974" s="16"/>
      <c r="I974" s="16"/>
      <c r="J974" s="17"/>
      <c r="K974" s="21"/>
      <c r="L974" s="16"/>
      <c r="M974" s="16"/>
      <c r="N974" s="17"/>
      <c r="O974" s="21"/>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row>
    <row r="975">
      <c r="A975" s="22"/>
      <c r="B975" s="21"/>
      <c r="C975" s="16"/>
      <c r="D975" s="16"/>
      <c r="E975" s="17"/>
      <c r="F975" s="21"/>
      <c r="G975" s="16"/>
      <c r="H975" s="16"/>
      <c r="I975" s="16"/>
      <c r="J975" s="17"/>
      <c r="K975" s="21"/>
      <c r="L975" s="16"/>
      <c r="M975" s="16"/>
      <c r="N975" s="17"/>
      <c r="O975" s="21"/>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row>
    <row r="976">
      <c r="A976" s="22"/>
      <c r="B976" s="21"/>
      <c r="C976" s="16"/>
      <c r="D976" s="16"/>
      <c r="E976" s="17"/>
      <c r="F976" s="21"/>
      <c r="G976" s="16"/>
      <c r="H976" s="16"/>
      <c r="I976" s="16"/>
      <c r="J976" s="17"/>
      <c r="K976" s="21"/>
      <c r="L976" s="16"/>
      <c r="M976" s="16"/>
      <c r="N976" s="17"/>
      <c r="O976" s="21"/>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row>
    <row r="977">
      <c r="A977" s="22"/>
      <c r="B977" s="21"/>
      <c r="C977" s="16"/>
      <c r="D977" s="16"/>
      <c r="E977" s="17"/>
      <c r="F977" s="21"/>
      <c r="G977" s="16"/>
      <c r="H977" s="16"/>
      <c r="I977" s="16"/>
      <c r="J977" s="17"/>
      <c r="K977" s="21"/>
      <c r="L977" s="16"/>
      <c r="M977" s="16"/>
      <c r="N977" s="17"/>
      <c r="O977" s="21"/>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row>
    <row r="978">
      <c r="A978" s="22"/>
      <c r="B978" s="21"/>
      <c r="C978" s="16"/>
      <c r="D978" s="16"/>
      <c r="E978" s="17"/>
      <c r="F978" s="21"/>
      <c r="G978" s="16"/>
      <c r="H978" s="16"/>
      <c r="I978" s="16"/>
      <c r="J978" s="17"/>
      <c r="K978" s="21"/>
      <c r="L978" s="16"/>
      <c r="M978" s="16"/>
      <c r="N978" s="17"/>
      <c r="O978" s="21"/>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row>
    <row r="979">
      <c r="A979" s="22"/>
      <c r="B979" s="21"/>
      <c r="C979" s="16"/>
      <c r="D979" s="16"/>
      <c r="E979" s="17"/>
      <c r="F979" s="21"/>
      <c r="G979" s="16"/>
      <c r="H979" s="16"/>
      <c r="I979" s="16"/>
      <c r="J979" s="17"/>
      <c r="K979" s="21"/>
      <c r="L979" s="16"/>
      <c r="M979" s="16"/>
      <c r="N979" s="17"/>
      <c r="O979" s="21"/>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row>
    <row r="980">
      <c r="A980" s="22"/>
      <c r="B980" s="21"/>
      <c r="C980" s="16"/>
      <c r="D980" s="16"/>
      <c r="E980" s="17"/>
      <c r="F980" s="21"/>
      <c r="G980" s="16"/>
      <c r="H980" s="16"/>
      <c r="I980" s="16"/>
      <c r="J980" s="17"/>
      <c r="K980" s="21"/>
      <c r="L980" s="16"/>
      <c r="M980" s="16"/>
      <c r="N980" s="17"/>
      <c r="O980" s="21"/>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row>
    <row r="981">
      <c r="A981" s="22"/>
      <c r="B981" s="21"/>
      <c r="C981" s="16"/>
      <c r="D981" s="16"/>
      <c r="E981" s="17"/>
      <c r="F981" s="21"/>
      <c r="G981" s="16"/>
      <c r="H981" s="16"/>
      <c r="I981" s="16"/>
      <c r="J981" s="17"/>
      <c r="K981" s="21"/>
      <c r="L981" s="16"/>
      <c r="M981" s="16"/>
      <c r="N981" s="17"/>
      <c r="O981" s="21"/>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row>
    <row r="982">
      <c r="A982" s="22"/>
      <c r="B982" s="21"/>
      <c r="C982" s="16"/>
      <c r="D982" s="16"/>
      <c r="E982" s="17"/>
      <c r="F982" s="21"/>
      <c r="G982" s="16"/>
      <c r="H982" s="16"/>
      <c r="I982" s="16"/>
      <c r="J982" s="17"/>
      <c r="K982" s="21"/>
      <c r="L982" s="16"/>
      <c r="M982" s="16"/>
      <c r="N982" s="17"/>
      <c r="O982" s="21"/>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row>
    <row r="983">
      <c r="A983" s="22"/>
      <c r="B983" s="21"/>
      <c r="C983" s="16"/>
      <c r="D983" s="16"/>
      <c r="E983" s="17"/>
      <c r="F983" s="21"/>
      <c r="G983" s="16"/>
      <c r="H983" s="16"/>
      <c r="I983" s="16"/>
      <c r="J983" s="17"/>
      <c r="K983" s="21"/>
      <c r="L983" s="16"/>
      <c r="M983" s="16"/>
      <c r="N983" s="17"/>
      <c r="O983" s="21"/>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row>
    <row r="984">
      <c r="A984" s="22"/>
      <c r="B984" s="21"/>
      <c r="C984" s="16"/>
      <c r="D984" s="16"/>
      <c r="E984" s="17"/>
      <c r="F984" s="21"/>
      <c r="G984" s="16"/>
      <c r="H984" s="16"/>
      <c r="I984" s="16"/>
      <c r="J984" s="17"/>
      <c r="K984" s="21"/>
      <c r="L984" s="16"/>
      <c r="M984" s="16"/>
      <c r="N984" s="17"/>
      <c r="O984" s="21"/>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row>
    <row r="985">
      <c r="A985" s="22"/>
      <c r="B985" s="21"/>
      <c r="C985" s="16"/>
      <c r="D985" s="16"/>
      <c r="E985" s="17"/>
      <c r="F985" s="21"/>
      <c r="G985" s="16"/>
      <c r="H985" s="16"/>
      <c r="I985" s="16"/>
      <c r="J985" s="17"/>
      <c r="K985" s="21"/>
      <c r="L985" s="16"/>
      <c r="M985" s="16"/>
      <c r="N985" s="17"/>
      <c r="O985" s="21"/>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row>
    <row r="986">
      <c r="A986" s="22"/>
      <c r="B986" s="21"/>
      <c r="C986" s="16"/>
      <c r="D986" s="16"/>
      <c r="E986" s="17"/>
      <c r="F986" s="21"/>
      <c r="G986" s="16"/>
      <c r="H986" s="16"/>
      <c r="I986" s="16"/>
      <c r="J986" s="17"/>
      <c r="K986" s="21"/>
      <c r="L986" s="16"/>
      <c r="M986" s="16"/>
      <c r="N986" s="17"/>
      <c r="O986" s="21"/>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row>
    <row r="987">
      <c r="A987" s="22"/>
      <c r="B987" s="21"/>
      <c r="C987" s="16"/>
      <c r="D987" s="16"/>
      <c r="E987" s="17"/>
      <c r="F987" s="21"/>
      <c r="G987" s="16"/>
      <c r="H987" s="16"/>
      <c r="I987" s="16"/>
      <c r="J987" s="17"/>
      <c r="K987" s="21"/>
      <c r="L987" s="16"/>
      <c r="M987" s="16"/>
      <c r="N987" s="17"/>
      <c r="O987" s="21"/>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row>
    <row r="988">
      <c r="A988" s="22"/>
      <c r="B988" s="21"/>
      <c r="C988" s="16"/>
      <c r="D988" s="16"/>
      <c r="E988" s="17"/>
      <c r="F988" s="21"/>
      <c r="G988" s="16"/>
      <c r="H988" s="16"/>
      <c r="I988" s="16"/>
      <c r="J988" s="17"/>
      <c r="K988" s="21"/>
      <c r="L988" s="16"/>
      <c r="M988" s="16"/>
      <c r="N988" s="17"/>
      <c r="O988" s="21"/>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row>
    <row r="989">
      <c r="A989" s="22"/>
      <c r="B989" s="21"/>
      <c r="C989" s="16"/>
      <c r="D989" s="16"/>
      <c r="E989" s="17"/>
      <c r="F989" s="21"/>
      <c r="G989" s="16"/>
      <c r="H989" s="16"/>
      <c r="I989" s="16"/>
      <c r="J989" s="17"/>
      <c r="K989" s="21"/>
      <c r="L989" s="16"/>
      <c r="M989" s="16"/>
      <c r="N989" s="17"/>
      <c r="O989" s="21"/>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row>
    <row r="990">
      <c r="A990" s="22"/>
      <c r="B990" s="21"/>
      <c r="C990" s="16"/>
      <c r="D990" s="16"/>
      <c r="E990" s="17"/>
      <c r="F990" s="21"/>
      <c r="G990" s="16"/>
      <c r="H990" s="16"/>
      <c r="I990" s="16"/>
      <c r="J990" s="17"/>
      <c r="K990" s="21"/>
      <c r="L990" s="16"/>
      <c r="M990" s="16"/>
      <c r="N990" s="17"/>
      <c r="O990" s="21"/>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row>
    <row r="991">
      <c r="A991" s="22"/>
      <c r="B991" s="21"/>
      <c r="C991" s="16"/>
      <c r="D991" s="16"/>
      <c r="E991" s="17"/>
      <c r="F991" s="21"/>
      <c r="G991" s="16"/>
      <c r="H991" s="16"/>
      <c r="I991" s="16"/>
      <c r="J991" s="17"/>
      <c r="K991" s="21"/>
      <c r="L991" s="16"/>
      <c r="M991" s="16"/>
      <c r="N991" s="17"/>
      <c r="O991" s="21"/>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row>
    <row r="992">
      <c r="A992" s="22"/>
      <c r="B992" s="21"/>
      <c r="C992" s="16"/>
      <c r="D992" s="16"/>
      <c r="E992" s="17"/>
      <c r="F992" s="21"/>
      <c r="G992" s="16"/>
      <c r="H992" s="16"/>
      <c r="I992" s="16"/>
      <c r="J992" s="17"/>
      <c r="K992" s="21"/>
      <c r="L992" s="16"/>
      <c r="M992" s="16"/>
      <c r="N992" s="17"/>
      <c r="O992" s="21"/>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row>
    <row r="993">
      <c r="A993" s="22"/>
      <c r="B993" s="21"/>
      <c r="C993" s="16"/>
      <c r="D993" s="16"/>
      <c r="E993" s="17"/>
      <c r="F993" s="21"/>
      <c r="G993" s="16"/>
      <c r="H993" s="16"/>
      <c r="I993" s="16"/>
      <c r="J993" s="17"/>
      <c r="K993" s="21"/>
      <c r="L993" s="16"/>
      <c r="M993" s="16"/>
      <c r="N993" s="17"/>
      <c r="O993" s="21"/>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row>
    <row r="994">
      <c r="A994" s="22"/>
      <c r="B994" s="21"/>
      <c r="C994" s="16"/>
      <c r="D994" s="16"/>
      <c r="E994" s="17"/>
      <c r="F994" s="21"/>
      <c r="G994" s="16"/>
      <c r="H994" s="16"/>
      <c r="I994" s="16"/>
      <c r="J994" s="17"/>
      <c r="K994" s="21"/>
      <c r="L994" s="16"/>
      <c r="M994" s="16"/>
      <c r="N994" s="17"/>
      <c r="O994" s="21"/>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row>
    <row r="995">
      <c r="A995" s="22"/>
      <c r="B995" s="21"/>
      <c r="C995" s="16"/>
      <c r="D995" s="16"/>
      <c r="E995" s="17"/>
      <c r="F995" s="21"/>
      <c r="G995" s="16"/>
      <c r="H995" s="16"/>
      <c r="I995" s="16"/>
      <c r="J995" s="17"/>
      <c r="K995" s="21"/>
      <c r="L995" s="16"/>
      <c r="M995" s="16"/>
      <c r="N995" s="17"/>
      <c r="O995" s="21"/>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row>
    <row r="996">
      <c r="A996" s="22"/>
      <c r="B996" s="21"/>
      <c r="C996" s="16"/>
      <c r="D996" s="16"/>
      <c r="E996" s="17"/>
      <c r="F996" s="21"/>
      <c r="G996" s="16"/>
      <c r="H996" s="16"/>
      <c r="I996" s="16"/>
      <c r="J996" s="17"/>
      <c r="K996" s="21"/>
      <c r="L996" s="16"/>
      <c r="M996" s="16"/>
      <c r="N996" s="17"/>
      <c r="O996" s="21"/>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row>
    <row r="997">
      <c r="A997" s="22"/>
      <c r="B997" s="21"/>
      <c r="C997" s="16"/>
      <c r="D997" s="16"/>
      <c r="E997" s="17"/>
      <c r="F997" s="21"/>
      <c r="G997" s="16"/>
      <c r="H997" s="16"/>
      <c r="I997" s="16"/>
      <c r="J997" s="17"/>
      <c r="K997" s="21"/>
      <c r="L997" s="16"/>
      <c r="M997" s="16"/>
      <c r="N997" s="17"/>
      <c r="O997" s="21"/>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row>
    <row r="998">
      <c r="A998" s="22"/>
      <c r="B998" s="21"/>
      <c r="C998" s="16"/>
      <c r="D998" s="16"/>
      <c r="E998" s="17"/>
      <c r="F998" s="21"/>
      <c r="G998" s="16"/>
      <c r="H998" s="16"/>
      <c r="I998" s="16"/>
      <c r="J998" s="17"/>
      <c r="K998" s="21"/>
      <c r="L998" s="16"/>
      <c r="M998" s="16"/>
      <c r="N998" s="17"/>
      <c r="O998" s="21"/>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row>
    <row r="999">
      <c r="A999" s="22"/>
      <c r="B999" s="21"/>
      <c r="C999" s="16"/>
      <c r="D999" s="16"/>
      <c r="E999" s="17"/>
      <c r="F999" s="21"/>
      <c r="G999" s="16"/>
      <c r="H999" s="16"/>
      <c r="I999" s="16"/>
      <c r="J999" s="17"/>
      <c r="K999" s="21"/>
      <c r="L999" s="16"/>
      <c r="M999" s="16"/>
      <c r="N999" s="17"/>
      <c r="O999" s="21"/>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row>
    <row r="1000">
      <c r="A1000" s="22"/>
      <c r="B1000" s="21"/>
      <c r="C1000" s="16"/>
      <c r="D1000" s="16"/>
      <c r="E1000" s="17"/>
      <c r="F1000" s="21"/>
      <c r="G1000" s="16"/>
      <c r="H1000" s="16"/>
      <c r="I1000" s="16"/>
      <c r="J1000" s="17"/>
      <c r="K1000" s="21"/>
      <c r="L1000" s="16"/>
      <c r="M1000" s="16"/>
      <c r="N1000" s="17"/>
      <c r="O1000" s="21"/>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row>
    <row r="1001">
      <c r="A1001" s="22"/>
      <c r="B1001" s="21"/>
      <c r="C1001" s="16"/>
      <c r="D1001" s="16"/>
      <c r="E1001" s="17"/>
      <c r="F1001" s="21"/>
      <c r="G1001" s="16"/>
      <c r="H1001" s="16"/>
      <c r="I1001" s="16"/>
      <c r="J1001" s="17"/>
      <c r="K1001" s="21"/>
      <c r="L1001" s="16"/>
      <c r="M1001" s="16"/>
      <c r="N1001" s="17"/>
      <c r="O1001" s="21"/>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row>
    <row r="1002">
      <c r="A1002" s="22"/>
      <c r="B1002" s="21"/>
      <c r="C1002" s="16"/>
      <c r="D1002" s="16"/>
      <c r="E1002" s="17"/>
      <c r="F1002" s="21"/>
      <c r="G1002" s="16"/>
      <c r="H1002" s="16"/>
      <c r="I1002" s="16"/>
      <c r="J1002" s="17"/>
      <c r="K1002" s="21"/>
      <c r="L1002" s="16"/>
      <c r="M1002" s="16"/>
      <c r="N1002" s="17"/>
      <c r="O1002" s="21"/>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row>
    <row r="1003">
      <c r="A1003" s="22"/>
      <c r="B1003" s="21"/>
      <c r="C1003" s="16"/>
      <c r="D1003" s="16"/>
      <c r="E1003" s="17"/>
      <c r="F1003" s="21"/>
      <c r="G1003" s="16"/>
      <c r="H1003" s="16"/>
      <c r="I1003" s="16"/>
      <c r="J1003" s="17"/>
      <c r="K1003" s="21"/>
      <c r="L1003" s="16"/>
      <c r="M1003" s="16"/>
      <c r="N1003" s="17"/>
      <c r="O1003" s="21"/>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row>
    <row r="1004">
      <c r="A1004" s="22"/>
      <c r="B1004" s="21"/>
      <c r="C1004" s="16"/>
      <c r="D1004" s="16"/>
      <c r="E1004" s="17"/>
      <c r="F1004" s="21"/>
      <c r="G1004" s="16"/>
      <c r="H1004" s="16"/>
      <c r="I1004" s="16"/>
      <c r="J1004" s="17"/>
      <c r="K1004" s="21"/>
      <c r="L1004" s="16"/>
      <c r="M1004" s="16"/>
      <c r="N1004" s="17"/>
      <c r="O1004" s="21"/>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row>
    <row r="1005">
      <c r="A1005" s="22"/>
      <c r="B1005" s="21"/>
      <c r="C1005" s="16"/>
      <c r="D1005" s="16"/>
      <c r="E1005" s="17"/>
      <c r="F1005" s="21"/>
      <c r="G1005" s="16"/>
      <c r="H1005" s="16"/>
      <c r="I1005" s="16"/>
      <c r="J1005" s="17"/>
      <c r="K1005" s="21"/>
      <c r="L1005" s="16"/>
      <c r="M1005" s="16"/>
      <c r="N1005" s="17"/>
      <c r="O1005" s="21"/>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row>
    <row r="1006">
      <c r="A1006" s="22"/>
      <c r="B1006" s="21"/>
      <c r="C1006" s="16"/>
      <c r="D1006" s="16"/>
      <c r="E1006" s="17"/>
      <c r="F1006" s="21"/>
      <c r="G1006" s="16"/>
      <c r="H1006" s="16"/>
      <c r="I1006" s="16"/>
      <c r="J1006" s="17"/>
      <c r="K1006" s="21"/>
      <c r="L1006" s="16"/>
      <c r="M1006" s="16"/>
      <c r="N1006" s="17"/>
      <c r="O1006" s="21"/>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row>
    <row r="1007">
      <c r="A1007" s="22"/>
      <c r="B1007" s="21"/>
      <c r="C1007" s="16"/>
      <c r="D1007" s="16"/>
      <c r="E1007" s="17"/>
      <c r="F1007" s="21"/>
      <c r="G1007" s="16"/>
      <c r="H1007" s="16"/>
      <c r="I1007" s="16"/>
      <c r="J1007" s="17"/>
      <c r="K1007" s="21"/>
      <c r="L1007" s="16"/>
      <c r="M1007" s="16"/>
      <c r="N1007" s="17"/>
      <c r="O1007" s="21"/>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row>
    <row r="1008">
      <c r="A1008" s="22"/>
      <c r="B1008" s="21"/>
      <c r="C1008" s="16"/>
      <c r="D1008" s="16"/>
      <c r="E1008" s="17"/>
      <c r="F1008" s="21"/>
      <c r="G1008" s="16"/>
      <c r="H1008" s="16"/>
      <c r="I1008" s="16"/>
      <c r="J1008" s="17"/>
      <c r="K1008" s="21"/>
      <c r="L1008" s="16"/>
      <c r="M1008" s="16"/>
      <c r="N1008" s="17"/>
      <c r="O1008" s="21"/>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row>
    <row r="1009">
      <c r="A1009" s="22"/>
      <c r="B1009" s="21"/>
      <c r="C1009" s="16"/>
      <c r="D1009" s="16"/>
      <c r="E1009" s="17"/>
      <c r="F1009" s="21"/>
      <c r="G1009" s="16"/>
      <c r="H1009" s="16"/>
      <c r="I1009" s="16"/>
      <c r="J1009" s="17"/>
      <c r="K1009" s="21"/>
      <c r="L1009" s="16"/>
      <c r="M1009" s="16"/>
      <c r="N1009" s="17"/>
      <c r="O1009" s="21"/>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row>
    <row r="1010">
      <c r="A1010" s="22"/>
      <c r="B1010" s="21"/>
      <c r="C1010" s="16"/>
      <c r="D1010" s="16"/>
      <c r="E1010" s="17"/>
      <c r="F1010" s="21"/>
      <c r="G1010" s="16"/>
      <c r="H1010" s="16"/>
      <c r="I1010" s="16"/>
      <c r="J1010" s="17"/>
      <c r="K1010" s="21"/>
      <c r="L1010" s="16"/>
      <c r="M1010" s="16"/>
      <c r="N1010" s="17"/>
      <c r="O1010" s="21"/>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row>
    <row r="1011">
      <c r="A1011" s="22"/>
      <c r="B1011" s="21"/>
      <c r="C1011" s="16"/>
      <c r="D1011" s="16"/>
      <c r="E1011" s="17"/>
      <c r="F1011" s="21"/>
      <c r="G1011" s="16"/>
      <c r="H1011" s="16"/>
      <c r="I1011" s="16"/>
      <c r="J1011" s="17"/>
      <c r="K1011" s="21"/>
      <c r="L1011" s="16"/>
      <c r="M1011" s="16"/>
      <c r="N1011" s="17"/>
      <c r="O1011" s="21"/>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row>
    <row r="1012">
      <c r="A1012" s="22"/>
      <c r="B1012" s="21"/>
      <c r="C1012" s="16"/>
      <c r="D1012" s="16"/>
      <c r="E1012" s="17"/>
      <c r="F1012" s="21"/>
      <c r="G1012" s="16"/>
      <c r="H1012" s="16"/>
      <c r="I1012" s="16"/>
      <c r="J1012" s="17"/>
      <c r="K1012" s="21"/>
      <c r="L1012" s="16"/>
      <c r="M1012" s="16"/>
      <c r="N1012" s="17"/>
      <c r="O1012" s="21"/>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row>
    <row r="1013">
      <c r="A1013" s="22"/>
      <c r="B1013" s="21"/>
      <c r="C1013" s="16"/>
      <c r="D1013" s="16"/>
      <c r="E1013" s="17"/>
      <c r="F1013" s="21"/>
      <c r="G1013" s="16"/>
      <c r="H1013" s="16"/>
      <c r="I1013" s="16"/>
      <c r="J1013" s="17"/>
      <c r="K1013" s="21"/>
      <c r="L1013" s="16"/>
      <c r="M1013" s="16"/>
      <c r="N1013" s="17"/>
      <c r="O1013" s="21"/>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row>
    <row r="1014">
      <c r="A1014" s="22"/>
      <c r="B1014" s="21"/>
      <c r="C1014" s="16"/>
      <c r="D1014" s="16"/>
      <c r="E1014" s="17"/>
      <c r="F1014" s="21"/>
      <c r="G1014" s="16"/>
      <c r="H1014" s="16"/>
      <c r="I1014" s="16"/>
      <c r="J1014" s="17"/>
      <c r="K1014" s="21"/>
      <c r="L1014" s="16"/>
      <c r="M1014" s="16"/>
      <c r="N1014" s="17"/>
      <c r="O1014" s="21"/>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row>
    <row r="1015">
      <c r="A1015" s="22"/>
      <c r="B1015" s="21"/>
      <c r="C1015" s="16"/>
      <c r="D1015" s="16"/>
      <c r="E1015" s="17"/>
      <c r="F1015" s="21"/>
      <c r="G1015" s="16"/>
      <c r="H1015" s="16"/>
      <c r="I1015" s="16"/>
      <c r="J1015" s="17"/>
      <c r="K1015" s="21"/>
      <c r="L1015" s="16"/>
      <c r="M1015" s="16"/>
      <c r="N1015" s="17"/>
      <c r="O1015" s="21"/>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row>
    <row r="1016">
      <c r="A1016" s="22"/>
      <c r="B1016" s="21"/>
      <c r="C1016" s="16"/>
      <c r="D1016" s="16"/>
      <c r="E1016" s="17"/>
      <c r="F1016" s="21"/>
      <c r="G1016" s="16"/>
      <c r="H1016" s="16"/>
      <c r="I1016" s="16"/>
      <c r="J1016" s="17"/>
      <c r="K1016" s="21"/>
      <c r="L1016" s="16"/>
      <c r="M1016" s="16"/>
      <c r="N1016" s="17"/>
      <c r="O1016" s="21"/>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row>
    <row r="1017">
      <c r="A1017" s="22"/>
      <c r="B1017" s="21"/>
      <c r="C1017" s="16"/>
      <c r="D1017" s="16"/>
      <c r="E1017" s="17"/>
      <c r="F1017" s="21"/>
      <c r="G1017" s="16"/>
      <c r="H1017" s="16"/>
      <c r="I1017" s="16"/>
      <c r="J1017" s="17"/>
      <c r="K1017" s="21"/>
      <c r="L1017" s="16"/>
      <c r="M1017" s="16"/>
      <c r="N1017" s="17"/>
      <c r="O1017" s="21"/>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row>
    <row r="1018">
      <c r="A1018" s="22"/>
      <c r="B1018" s="21"/>
      <c r="C1018" s="16"/>
      <c r="D1018" s="16"/>
      <c r="E1018" s="17"/>
      <c r="F1018" s="21"/>
      <c r="G1018" s="16"/>
      <c r="H1018" s="16"/>
      <c r="I1018" s="16"/>
      <c r="J1018" s="17"/>
      <c r="K1018" s="21"/>
      <c r="L1018" s="16"/>
      <c r="M1018" s="16"/>
      <c r="N1018" s="17"/>
      <c r="O1018" s="21"/>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row>
    <row r="1019">
      <c r="A1019" s="22"/>
      <c r="B1019" s="21"/>
      <c r="C1019" s="16"/>
      <c r="D1019" s="16"/>
      <c r="E1019" s="17"/>
      <c r="F1019" s="21"/>
      <c r="G1019" s="16"/>
      <c r="H1019" s="16"/>
      <c r="I1019" s="16"/>
      <c r="J1019" s="17"/>
      <c r="K1019" s="21"/>
      <c r="L1019" s="16"/>
      <c r="M1019" s="16"/>
      <c r="N1019" s="17"/>
      <c r="O1019" s="21"/>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row>
    <row r="1020">
      <c r="A1020" s="22"/>
      <c r="B1020" s="21"/>
      <c r="C1020" s="16"/>
      <c r="D1020" s="16"/>
      <c r="E1020" s="17"/>
      <c r="F1020" s="21"/>
      <c r="G1020" s="16"/>
      <c r="H1020" s="16"/>
      <c r="I1020" s="16"/>
      <c r="J1020" s="17"/>
      <c r="K1020" s="21"/>
      <c r="L1020" s="16"/>
      <c r="M1020" s="16"/>
      <c r="N1020" s="17"/>
      <c r="O1020" s="21"/>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row>
    <row r="1021">
      <c r="A1021" s="22"/>
      <c r="B1021" s="21"/>
      <c r="C1021" s="16"/>
      <c r="D1021" s="16"/>
      <c r="E1021" s="17"/>
      <c r="F1021" s="21"/>
      <c r="G1021" s="16"/>
      <c r="H1021" s="16"/>
      <c r="I1021" s="16"/>
      <c r="J1021" s="17"/>
      <c r="K1021" s="21"/>
      <c r="L1021" s="16"/>
      <c r="M1021" s="16"/>
      <c r="N1021" s="17"/>
      <c r="O1021" s="21"/>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row>
    <row r="1022">
      <c r="A1022" s="22"/>
      <c r="B1022" s="21"/>
      <c r="C1022" s="16"/>
      <c r="D1022" s="16"/>
      <c r="E1022" s="17"/>
      <c r="F1022" s="21"/>
      <c r="G1022" s="16"/>
      <c r="H1022" s="16"/>
      <c r="I1022" s="16"/>
      <c r="J1022" s="17"/>
      <c r="K1022" s="21"/>
      <c r="L1022" s="16"/>
      <c r="M1022" s="16"/>
      <c r="N1022" s="17"/>
      <c r="O1022" s="21"/>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row>
    <row r="1023">
      <c r="A1023" s="22"/>
      <c r="B1023" s="21"/>
      <c r="C1023" s="16"/>
      <c r="D1023" s="16"/>
      <c r="E1023" s="17"/>
      <c r="F1023" s="21"/>
      <c r="G1023" s="16"/>
      <c r="H1023" s="16"/>
      <c r="I1023" s="16"/>
      <c r="J1023" s="17"/>
      <c r="K1023" s="21"/>
      <c r="L1023" s="16"/>
      <c r="M1023" s="16"/>
      <c r="N1023" s="17"/>
      <c r="O1023" s="21"/>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row>
    <row r="1024">
      <c r="A1024" s="22"/>
      <c r="B1024" s="21"/>
      <c r="C1024" s="16"/>
      <c r="D1024" s="16"/>
      <c r="E1024" s="17"/>
      <c r="F1024" s="21"/>
      <c r="G1024" s="16"/>
      <c r="H1024" s="16"/>
      <c r="I1024" s="16"/>
      <c r="J1024" s="17"/>
      <c r="K1024" s="21"/>
      <c r="L1024" s="16"/>
      <c r="M1024" s="16"/>
      <c r="N1024" s="17"/>
      <c r="O1024" s="21"/>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row>
    <row r="1025">
      <c r="A1025" s="22"/>
      <c r="B1025" s="21"/>
      <c r="C1025" s="16"/>
      <c r="D1025" s="16"/>
      <c r="E1025" s="17"/>
      <c r="F1025" s="21"/>
      <c r="G1025" s="16"/>
      <c r="H1025" s="16"/>
      <c r="I1025" s="16"/>
      <c r="J1025" s="17"/>
      <c r="K1025" s="21"/>
      <c r="L1025" s="16"/>
      <c r="M1025" s="16"/>
      <c r="N1025" s="17"/>
      <c r="O1025" s="21"/>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row>
    <row r="1026">
      <c r="A1026" s="22"/>
      <c r="B1026" s="21"/>
      <c r="C1026" s="16"/>
      <c r="D1026" s="16"/>
      <c r="E1026" s="17"/>
      <c r="F1026" s="21"/>
      <c r="G1026" s="16"/>
      <c r="H1026" s="16"/>
      <c r="I1026" s="16"/>
      <c r="J1026" s="17"/>
      <c r="K1026" s="21"/>
      <c r="L1026" s="16"/>
      <c r="M1026" s="16"/>
      <c r="N1026" s="17"/>
      <c r="O1026" s="21"/>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row>
    <row r="1027">
      <c r="A1027" s="22"/>
      <c r="B1027" s="21"/>
      <c r="C1027" s="16"/>
      <c r="D1027" s="16"/>
      <c r="E1027" s="17"/>
      <c r="F1027" s="21"/>
      <c r="G1027" s="16"/>
      <c r="H1027" s="16"/>
      <c r="I1027" s="16"/>
      <c r="J1027" s="17"/>
      <c r="K1027" s="21"/>
      <c r="L1027" s="16"/>
      <c r="M1027" s="16"/>
      <c r="N1027" s="17"/>
      <c r="O1027" s="21"/>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row>
    <row r="1028">
      <c r="A1028" s="22"/>
      <c r="B1028" s="21"/>
      <c r="C1028" s="16"/>
      <c r="D1028" s="16"/>
      <c r="E1028" s="17"/>
      <c r="F1028" s="21"/>
      <c r="G1028" s="16"/>
      <c r="H1028" s="16"/>
      <c r="I1028" s="16"/>
      <c r="J1028" s="17"/>
      <c r="K1028" s="21"/>
      <c r="L1028" s="16"/>
      <c r="M1028" s="16"/>
      <c r="N1028" s="17"/>
      <c r="O1028" s="21"/>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row>
    <row r="1029">
      <c r="A1029" s="22"/>
      <c r="B1029" s="21"/>
      <c r="C1029" s="16"/>
      <c r="D1029" s="16"/>
      <c r="E1029" s="17"/>
      <c r="F1029" s="21"/>
      <c r="G1029" s="16"/>
      <c r="H1029" s="16"/>
      <c r="I1029" s="16"/>
      <c r="J1029" s="17"/>
      <c r="K1029" s="21"/>
      <c r="L1029" s="16"/>
      <c r="M1029" s="16"/>
      <c r="N1029" s="17"/>
      <c r="O1029" s="21"/>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row>
    <row r="1030">
      <c r="A1030" s="22"/>
      <c r="B1030" s="21"/>
      <c r="C1030" s="16"/>
      <c r="D1030" s="16"/>
      <c r="E1030" s="17"/>
      <c r="F1030" s="21"/>
      <c r="G1030" s="16"/>
      <c r="H1030" s="16"/>
      <c r="I1030" s="16"/>
      <c r="J1030" s="17"/>
      <c r="K1030" s="21"/>
      <c r="L1030" s="16"/>
      <c r="M1030" s="16"/>
      <c r="N1030" s="17"/>
      <c r="O1030" s="21"/>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row>
    <row r="1031">
      <c r="A1031" s="22"/>
      <c r="B1031" s="21"/>
      <c r="C1031" s="16"/>
      <c r="D1031" s="16"/>
      <c r="E1031" s="17"/>
      <c r="F1031" s="21"/>
      <c r="G1031" s="16"/>
      <c r="H1031" s="16"/>
      <c r="I1031" s="16"/>
      <c r="J1031" s="17"/>
      <c r="K1031" s="21"/>
      <c r="L1031" s="16"/>
      <c r="M1031" s="16"/>
      <c r="N1031" s="17"/>
      <c r="O1031" s="21"/>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row>
    <row r="1032">
      <c r="A1032" s="22"/>
      <c r="B1032" s="21"/>
      <c r="C1032" s="16"/>
      <c r="D1032" s="16"/>
      <c r="E1032" s="17"/>
      <c r="F1032" s="21"/>
      <c r="G1032" s="16"/>
      <c r="H1032" s="16"/>
      <c r="I1032" s="16"/>
      <c r="J1032" s="17"/>
      <c r="K1032" s="21"/>
      <c r="L1032" s="16"/>
      <c r="M1032" s="16"/>
      <c r="N1032" s="17"/>
      <c r="O1032" s="21"/>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row>
    <row r="1033">
      <c r="A1033" s="22"/>
      <c r="B1033" s="21"/>
      <c r="C1033" s="16"/>
      <c r="D1033" s="16"/>
      <c r="E1033" s="17"/>
      <c r="F1033" s="21"/>
      <c r="G1033" s="16"/>
      <c r="H1033" s="16"/>
      <c r="I1033" s="16"/>
      <c r="J1033" s="17"/>
      <c r="K1033" s="21"/>
      <c r="L1033" s="16"/>
      <c r="M1033" s="16"/>
      <c r="N1033" s="17"/>
      <c r="O1033" s="21"/>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row>
    <row r="1034">
      <c r="A1034" s="22"/>
      <c r="B1034" s="21"/>
      <c r="C1034" s="16"/>
      <c r="D1034" s="16"/>
      <c r="E1034" s="17"/>
      <c r="F1034" s="21"/>
      <c r="G1034" s="16"/>
      <c r="H1034" s="16"/>
      <c r="I1034" s="16"/>
      <c r="J1034" s="17"/>
      <c r="K1034" s="21"/>
      <c r="L1034" s="16"/>
      <c r="M1034" s="16"/>
      <c r="N1034" s="17"/>
      <c r="O1034" s="21"/>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row>
    <row r="1035">
      <c r="A1035" s="22"/>
      <c r="B1035" s="21"/>
      <c r="C1035" s="16"/>
      <c r="D1035" s="16"/>
      <c r="E1035" s="17"/>
      <c r="F1035" s="21"/>
      <c r="G1035" s="16"/>
      <c r="H1035" s="16"/>
      <c r="I1035" s="16"/>
      <c r="J1035" s="17"/>
      <c r="K1035" s="21"/>
      <c r="L1035" s="16"/>
      <c r="M1035" s="16"/>
      <c r="N1035" s="17"/>
      <c r="O1035" s="21"/>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row>
    <row r="1036">
      <c r="A1036" s="22"/>
      <c r="B1036" s="21"/>
      <c r="C1036" s="16"/>
      <c r="D1036" s="16"/>
      <c r="E1036" s="17"/>
      <c r="F1036" s="21"/>
      <c r="G1036" s="16"/>
      <c r="H1036" s="16"/>
      <c r="I1036" s="16"/>
      <c r="J1036" s="17"/>
      <c r="K1036" s="21"/>
      <c r="L1036" s="16"/>
      <c r="M1036" s="16"/>
      <c r="N1036" s="17"/>
      <c r="O1036" s="21"/>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row>
    <row r="1037">
      <c r="A1037" s="22"/>
      <c r="B1037" s="21"/>
      <c r="C1037" s="16"/>
      <c r="D1037" s="16"/>
      <c r="E1037" s="17"/>
      <c r="F1037" s="21"/>
      <c r="G1037" s="16"/>
      <c r="H1037" s="16"/>
      <c r="I1037" s="16"/>
      <c r="J1037" s="17"/>
      <c r="K1037" s="21"/>
      <c r="L1037" s="16"/>
      <c r="M1037" s="16"/>
      <c r="N1037" s="17"/>
      <c r="O1037" s="21"/>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row>
    <row r="1038">
      <c r="A1038" s="22"/>
      <c r="B1038" s="21"/>
      <c r="C1038" s="16"/>
      <c r="D1038" s="16"/>
      <c r="E1038" s="17"/>
      <c r="F1038" s="21"/>
      <c r="G1038" s="16"/>
      <c r="H1038" s="16"/>
      <c r="I1038" s="16"/>
      <c r="J1038" s="17"/>
      <c r="K1038" s="21"/>
      <c r="L1038" s="16"/>
      <c r="M1038" s="16"/>
      <c r="N1038" s="17"/>
      <c r="O1038" s="21"/>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row>
    <row r="1039">
      <c r="A1039" s="22"/>
      <c r="B1039" s="21"/>
      <c r="C1039" s="16"/>
      <c r="D1039" s="16"/>
      <c r="E1039" s="17"/>
      <c r="F1039" s="21"/>
      <c r="G1039" s="16"/>
      <c r="H1039" s="16"/>
      <c r="I1039" s="16"/>
      <c r="J1039" s="17"/>
      <c r="K1039" s="21"/>
      <c r="L1039" s="16"/>
      <c r="M1039" s="16"/>
      <c r="N1039" s="17"/>
      <c r="O1039" s="21"/>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row>
    <row r="1040">
      <c r="A1040" s="22"/>
      <c r="B1040" s="21"/>
      <c r="C1040" s="16"/>
      <c r="D1040" s="16"/>
      <c r="E1040" s="17"/>
      <c r="F1040" s="21"/>
      <c r="G1040" s="16"/>
      <c r="H1040" s="16"/>
      <c r="I1040" s="16"/>
      <c r="J1040" s="17"/>
      <c r="K1040" s="21"/>
      <c r="L1040" s="16"/>
      <c r="M1040" s="16"/>
      <c r="N1040" s="17"/>
      <c r="O1040" s="21"/>
      <c r="P1040" s="16"/>
      <c r="Q1040" s="16"/>
      <c r="R1040" s="16"/>
      <c r="S1040" s="16"/>
      <c r="T1040" s="16"/>
      <c r="U1040" s="16"/>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row>
    <row r="1041">
      <c r="A1041" s="22"/>
      <c r="B1041" s="21"/>
      <c r="C1041" s="16"/>
      <c r="D1041" s="16"/>
      <c r="E1041" s="17"/>
      <c r="F1041" s="21"/>
      <c r="G1041" s="16"/>
      <c r="H1041" s="16"/>
      <c r="I1041" s="16"/>
      <c r="J1041" s="17"/>
      <c r="K1041" s="21"/>
      <c r="L1041" s="16"/>
      <c r="M1041" s="16"/>
      <c r="N1041" s="17"/>
      <c r="O1041" s="21"/>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row>
    <row r="1042">
      <c r="A1042" s="22"/>
      <c r="B1042" s="21"/>
      <c r="C1042" s="16"/>
      <c r="D1042" s="16"/>
      <c r="E1042" s="17"/>
      <c r="F1042" s="21"/>
      <c r="G1042" s="16"/>
      <c r="H1042" s="16"/>
      <c r="I1042" s="16"/>
      <c r="J1042" s="17"/>
      <c r="K1042" s="21"/>
      <c r="L1042" s="16"/>
      <c r="M1042" s="16"/>
      <c r="N1042" s="17"/>
      <c r="O1042" s="21"/>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row>
    <row r="1043">
      <c r="A1043" s="22"/>
      <c r="B1043" s="21"/>
      <c r="C1043" s="16"/>
      <c r="D1043" s="16"/>
      <c r="E1043" s="17"/>
      <c r="F1043" s="21"/>
      <c r="G1043" s="16"/>
      <c r="H1043" s="16"/>
      <c r="I1043" s="16"/>
      <c r="J1043" s="17"/>
      <c r="K1043" s="21"/>
      <c r="L1043" s="16"/>
      <c r="M1043" s="16"/>
      <c r="N1043" s="17"/>
      <c r="O1043" s="21"/>
      <c r="P1043" s="16"/>
      <c r="Q1043" s="16"/>
      <c r="R1043" s="16"/>
      <c r="S1043" s="16"/>
      <c r="T1043" s="16"/>
      <c r="U1043" s="16"/>
      <c r="V1043" s="16"/>
      <c r="W1043" s="16"/>
      <c r="X1043" s="16"/>
      <c r="Y1043" s="16"/>
      <c r="Z1043" s="16"/>
      <c r="AA1043" s="16"/>
      <c r="AB1043" s="16"/>
      <c r="AC1043" s="16"/>
      <c r="AD1043" s="16"/>
      <c r="AE1043" s="16"/>
      <c r="AF1043" s="16"/>
      <c r="AG1043" s="16"/>
      <c r="AH1043" s="16"/>
      <c r="AI1043" s="16"/>
      <c r="AJ1043" s="16"/>
      <c r="AK1043" s="16"/>
      <c r="AL1043" s="16"/>
      <c r="AM1043" s="16"/>
      <c r="AN1043" s="16"/>
      <c r="AO1043" s="16"/>
      <c r="AP1043" s="16"/>
      <c r="AQ1043" s="16"/>
    </row>
    <row r="1044">
      <c r="A1044" s="22"/>
      <c r="B1044" s="21"/>
      <c r="C1044" s="16"/>
      <c r="D1044" s="16"/>
      <c r="E1044" s="17"/>
      <c r="F1044" s="21"/>
      <c r="G1044" s="16"/>
      <c r="H1044" s="16"/>
      <c r="I1044" s="16"/>
      <c r="J1044" s="17"/>
      <c r="K1044" s="21"/>
      <c r="L1044" s="16"/>
      <c r="M1044" s="16"/>
      <c r="N1044" s="17"/>
      <c r="O1044" s="21"/>
      <c r="P1044" s="16"/>
      <c r="Q1044" s="16"/>
      <c r="R1044" s="16"/>
      <c r="S1044" s="16"/>
      <c r="T1044" s="16"/>
      <c r="U1044" s="16"/>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row>
    <row r="1045">
      <c r="A1045" s="22"/>
      <c r="B1045" s="21"/>
      <c r="C1045" s="16"/>
      <c r="D1045" s="16"/>
      <c r="E1045" s="17"/>
      <c r="F1045" s="21"/>
      <c r="G1045" s="16"/>
      <c r="H1045" s="16"/>
      <c r="I1045" s="16"/>
      <c r="J1045" s="17"/>
      <c r="K1045" s="21"/>
      <c r="L1045" s="16"/>
      <c r="M1045" s="16"/>
      <c r="N1045" s="17"/>
      <c r="O1045" s="21"/>
      <c r="P1045" s="16"/>
      <c r="Q1045" s="16"/>
      <c r="R1045" s="16"/>
      <c r="S1045" s="16"/>
      <c r="T1045" s="16"/>
      <c r="U1045" s="16"/>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row>
    <row r="1046">
      <c r="A1046" s="22"/>
      <c r="B1046" s="21"/>
      <c r="C1046" s="16"/>
      <c r="D1046" s="16"/>
      <c r="E1046" s="17"/>
      <c r="F1046" s="21"/>
      <c r="G1046" s="16"/>
      <c r="H1046" s="16"/>
      <c r="I1046" s="16"/>
      <c r="J1046" s="17"/>
      <c r="K1046" s="21"/>
      <c r="L1046" s="16"/>
      <c r="M1046" s="16"/>
      <c r="N1046" s="17"/>
      <c r="O1046" s="21"/>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row>
    <row r="1047">
      <c r="A1047" s="22"/>
      <c r="B1047" s="21"/>
      <c r="C1047" s="16"/>
      <c r="D1047" s="16"/>
      <c r="E1047" s="17"/>
      <c r="F1047" s="21"/>
      <c r="G1047" s="16"/>
      <c r="H1047" s="16"/>
      <c r="I1047" s="16"/>
      <c r="J1047" s="17"/>
      <c r="K1047" s="21"/>
      <c r="L1047" s="16"/>
      <c r="M1047" s="16"/>
      <c r="N1047" s="17"/>
      <c r="O1047" s="21"/>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row>
    <row r="1048">
      <c r="A1048" s="22"/>
      <c r="B1048" s="21"/>
      <c r="C1048" s="16"/>
      <c r="D1048" s="16"/>
      <c r="E1048" s="17"/>
      <c r="F1048" s="21"/>
      <c r="G1048" s="16"/>
      <c r="H1048" s="16"/>
      <c r="I1048" s="16"/>
      <c r="J1048" s="17"/>
      <c r="K1048" s="21"/>
      <c r="L1048" s="16"/>
      <c r="M1048" s="16"/>
      <c r="N1048" s="17"/>
      <c r="O1048" s="21"/>
      <c r="P1048" s="16"/>
      <c r="Q1048" s="16"/>
      <c r="R1048" s="16"/>
      <c r="S1048" s="16"/>
      <c r="T1048" s="16"/>
      <c r="U1048" s="16"/>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row>
    <row r="1049">
      <c r="A1049" s="22"/>
      <c r="B1049" s="21"/>
      <c r="C1049" s="16"/>
      <c r="D1049" s="16"/>
      <c r="E1049" s="17"/>
      <c r="F1049" s="21"/>
      <c r="G1049" s="16"/>
      <c r="H1049" s="16"/>
      <c r="I1049" s="16"/>
      <c r="J1049" s="17"/>
      <c r="K1049" s="21"/>
      <c r="L1049" s="16"/>
      <c r="M1049" s="16"/>
      <c r="N1049" s="17"/>
      <c r="O1049" s="21"/>
      <c r="P1049" s="16"/>
      <c r="Q1049" s="16"/>
      <c r="R1049" s="16"/>
      <c r="S1049" s="16"/>
      <c r="T1049" s="16"/>
      <c r="U1049" s="16"/>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row>
    <row r="1050">
      <c r="A1050" s="22"/>
      <c r="B1050" s="21"/>
      <c r="C1050" s="16"/>
      <c r="D1050" s="16"/>
      <c r="E1050" s="17"/>
      <c r="F1050" s="21"/>
      <c r="G1050" s="16"/>
      <c r="H1050" s="16"/>
      <c r="I1050" s="16"/>
      <c r="J1050" s="17"/>
      <c r="K1050" s="21"/>
      <c r="L1050" s="16"/>
      <c r="M1050" s="16"/>
      <c r="N1050" s="17"/>
      <c r="O1050" s="21"/>
      <c r="P1050" s="16"/>
      <c r="Q1050" s="16"/>
      <c r="R1050" s="16"/>
      <c r="S1050" s="16"/>
      <c r="T1050" s="16"/>
      <c r="U1050" s="16"/>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row>
    <row r="1051">
      <c r="A1051" s="22"/>
      <c r="B1051" s="21"/>
      <c r="C1051" s="16"/>
      <c r="D1051" s="16"/>
      <c r="E1051" s="17"/>
      <c r="F1051" s="21"/>
      <c r="G1051" s="16"/>
      <c r="H1051" s="16"/>
      <c r="I1051" s="16"/>
      <c r="J1051" s="17"/>
      <c r="K1051" s="21"/>
      <c r="L1051" s="16"/>
      <c r="M1051" s="16"/>
      <c r="N1051" s="17"/>
      <c r="O1051" s="21"/>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row>
    <row r="1052">
      <c r="A1052" s="22"/>
      <c r="B1052" s="21"/>
      <c r="C1052" s="16"/>
      <c r="D1052" s="16"/>
      <c r="E1052" s="17"/>
      <c r="F1052" s="21"/>
      <c r="G1052" s="16"/>
      <c r="H1052" s="16"/>
      <c r="I1052" s="16"/>
      <c r="J1052" s="17"/>
      <c r="K1052" s="21"/>
      <c r="L1052" s="16"/>
      <c r="M1052" s="16"/>
      <c r="N1052" s="17"/>
      <c r="O1052" s="21"/>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row>
    <row r="1053">
      <c r="A1053" s="22"/>
      <c r="B1053" s="21"/>
      <c r="C1053" s="16"/>
      <c r="D1053" s="16"/>
      <c r="E1053" s="17"/>
      <c r="F1053" s="21"/>
      <c r="G1053" s="16"/>
      <c r="H1053" s="16"/>
      <c r="I1053" s="16"/>
      <c r="J1053" s="17"/>
      <c r="K1053" s="21"/>
      <c r="L1053" s="16"/>
      <c r="M1053" s="16"/>
      <c r="N1053" s="17"/>
      <c r="O1053" s="21"/>
      <c r="P1053" s="16"/>
      <c r="Q1053" s="16"/>
      <c r="R1053" s="16"/>
      <c r="S1053" s="16"/>
      <c r="T1053" s="16"/>
      <c r="U1053" s="16"/>
      <c r="V1053" s="16"/>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row>
    <row r="1054">
      <c r="A1054" s="22"/>
      <c r="B1054" s="21"/>
      <c r="C1054" s="16"/>
      <c r="D1054" s="16"/>
      <c r="E1054" s="17"/>
      <c r="F1054" s="21"/>
      <c r="G1054" s="16"/>
      <c r="H1054" s="16"/>
      <c r="I1054" s="16"/>
      <c r="J1054" s="17"/>
      <c r="K1054" s="21"/>
      <c r="L1054" s="16"/>
      <c r="M1054" s="16"/>
      <c r="N1054" s="17"/>
      <c r="O1054" s="21"/>
      <c r="P1054" s="16"/>
      <c r="Q1054" s="16"/>
      <c r="R1054" s="16"/>
      <c r="S1054" s="16"/>
      <c r="T1054" s="16"/>
      <c r="U1054" s="16"/>
      <c r="V1054" s="16"/>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row>
    <row r="1055">
      <c r="A1055" s="22"/>
      <c r="B1055" s="21"/>
      <c r="C1055" s="16"/>
      <c r="D1055" s="16"/>
      <c r="E1055" s="17"/>
      <c r="F1055" s="21"/>
      <c r="G1055" s="16"/>
      <c r="H1055" s="16"/>
      <c r="I1055" s="16"/>
      <c r="J1055" s="17"/>
      <c r="K1055" s="21"/>
      <c r="L1055" s="16"/>
      <c r="M1055" s="16"/>
      <c r="N1055" s="17"/>
      <c r="O1055" s="21"/>
      <c r="P1055" s="16"/>
      <c r="Q1055" s="16"/>
      <c r="R1055" s="16"/>
      <c r="S1055" s="16"/>
      <c r="T1055" s="16"/>
      <c r="U1055" s="16"/>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row>
    <row r="1056">
      <c r="A1056" s="22"/>
      <c r="B1056" s="21"/>
      <c r="C1056" s="16"/>
      <c r="D1056" s="16"/>
      <c r="E1056" s="17"/>
      <c r="F1056" s="21"/>
      <c r="G1056" s="16"/>
      <c r="H1056" s="16"/>
      <c r="I1056" s="16"/>
      <c r="J1056" s="17"/>
      <c r="K1056" s="21"/>
      <c r="L1056" s="16"/>
      <c r="M1056" s="16"/>
      <c r="N1056" s="17"/>
      <c r="O1056" s="21"/>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row>
    <row r="1057">
      <c r="A1057" s="22"/>
      <c r="B1057" s="21"/>
      <c r="C1057" s="16"/>
      <c r="D1057" s="16"/>
      <c r="E1057" s="17"/>
      <c r="F1057" s="21"/>
      <c r="G1057" s="16"/>
      <c r="H1057" s="16"/>
      <c r="I1057" s="16"/>
      <c r="J1057" s="17"/>
      <c r="K1057" s="21"/>
      <c r="L1057" s="16"/>
      <c r="M1057" s="16"/>
      <c r="N1057" s="17"/>
      <c r="O1057" s="21"/>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row>
    <row r="1058">
      <c r="A1058" s="22"/>
      <c r="B1058" s="21"/>
      <c r="C1058" s="16"/>
      <c r="D1058" s="16"/>
      <c r="E1058" s="17"/>
      <c r="F1058" s="21"/>
      <c r="G1058" s="16"/>
      <c r="H1058" s="16"/>
      <c r="I1058" s="16"/>
      <c r="J1058" s="17"/>
      <c r="K1058" s="21"/>
      <c r="L1058" s="16"/>
      <c r="M1058" s="16"/>
      <c r="N1058" s="17"/>
      <c r="O1058" s="21"/>
      <c r="P1058" s="16"/>
      <c r="Q1058" s="16"/>
      <c r="R1058" s="16"/>
      <c r="S1058" s="16"/>
      <c r="T1058" s="16"/>
      <c r="U1058" s="16"/>
      <c r="V1058" s="16"/>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row>
    <row r="1059">
      <c r="A1059" s="22"/>
      <c r="B1059" s="21"/>
      <c r="C1059" s="16"/>
      <c r="D1059" s="16"/>
      <c r="E1059" s="17"/>
      <c r="F1059" s="21"/>
      <c r="G1059" s="16"/>
      <c r="H1059" s="16"/>
      <c r="I1059" s="16"/>
      <c r="J1059" s="17"/>
      <c r="K1059" s="21"/>
      <c r="L1059" s="16"/>
      <c r="M1059" s="16"/>
      <c r="N1059" s="17"/>
      <c r="O1059" s="21"/>
      <c r="P1059" s="16"/>
      <c r="Q1059" s="16"/>
      <c r="R1059" s="16"/>
      <c r="S1059" s="16"/>
      <c r="T1059" s="16"/>
      <c r="U1059" s="16"/>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row>
    <row r="1060">
      <c r="A1060" s="22"/>
      <c r="B1060" s="21"/>
      <c r="C1060" s="16"/>
      <c r="D1060" s="16"/>
      <c r="E1060" s="17"/>
      <c r="F1060" s="21"/>
      <c r="G1060" s="16"/>
      <c r="H1060" s="16"/>
      <c r="I1060" s="16"/>
      <c r="J1060" s="17"/>
      <c r="K1060" s="21"/>
      <c r="L1060" s="16"/>
      <c r="M1060" s="16"/>
      <c r="N1060" s="17"/>
      <c r="O1060" s="21"/>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row>
    <row r="1061">
      <c r="A1061" s="22"/>
      <c r="B1061" s="21"/>
      <c r="C1061" s="16"/>
      <c r="D1061" s="16"/>
      <c r="E1061" s="17"/>
      <c r="F1061" s="21"/>
      <c r="G1061" s="16"/>
      <c r="H1061" s="16"/>
      <c r="I1061" s="16"/>
      <c r="J1061" s="17"/>
      <c r="K1061" s="21"/>
      <c r="L1061" s="16"/>
      <c r="M1061" s="16"/>
      <c r="N1061" s="17"/>
      <c r="O1061" s="21"/>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row>
    <row r="1062">
      <c r="A1062" s="22"/>
      <c r="B1062" s="21"/>
      <c r="C1062" s="16"/>
      <c r="D1062" s="16"/>
      <c r="E1062" s="17"/>
      <c r="F1062" s="21"/>
      <c r="G1062" s="16"/>
      <c r="H1062" s="16"/>
      <c r="I1062" s="16"/>
      <c r="J1062" s="17"/>
      <c r="K1062" s="21"/>
      <c r="L1062" s="16"/>
      <c r="M1062" s="16"/>
      <c r="N1062" s="17"/>
      <c r="O1062" s="21"/>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row>
    <row r="1063">
      <c r="A1063" s="22"/>
      <c r="B1063" s="21"/>
      <c r="C1063" s="16"/>
      <c r="D1063" s="16"/>
      <c r="E1063" s="17"/>
      <c r="F1063" s="21"/>
      <c r="G1063" s="16"/>
      <c r="H1063" s="16"/>
      <c r="I1063" s="16"/>
      <c r="J1063" s="17"/>
      <c r="K1063" s="21"/>
      <c r="L1063" s="16"/>
      <c r="M1063" s="16"/>
      <c r="N1063" s="17"/>
      <c r="O1063" s="21"/>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c r="AL1063" s="16"/>
      <c r="AM1063" s="16"/>
      <c r="AN1063" s="16"/>
      <c r="AO1063" s="16"/>
      <c r="AP1063" s="16"/>
      <c r="AQ1063" s="16"/>
    </row>
    <row r="1064">
      <c r="A1064" s="22"/>
      <c r="B1064" s="21"/>
      <c r="C1064" s="16"/>
      <c r="D1064" s="16"/>
      <c r="E1064" s="17"/>
      <c r="F1064" s="21"/>
      <c r="G1064" s="16"/>
      <c r="H1064" s="16"/>
      <c r="I1064" s="16"/>
      <c r="J1064" s="17"/>
      <c r="K1064" s="21"/>
      <c r="L1064" s="16"/>
      <c r="M1064" s="16"/>
      <c r="N1064" s="17"/>
      <c r="O1064" s="21"/>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c r="AL1064" s="16"/>
      <c r="AM1064" s="16"/>
      <c r="AN1064" s="16"/>
      <c r="AO1064" s="16"/>
      <c r="AP1064" s="16"/>
      <c r="AQ1064" s="16"/>
    </row>
    <row r="1065">
      <c r="A1065" s="22"/>
      <c r="B1065" s="21"/>
      <c r="C1065" s="16"/>
      <c r="D1065" s="16"/>
      <c r="E1065" s="17"/>
      <c r="F1065" s="21"/>
      <c r="G1065" s="16"/>
      <c r="H1065" s="16"/>
      <c r="I1065" s="16"/>
      <c r="J1065" s="17"/>
      <c r="K1065" s="21"/>
      <c r="L1065" s="16"/>
      <c r="M1065" s="16"/>
      <c r="N1065" s="17"/>
      <c r="O1065" s="21"/>
      <c r="P1065" s="16"/>
      <c r="Q1065" s="16"/>
      <c r="R1065" s="16"/>
      <c r="S1065" s="16"/>
      <c r="T1065" s="16"/>
      <c r="U1065" s="16"/>
      <c r="V1065" s="16"/>
      <c r="W1065" s="16"/>
      <c r="X1065" s="16"/>
      <c r="Y1065" s="16"/>
      <c r="Z1065" s="16"/>
      <c r="AA1065" s="16"/>
      <c r="AB1065" s="16"/>
      <c r="AC1065" s="16"/>
      <c r="AD1065" s="16"/>
      <c r="AE1065" s="16"/>
      <c r="AF1065" s="16"/>
      <c r="AG1065" s="16"/>
      <c r="AH1065" s="16"/>
      <c r="AI1065" s="16"/>
      <c r="AJ1065" s="16"/>
      <c r="AK1065" s="16"/>
      <c r="AL1065" s="16"/>
      <c r="AM1065" s="16"/>
      <c r="AN1065" s="16"/>
      <c r="AO1065" s="16"/>
      <c r="AP1065" s="16"/>
      <c r="AQ1065" s="16"/>
    </row>
    <row r="1066">
      <c r="A1066" s="22"/>
      <c r="B1066" s="21"/>
      <c r="C1066" s="16"/>
      <c r="D1066" s="16"/>
      <c r="E1066" s="17"/>
      <c r="F1066" s="21"/>
      <c r="G1066" s="16"/>
      <c r="H1066" s="16"/>
      <c r="I1066" s="16"/>
      <c r="J1066" s="17"/>
      <c r="K1066" s="21"/>
      <c r="L1066" s="16"/>
      <c r="M1066" s="16"/>
      <c r="N1066" s="17"/>
      <c r="O1066" s="21"/>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row>
    <row r="1067">
      <c r="A1067" s="22"/>
      <c r="B1067" s="21"/>
      <c r="C1067" s="16"/>
      <c r="D1067" s="16"/>
      <c r="E1067" s="17"/>
      <c r="F1067" s="21"/>
      <c r="G1067" s="16"/>
      <c r="H1067" s="16"/>
      <c r="I1067" s="16"/>
      <c r="J1067" s="17"/>
      <c r="K1067" s="21"/>
      <c r="L1067" s="16"/>
      <c r="M1067" s="16"/>
      <c r="N1067" s="17"/>
      <c r="O1067" s="21"/>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row>
    <row r="1068">
      <c r="A1068" s="22"/>
      <c r="B1068" s="21"/>
      <c r="C1068" s="16"/>
      <c r="D1068" s="16"/>
      <c r="E1068" s="17"/>
      <c r="F1068" s="21"/>
      <c r="G1068" s="16"/>
      <c r="H1068" s="16"/>
      <c r="I1068" s="16"/>
      <c r="J1068" s="17"/>
      <c r="K1068" s="21"/>
      <c r="L1068" s="16"/>
      <c r="M1068" s="16"/>
      <c r="N1068" s="17"/>
      <c r="O1068" s="21"/>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row>
    <row r="1069">
      <c r="A1069" s="22"/>
      <c r="B1069" s="21"/>
      <c r="C1069" s="16"/>
      <c r="D1069" s="16"/>
      <c r="E1069" s="17"/>
      <c r="F1069" s="21"/>
      <c r="G1069" s="16"/>
      <c r="H1069" s="16"/>
      <c r="I1069" s="16"/>
      <c r="J1069" s="17"/>
      <c r="K1069" s="21"/>
      <c r="L1069" s="16"/>
      <c r="M1069" s="16"/>
      <c r="N1069" s="17"/>
      <c r="O1069" s="21"/>
      <c r="P1069" s="16"/>
      <c r="Q1069" s="16"/>
      <c r="R1069" s="16"/>
      <c r="S1069" s="16"/>
      <c r="T1069" s="16"/>
      <c r="U1069" s="16"/>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row>
    <row r="1070">
      <c r="A1070" s="22"/>
      <c r="B1070" s="21"/>
      <c r="C1070" s="16"/>
      <c r="D1070" s="16"/>
      <c r="E1070" s="17"/>
      <c r="F1070" s="21"/>
      <c r="G1070" s="16"/>
      <c r="H1070" s="16"/>
      <c r="I1070" s="16"/>
      <c r="J1070" s="17"/>
      <c r="K1070" s="21"/>
      <c r="L1070" s="16"/>
      <c r="M1070" s="16"/>
      <c r="N1070" s="17"/>
      <c r="O1070" s="21"/>
      <c r="P1070" s="16"/>
      <c r="Q1070" s="16"/>
      <c r="R1070" s="16"/>
      <c r="S1070" s="16"/>
      <c r="T1070" s="16"/>
      <c r="U1070" s="16"/>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row>
    <row r="1071">
      <c r="A1071" s="22"/>
      <c r="B1071" s="21"/>
      <c r="C1071" s="16"/>
      <c r="D1071" s="16"/>
      <c r="E1071" s="17"/>
      <c r="F1071" s="21"/>
      <c r="G1071" s="16"/>
      <c r="H1071" s="16"/>
      <c r="I1071" s="16"/>
      <c r="J1071" s="17"/>
      <c r="K1071" s="21"/>
      <c r="L1071" s="16"/>
      <c r="M1071" s="16"/>
      <c r="N1071" s="17"/>
      <c r="O1071" s="21"/>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row>
    <row r="1072">
      <c r="A1072" s="22"/>
      <c r="B1072" s="21"/>
      <c r="C1072" s="16"/>
      <c r="D1072" s="16"/>
      <c r="E1072" s="17"/>
      <c r="F1072" s="21"/>
      <c r="G1072" s="16"/>
      <c r="H1072" s="16"/>
      <c r="I1072" s="16"/>
      <c r="J1072" s="17"/>
      <c r="K1072" s="21"/>
      <c r="L1072" s="16"/>
      <c r="M1072" s="16"/>
      <c r="N1072" s="17"/>
      <c r="O1072" s="21"/>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row>
    <row r="1073">
      <c r="A1073" s="22"/>
      <c r="B1073" s="21"/>
      <c r="C1073" s="16"/>
      <c r="D1073" s="16"/>
      <c r="E1073" s="17"/>
      <c r="F1073" s="21"/>
      <c r="G1073" s="16"/>
      <c r="H1073" s="16"/>
      <c r="I1073" s="16"/>
      <c r="J1073" s="17"/>
      <c r="K1073" s="21"/>
      <c r="L1073" s="16"/>
      <c r="M1073" s="16"/>
      <c r="N1073" s="17"/>
      <c r="O1073" s="21"/>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row>
    <row r="1074">
      <c r="A1074" s="22"/>
      <c r="B1074" s="21"/>
      <c r="C1074" s="16"/>
      <c r="D1074" s="16"/>
      <c r="E1074" s="17"/>
      <c r="F1074" s="21"/>
      <c r="G1074" s="16"/>
      <c r="H1074" s="16"/>
      <c r="I1074" s="16"/>
      <c r="J1074" s="17"/>
      <c r="K1074" s="21"/>
      <c r="L1074" s="16"/>
      <c r="M1074" s="16"/>
      <c r="N1074" s="17"/>
      <c r="O1074" s="21"/>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row>
    <row r="1075">
      <c r="A1075" s="22"/>
      <c r="B1075" s="21"/>
      <c r="C1075" s="16"/>
      <c r="D1075" s="16"/>
      <c r="E1075" s="17"/>
      <c r="F1075" s="21"/>
      <c r="G1075" s="16"/>
      <c r="H1075" s="16"/>
      <c r="I1075" s="16"/>
      <c r="J1075" s="17"/>
      <c r="K1075" s="21"/>
      <c r="L1075" s="16"/>
      <c r="M1075" s="16"/>
      <c r="N1075" s="17"/>
      <c r="O1075" s="21"/>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c r="AL1075" s="16"/>
      <c r="AM1075" s="16"/>
      <c r="AN1075" s="16"/>
      <c r="AO1075" s="16"/>
      <c r="AP1075" s="16"/>
      <c r="AQ1075" s="16"/>
    </row>
    <row r="1076">
      <c r="A1076" s="22"/>
      <c r="B1076" s="21"/>
      <c r="C1076" s="16"/>
      <c r="D1076" s="16"/>
      <c r="E1076" s="17"/>
      <c r="F1076" s="21"/>
      <c r="G1076" s="16"/>
      <c r="H1076" s="16"/>
      <c r="I1076" s="16"/>
      <c r="J1076" s="17"/>
      <c r="K1076" s="21"/>
      <c r="L1076" s="16"/>
      <c r="M1076" s="16"/>
      <c r="N1076" s="17"/>
      <c r="O1076" s="21"/>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row>
    <row r="1077">
      <c r="A1077" s="22"/>
      <c r="B1077" s="21"/>
      <c r="C1077" s="16"/>
      <c r="D1077" s="16"/>
      <c r="E1077" s="17"/>
      <c r="F1077" s="21"/>
      <c r="G1077" s="16"/>
      <c r="H1077" s="16"/>
      <c r="I1077" s="16"/>
      <c r="J1077" s="17"/>
      <c r="K1077" s="21"/>
      <c r="L1077" s="16"/>
      <c r="M1077" s="16"/>
      <c r="N1077" s="17"/>
      <c r="O1077" s="21"/>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row>
    <row r="1078">
      <c r="A1078" s="22"/>
      <c r="B1078" s="21"/>
      <c r="C1078" s="16"/>
      <c r="D1078" s="16"/>
      <c r="E1078" s="17"/>
      <c r="F1078" s="21"/>
      <c r="G1078" s="16"/>
      <c r="H1078" s="16"/>
      <c r="I1078" s="16"/>
      <c r="J1078" s="17"/>
      <c r="K1078" s="21"/>
      <c r="L1078" s="16"/>
      <c r="M1078" s="16"/>
      <c r="N1078" s="17"/>
      <c r="O1078" s="21"/>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row>
    <row r="1079">
      <c r="A1079" s="22"/>
      <c r="B1079" s="21"/>
      <c r="C1079" s="16"/>
      <c r="D1079" s="16"/>
      <c r="E1079" s="17"/>
      <c r="F1079" s="21"/>
      <c r="G1079" s="16"/>
      <c r="H1079" s="16"/>
      <c r="I1079" s="16"/>
      <c r="J1079" s="17"/>
      <c r="K1079" s="21"/>
      <c r="L1079" s="16"/>
      <c r="M1079" s="16"/>
      <c r="N1079" s="17"/>
      <c r="O1079" s="21"/>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row>
    <row r="1080">
      <c r="A1080" s="22"/>
      <c r="B1080" s="21"/>
      <c r="C1080" s="16"/>
      <c r="D1080" s="16"/>
      <c r="E1080" s="17"/>
      <c r="F1080" s="21"/>
      <c r="G1080" s="16"/>
      <c r="H1080" s="16"/>
      <c r="I1080" s="16"/>
      <c r="J1080" s="17"/>
      <c r="K1080" s="21"/>
      <c r="L1080" s="16"/>
      <c r="M1080" s="16"/>
      <c r="N1080" s="17"/>
      <c r="O1080" s="21"/>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row>
    <row r="1081">
      <c r="A1081" s="22"/>
      <c r="B1081" s="21"/>
      <c r="C1081" s="16"/>
      <c r="D1081" s="16"/>
      <c r="E1081" s="17"/>
      <c r="F1081" s="21"/>
      <c r="G1081" s="16"/>
      <c r="H1081" s="16"/>
      <c r="I1081" s="16"/>
      <c r="J1081" s="17"/>
      <c r="K1081" s="21"/>
      <c r="L1081" s="16"/>
      <c r="M1081" s="16"/>
      <c r="N1081" s="17"/>
      <c r="O1081" s="21"/>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row>
    <row r="1082">
      <c r="A1082" s="22"/>
      <c r="B1082" s="21"/>
      <c r="C1082" s="16"/>
      <c r="D1082" s="16"/>
      <c r="E1082" s="17"/>
      <c r="F1082" s="21"/>
      <c r="G1082" s="16"/>
      <c r="H1082" s="16"/>
      <c r="I1082" s="16"/>
      <c r="J1082" s="17"/>
      <c r="K1082" s="21"/>
      <c r="L1082" s="16"/>
      <c r="M1082" s="16"/>
      <c r="N1082" s="17"/>
      <c r="O1082" s="21"/>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row>
    <row r="1083">
      <c r="A1083" s="22"/>
      <c r="B1083" s="21"/>
      <c r="C1083" s="16"/>
      <c r="D1083" s="16"/>
      <c r="E1083" s="17"/>
      <c r="F1083" s="21"/>
      <c r="G1083" s="16"/>
      <c r="H1083" s="16"/>
      <c r="I1083" s="16"/>
      <c r="J1083" s="17"/>
      <c r="K1083" s="21"/>
      <c r="L1083" s="16"/>
      <c r="M1083" s="16"/>
      <c r="N1083" s="17"/>
      <c r="O1083" s="21"/>
      <c r="P1083" s="16"/>
      <c r="Q1083" s="16"/>
      <c r="R1083" s="16"/>
      <c r="S1083" s="16"/>
      <c r="T1083" s="16"/>
      <c r="U1083" s="16"/>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row>
    <row r="1084">
      <c r="A1084" s="22"/>
      <c r="B1084" s="21"/>
      <c r="C1084" s="16"/>
      <c r="D1084" s="16"/>
      <c r="E1084" s="17"/>
      <c r="F1084" s="21"/>
      <c r="G1084" s="16"/>
      <c r="H1084" s="16"/>
      <c r="I1084" s="16"/>
      <c r="J1084" s="17"/>
      <c r="K1084" s="21"/>
      <c r="L1084" s="16"/>
      <c r="M1084" s="16"/>
      <c r="N1084" s="17"/>
      <c r="O1084" s="21"/>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row>
    <row r="1085">
      <c r="A1085" s="22"/>
      <c r="B1085" s="21"/>
      <c r="C1085" s="16"/>
      <c r="D1085" s="16"/>
      <c r="E1085" s="17"/>
      <c r="F1085" s="21"/>
      <c r="G1085" s="16"/>
      <c r="H1085" s="16"/>
      <c r="I1085" s="16"/>
      <c r="J1085" s="17"/>
      <c r="K1085" s="21"/>
      <c r="L1085" s="16"/>
      <c r="M1085" s="16"/>
      <c r="N1085" s="17"/>
      <c r="O1085" s="21"/>
      <c r="P1085" s="16"/>
      <c r="Q1085" s="16"/>
      <c r="R1085" s="16"/>
      <c r="S1085" s="16"/>
      <c r="T1085" s="16"/>
      <c r="U1085" s="16"/>
      <c r="V1085" s="16"/>
      <c r="W1085" s="16"/>
      <c r="X1085" s="16"/>
      <c r="Y1085" s="16"/>
      <c r="Z1085" s="16"/>
      <c r="AA1085" s="16"/>
      <c r="AB1085" s="16"/>
      <c r="AC1085" s="16"/>
      <c r="AD1085" s="16"/>
      <c r="AE1085" s="16"/>
      <c r="AF1085" s="16"/>
      <c r="AG1085" s="16"/>
      <c r="AH1085" s="16"/>
      <c r="AI1085" s="16"/>
      <c r="AJ1085" s="16"/>
      <c r="AK1085" s="16"/>
      <c r="AL1085" s="16"/>
      <c r="AM1085" s="16"/>
      <c r="AN1085" s="16"/>
      <c r="AO1085" s="16"/>
      <c r="AP1085" s="16"/>
      <c r="AQ1085" s="16"/>
    </row>
    <row r="1086">
      <c r="A1086" s="22"/>
      <c r="B1086" s="21"/>
      <c r="C1086" s="16"/>
      <c r="D1086" s="16"/>
      <c r="E1086" s="17"/>
      <c r="F1086" s="21"/>
      <c r="G1086" s="16"/>
      <c r="H1086" s="16"/>
      <c r="I1086" s="16"/>
      <c r="J1086" s="17"/>
      <c r="K1086" s="21"/>
      <c r="L1086" s="16"/>
      <c r="M1086" s="16"/>
      <c r="N1086" s="17"/>
      <c r="O1086" s="21"/>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row>
    <row r="1087">
      <c r="A1087" s="22"/>
      <c r="B1087" s="21"/>
      <c r="C1087" s="16"/>
      <c r="D1087" s="16"/>
      <c r="E1087" s="17"/>
      <c r="F1087" s="21"/>
      <c r="G1087" s="16"/>
      <c r="H1087" s="16"/>
      <c r="I1087" s="16"/>
      <c r="J1087" s="17"/>
      <c r="K1087" s="21"/>
      <c r="L1087" s="16"/>
      <c r="M1087" s="16"/>
      <c r="N1087" s="17"/>
      <c r="O1087" s="21"/>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c r="AL1087" s="16"/>
      <c r="AM1087" s="16"/>
      <c r="AN1087" s="16"/>
      <c r="AO1087" s="16"/>
      <c r="AP1087" s="16"/>
      <c r="AQ1087" s="16"/>
    </row>
    <row r="1088">
      <c r="A1088" s="22"/>
      <c r="B1088" s="21"/>
      <c r="C1088" s="16"/>
      <c r="D1088" s="16"/>
      <c r="E1088" s="17"/>
      <c r="F1088" s="21"/>
      <c r="G1088" s="16"/>
      <c r="H1088" s="16"/>
      <c r="I1088" s="16"/>
      <c r="J1088" s="17"/>
      <c r="K1088" s="21"/>
      <c r="L1088" s="16"/>
      <c r="M1088" s="16"/>
      <c r="N1088" s="17"/>
      <c r="O1088" s="21"/>
      <c r="P1088" s="16"/>
      <c r="Q1088" s="16"/>
      <c r="R1088" s="16"/>
      <c r="S1088" s="16"/>
      <c r="T1088" s="16"/>
      <c r="U1088" s="16"/>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row>
    <row r="1089">
      <c r="A1089" s="22"/>
      <c r="B1089" s="21"/>
      <c r="C1089" s="16"/>
      <c r="D1089" s="16"/>
      <c r="E1089" s="17"/>
      <c r="F1089" s="21"/>
      <c r="G1089" s="16"/>
      <c r="H1089" s="16"/>
      <c r="I1089" s="16"/>
      <c r="J1089" s="17"/>
      <c r="K1089" s="21"/>
      <c r="L1089" s="16"/>
      <c r="M1089" s="16"/>
      <c r="N1089" s="17"/>
      <c r="O1089" s="21"/>
      <c r="P1089" s="16"/>
      <c r="Q1089" s="16"/>
      <c r="R1089" s="16"/>
      <c r="S1089" s="16"/>
      <c r="T1089" s="16"/>
      <c r="U1089" s="16"/>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row>
    <row r="1090">
      <c r="A1090" s="22"/>
      <c r="B1090" s="21"/>
      <c r="C1090" s="16"/>
      <c r="D1090" s="16"/>
      <c r="E1090" s="17"/>
      <c r="F1090" s="21"/>
      <c r="G1090" s="16"/>
      <c r="H1090" s="16"/>
      <c r="I1090" s="16"/>
      <c r="J1090" s="17"/>
      <c r="K1090" s="21"/>
      <c r="L1090" s="16"/>
      <c r="M1090" s="16"/>
      <c r="N1090" s="17"/>
      <c r="O1090" s="21"/>
      <c r="P1090" s="16"/>
      <c r="Q1090" s="16"/>
      <c r="R1090" s="16"/>
      <c r="S1090" s="16"/>
      <c r="T1090" s="16"/>
      <c r="U1090" s="16"/>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row>
    <row r="1091">
      <c r="A1091" s="22"/>
      <c r="B1091" s="21"/>
      <c r="C1091" s="16"/>
      <c r="D1091" s="16"/>
      <c r="E1091" s="17"/>
      <c r="F1091" s="21"/>
      <c r="G1091" s="16"/>
      <c r="H1091" s="16"/>
      <c r="I1091" s="16"/>
      <c r="J1091" s="17"/>
      <c r="K1091" s="21"/>
      <c r="L1091" s="16"/>
      <c r="M1091" s="16"/>
      <c r="N1091" s="17"/>
      <c r="O1091" s="21"/>
      <c r="P1091" s="16"/>
      <c r="Q1091" s="16"/>
      <c r="R1091" s="16"/>
      <c r="S1091" s="16"/>
      <c r="T1091" s="16"/>
      <c r="U1091" s="16"/>
      <c r="V1091" s="16"/>
      <c r="W1091" s="16"/>
      <c r="X1091" s="16"/>
      <c r="Y1091" s="16"/>
      <c r="Z1091" s="16"/>
      <c r="AA1091" s="16"/>
      <c r="AB1091" s="16"/>
      <c r="AC1091" s="16"/>
      <c r="AD1091" s="16"/>
      <c r="AE1091" s="16"/>
      <c r="AF1091" s="16"/>
      <c r="AG1091" s="16"/>
      <c r="AH1091" s="16"/>
      <c r="AI1091" s="16"/>
      <c r="AJ1091" s="16"/>
      <c r="AK1091" s="16"/>
      <c r="AL1091" s="16"/>
      <c r="AM1091" s="16"/>
      <c r="AN1091" s="16"/>
      <c r="AO1091" s="16"/>
      <c r="AP1091" s="16"/>
      <c r="AQ1091" s="16"/>
    </row>
    <row r="1092">
      <c r="A1092" s="22"/>
      <c r="B1092" s="21"/>
      <c r="C1092" s="16"/>
      <c r="D1092" s="16"/>
      <c r="E1092" s="17"/>
      <c r="F1092" s="21"/>
      <c r="G1092" s="16"/>
      <c r="H1092" s="16"/>
      <c r="I1092" s="16"/>
      <c r="J1092" s="17"/>
      <c r="K1092" s="21"/>
      <c r="L1092" s="16"/>
      <c r="M1092" s="16"/>
      <c r="N1092" s="17"/>
      <c r="O1092" s="21"/>
      <c r="P1092" s="16"/>
      <c r="Q1092" s="16"/>
      <c r="R1092" s="16"/>
      <c r="S1092" s="16"/>
      <c r="T1092" s="16"/>
      <c r="U1092" s="16"/>
      <c r="V1092" s="16"/>
      <c r="W1092" s="16"/>
      <c r="X1092" s="16"/>
      <c r="Y1092" s="16"/>
      <c r="Z1092" s="16"/>
      <c r="AA1092" s="16"/>
      <c r="AB1092" s="16"/>
      <c r="AC1092" s="16"/>
      <c r="AD1092" s="16"/>
      <c r="AE1092" s="16"/>
      <c r="AF1092" s="16"/>
      <c r="AG1092" s="16"/>
      <c r="AH1092" s="16"/>
      <c r="AI1092" s="16"/>
      <c r="AJ1092" s="16"/>
      <c r="AK1092" s="16"/>
      <c r="AL1092" s="16"/>
      <c r="AM1092" s="16"/>
      <c r="AN1092" s="16"/>
      <c r="AO1092" s="16"/>
      <c r="AP1092" s="16"/>
      <c r="AQ1092" s="16"/>
    </row>
    <row r="1093">
      <c r="A1093" s="22"/>
      <c r="B1093" s="21"/>
      <c r="C1093" s="16"/>
      <c r="D1093" s="16"/>
      <c r="E1093" s="17"/>
      <c r="F1093" s="21"/>
      <c r="G1093" s="16"/>
      <c r="H1093" s="16"/>
      <c r="I1093" s="16"/>
      <c r="J1093" s="17"/>
      <c r="K1093" s="21"/>
      <c r="L1093" s="16"/>
      <c r="M1093" s="16"/>
      <c r="N1093" s="17"/>
      <c r="O1093" s="21"/>
      <c r="P1093" s="16"/>
      <c r="Q1093" s="16"/>
      <c r="R1093" s="16"/>
      <c r="S1093" s="16"/>
      <c r="T1093" s="16"/>
      <c r="U1093" s="16"/>
      <c r="V1093" s="16"/>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row>
    <row r="1094">
      <c r="A1094" s="22"/>
      <c r="B1094" s="21"/>
      <c r="C1094" s="16"/>
      <c r="D1094" s="16"/>
      <c r="E1094" s="17"/>
      <c r="F1094" s="21"/>
      <c r="G1094" s="16"/>
      <c r="H1094" s="16"/>
      <c r="I1094" s="16"/>
      <c r="J1094" s="17"/>
      <c r="K1094" s="21"/>
      <c r="L1094" s="16"/>
      <c r="M1094" s="16"/>
      <c r="N1094" s="17"/>
      <c r="O1094" s="21"/>
      <c r="P1094" s="16"/>
      <c r="Q1094" s="16"/>
      <c r="R1094" s="16"/>
      <c r="S1094" s="16"/>
      <c r="T1094" s="16"/>
      <c r="U1094" s="16"/>
      <c r="V1094" s="16"/>
      <c r="W1094" s="16"/>
      <c r="X1094" s="16"/>
      <c r="Y1094" s="16"/>
      <c r="Z1094" s="16"/>
      <c r="AA1094" s="16"/>
      <c r="AB1094" s="16"/>
      <c r="AC1094" s="16"/>
      <c r="AD1094" s="16"/>
      <c r="AE1094" s="16"/>
      <c r="AF1094" s="16"/>
      <c r="AG1094" s="16"/>
      <c r="AH1094" s="16"/>
      <c r="AI1094" s="16"/>
      <c r="AJ1094" s="16"/>
      <c r="AK1094" s="16"/>
      <c r="AL1094" s="16"/>
      <c r="AM1094" s="16"/>
      <c r="AN1094" s="16"/>
      <c r="AO1094" s="16"/>
      <c r="AP1094" s="16"/>
      <c r="AQ1094" s="16"/>
    </row>
    <row r="1095">
      <c r="A1095" s="22"/>
      <c r="B1095" s="21"/>
      <c r="C1095" s="16"/>
      <c r="D1095" s="16"/>
      <c r="E1095" s="17"/>
      <c r="F1095" s="21"/>
      <c r="G1095" s="16"/>
      <c r="H1095" s="16"/>
      <c r="I1095" s="16"/>
      <c r="J1095" s="17"/>
      <c r="K1095" s="21"/>
      <c r="L1095" s="16"/>
      <c r="M1095" s="16"/>
      <c r="N1095" s="17"/>
      <c r="O1095" s="21"/>
      <c r="P1095" s="16"/>
      <c r="Q1095" s="16"/>
      <c r="R1095" s="16"/>
      <c r="S1095" s="16"/>
      <c r="T1095" s="16"/>
      <c r="U1095" s="16"/>
      <c r="V1095" s="16"/>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row>
    <row r="1096">
      <c r="A1096" s="22"/>
      <c r="B1096" s="21"/>
      <c r="C1096" s="16"/>
      <c r="D1096" s="16"/>
      <c r="E1096" s="17"/>
      <c r="F1096" s="21"/>
      <c r="G1096" s="16"/>
      <c r="H1096" s="16"/>
      <c r="I1096" s="16"/>
      <c r="J1096" s="17"/>
      <c r="K1096" s="21"/>
      <c r="L1096" s="16"/>
      <c r="M1096" s="16"/>
      <c r="N1096" s="17"/>
      <c r="O1096" s="21"/>
      <c r="P1096" s="16"/>
      <c r="Q1096" s="16"/>
      <c r="R1096" s="16"/>
      <c r="S1096" s="16"/>
      <c r="T1096" s="16"/>
      <c r="U1096" s="16"/>
      <c r="V1096" s="16"/>
      <c r="W1096" s="16"/>
      <c r="X1096" s="16"/>
      <c r="Y1096" s="16"/>
      <c r="Z1096" s="16"/>
      <c r="AA1096" s="16"/>
      <c r="AB1096" s="16"/>
      <c r="AC1096" s="16"/>
      <c r="AD1096" s="16"/>
      <c r="AE1096" s="16"/>
      <c r="AF1096" s="16"/>
      <c r="AG1096" s="16"/>
      <c r="AH1096" s="16"/>
      <c r="AI1096" s="16"/>
      <c r="AJ1096" s="16"/>
      <c r="AK1096" s="16"/>
      <c r="AL1096" s="16"/>
      <c r="AM1096" s="16"/>
      <c r="AN1096" s="16"/>
      <c r="AO1096" s="16"/>
      <c r="AP1096" s="16"/>
      <c r="AQ1096" s="16"/>
    </row>
    <row r="1097">
      <c r="A1097" s="22"/>
      <c r="B1097" s="21"/>
      <c r="C1097" s="16"/>
      <c r="D1097" s="16"/>
      <c r="E1097" s="17"/>
      <c r="F1097" s="21"/>
      <c r="G1097" s="16"/>
      <c r="H1097" s="16"/>
      <c r="I1097" s="16"/>
      <c r="J1097" s="17"/>
      <c r="K1097" s="21"/>
      <c r="L1097" s="16"/>
      <c r="M1097" s="16"/>
      <c r="N1097" s="17"/>
      <c r="O1097" s="21"/>
      <c r="P1097" s="16"/>
      <c r="Q1097" s="16"/>
      <c r="R1097" s="16"/>
      <c r="S1097" s="16"/>
      <c r="T1097" s="16"/>
      <c r="U1097" s="16"/>
      <c r="V1097" s="16"/>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row>
    <row r="1098">
      <c r="A1098" s="22"/>
      <c r="B1098" s="21"/>
      <c r="C1098" s="16"/>
      <c r="D1098" s="16"/>
      <c r="E1098" s="17"/>
      <c r="F1098" s="21"/>
      <c r="G1098" s="16"/>
      <c r="H1098" s="16"/>
      <c r="I1098" s="16"/>
      <c r="J1098" s="17"/>
      <c r="K1098" s="21"/>
      <c r="L1098" s="16"/>
      <c r="M1098" s="16"/>
      <c r="N1098" s="17"/>
      <c r="O1098" s="21"/>
      <c r="P1098" s="16"/>
      <c r="Q1098" s="16"/>
      <c r="R1098" s="16"/>
      <c r="S1098" s="16"/>
      <c r="T1098" s="16"/>
      <c r="U1098" s="16"/>
      <c r="V1098" s="16"/>
      <c r="W1098" s="16"/>
      <c r="X1098" s="16"/>
      <c r="Y1098" s="16"/>
      <c r="Z1098" s="16"/>
      <c r="AA1098" s="16"/>
      <c r="AB1098" s="16"/>
      <c r="AC1098" s="16"/>
      <c r="AD1098" s="16"/>
      <c r="AE1098" s="16"/>
      <c r="AF1098" s="16"/>
      <c r="AG1098" s="16"/>
      <c r="AH1098" s="16"/>
      <c r="AI1098" s="16"/>
      <c r="AJ1098" s="16"/>
      <c r="AK1098" s="16"/>
      <c r="AL1098" s="16"/>
      <c r="AM1098" s="16"/>
      <c r="AN1098" s="16"/>
      <c r="AO1098" s="16"/>
      <c r="AP1098" s="16"/>
      <c r="AQ1098" s="16"/>
    </row>
    <row r="1099">
      <c r="A1099" s="22"/>
      <c r="B1099" s="21"/>
      <c r="C1099" s="16"/>
      <c r="D1099" s="16"/>
      <c r="E1099" s="17"/>
      <c r="F1099" s="21"/>
      <c r="G1099" s="16"/>
      <c r="H1099" s="16"/>
      <c r="I1099" s="16"/>
      <c r="J1099" s="17"/>
      <c r="K1099" s="21"/>
      <c r="L1099" s="16"/>
      <c r="M1099" s="16"/>
      <c r="N1099" s="17"/>
      <c r="O1099" s="21"/>
      <c r="P1099" s="16"/>
      <c r="Q1099" s="16"/>
      <c r="R1099" s="16"/>
      <c r="S1099" s="16"/>
      <c r="T1099" s="16"/>
      <c r="U1099" s="16"/>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row>
    <row r="1100">
      <c r="A1100" s="22"/>
      <c r="B1100" s="21"/>
      <c r="C1100" s="16"/>
      <c r="D1100" s="16"/>
      <c r="E1100" s="17"/>
      <c r="F1100" s="21"/>
      <c r="G1100" s="16"/>
      <c r="H1100" s="16"/>
      <c r="I1100" s="16"/>
      <c r="J1100" s="17"/>
      <c r="K1100" s="21"/>
      <c r="L1100" s="16"/>
      <c r="M1100" s="16"/>
      <c r="N1100" s="17"/>
      <c r="O1100" s="21"/>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c r="AL1100" s="16"/>
      <c r="AM1100" s="16"/>
      <c r="AN1100" s="16"/>
      <c r="AO1100" s="16"/>
      <c r="AP1100" s="16"/>
      <c r="AQ1100" s="16"/>
    </row>
    <row r="1101">
      <c r="A1101" s="22"/>
      <c r="B1101" s="21"/>
      <c r="C1101" s="16"/>
      <c r="D1101" s="16"/>
      <c r="E1101" s="17"/>
      <c r="F1101" s="21"/>
      <c r="G1101" s="16"/>
      <c r="H1101" s="16"/>
      <c r="I1101" s="16"/>
      <c r="J1101" s="17"/>
      <c r="K1101" s="21"/>
      <c r="L1101" s="16"/>
      <c r="M1101" s="16"/>
      <c r="N1101" s="17"/>
      <c r="O1101" s="21"/>
      <c r="P1101" s="16"/>
      <c r="Q1101" s="16"/>
      <c r="R1101" s="16"/>
      <c r="S1101" s="16"/>
      <c r="T1101" s="16"/>
      <c r="U1101" s="16"/>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row>
    <row r="1102">
      <c r="A1102" s="22"/>
      <c r="B1102" s="21"/>
      <c r="C1102" s="16"/>
      <c r="D1102" s="16"/>
      <c r="E1102" s="17"/>
      <c r="F1102" s="21"/>
      <c r="G1102" s="16"/>
      <c r="H1102" s="16"/>
      <c r="I1102" s="16"/>
      <c r="J1102" s="17"/>
      <c r="K1102" s="21"/>
      <c r="L1102" s="16"/>
      <c r="M1102" s="16"/>
      <c r="N1102" s="17"/>
      <c r="O1102" s="21"/>
      <c r="P1102" s="16"/>
      <c r="Q1102" s="16"/>
      <c r="R1102" s="16"/>
      <c r="S1102" s="16"/>
      <c r="T1102" s="16"/>
      <c r="U1102" s="16"/>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row>
    <row r="1103">
      <c r="A1103" s="22"/>
      <c r="B1103" s="21"/>
      <c r="C1103" s="16"/>
      <c r="D1103" s="16"/>
      <c r="E1103" s="17"/>
      <c r="F1103" s="21"/>
      <c r="G1103" s="16"/>
      <c r="H1103" s="16"/>
      <c r="I1103" s="16"/>
      <c r="J1103" s="17"/>
      <c r="K1103" s="21"/>
      <c r="L1103" s="16"/>
      <c r="M1103" s="16"/>
      <c r="N1103" s="17"/>
      <c r="O1103" s="21"/>
      <c r="P1103" s="16"/>
      <c r="Q1103" s="16"/>
      <c r="R1103" s="16"/>
      <c r="S1103" s="16"/>
      <c r="T1103" s="16"/>
      <c r="U1103" s="16"/>
      <c r="V1103" s="16"/>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row>
    <row r="1104">
      <c r="A1104" s="22"/>
      <c r="B1104" s="21"/>
      <c r="C1104" s="16"/>
      <c r="D1104" s="16"/>
      <c r="E1104" s="17"/>
      <c r="F1104" s="21"/>
      <c r="G1104" s="16"/>
      <c r="H1104" s="16"/>
      <c r="I1104" s="16"/>
      <c r="J1104" s="17"/>
      <c r="K1104" s="21"/>
      <c r="L1104" s="16"/>
      <c r="M1104" s="16"/>
      <c r="N1104" s="17"/>
      <c r="O1104" s="21"/>
      <c r="P1104" s="16"/>
      <c r="Q1104" s="16"/>
      <c r="R1104" s="16"/>
      <c r="S1104" s="16"/>
      <c r="T1104" s="16"/>
      <c r="U1104" s="16"/>
      <c r="V1104" s="16"/>
      <c r="W1104" s="16"/>
      <c r="X1104" s="16"/>
      <c r="Y1104" s="16"/>
      <c r="Z1104" s="16"/>
      <c r="AA1104" s="16"/>
      <c r="AB1104" s="16"/>
      <c r="AC1104" s="16"/>
      <c r="AD1104" s="16"/>
      <c r="AE1104" s="16"/>
      <c r="AF1104" s="16"/>
      <c r="AG1104" s="16"/>
      <c r="AH1104" s="16"/>
      <c r="AI1104" s="16"/>
      <c r="AJ1104" s="16"/>
      <c r="AK1104" s="16"/>
      <c r="AL1104" s="16"/>
      <c r="AM1104" s="16"/>
      <c r="AN1104" s="16"/>
      <c r="AO1104" s="16"/>
      <c r="AP1104" s="16"/>
      <c r="AQ1104" s="16"/>
    </row>
    <row r="1105">
      <c r="A1105" s="22"/>
      <c r="B1105" s="21"/>
      <c r="C1105" s="16"/>
      <c r="D1105" s="16"/>
      <c r="E1105" s="17"/>
      <c r="F1105" s="21"/>
      <c r="G1105" s="16"/>
      <c r="H1105" s="16"/>
      <c r="I1105" s="16"/>
      <c r="J1105" s="17"/>
      <c r="K1105" s="21"/>
      <c r="L1105" s="16"/>
      <c r="M1105" s="16"/>
      <c r="N1105" s="17"/>
      <c r="O1105" s="21"/>
      <c r="P1105" s="16"/>
      <c r="Q1105" s="16"/>
      <c r="R1105" s="16"/>
      <c r="S1105" s="16"/>
      <c r="T1105" s="16"/>
      <c r="U1105" s="16"/>
      <c r="V1105" s="16"/>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row>
    <row r="1106">
      <c r="A1106" s="22"/>
      <c r="B1106" s="21"/>
      <c r="C1106" s="16"/>
      <c r="D1106" s="16"/>
      <c r="E1106" s="17"/>
      <c r="F1106" s="21"/>
      <c r="G1106" s="16"/>
      <c r="H1106" s="16"/>
      <c r="I1106" s="16"/>
      <c r="J1106" s="17"/>
      <c r="K1106" s="21"/>
      <c r="L1106" s="16"/>
      <c r="M1106" s="16"/>
      <c r="N1106" s="17"/>
      <c r="O1106" s="21"/>
      <c r="P1106" s="16"/>
      <c r="Q1106" s="16"/>
      <c r="R1106" s="16"/>
      <c r="S1106" s="16"/>
      <c r="T1106" s="16"/>
      <c r="U1106" s="16"/>
      <c r="V1106" s="16"/>
      <c r="W1106" s="16"/>
      <c r="X1106" s="16"/>
      <c r="Y1106" s="16"/>
      <c r="Z1106" s="16"/>
      <c r="AA1106" s="16"/>
      <c r="AB1106" s="16"/>
      <c r="AC1106" s="16"/>
      <c r="AD1106" s="16"/>
      <c r="AE1106" s="16"/>
      <c r="AF1106" s="16"/>
      <c r="AG1106" s="16"/>
      <c r="AH1106" s="16"/>
      <c r="AI1106" s="16"/>
      <c r="AJ1106" s="16"/>
      <c r="AK1106" s="16"/>
      <c r="AL1106" s="16"/>
      <c r="AM1106" s="16"/>
      <c r="AN1106" s="16"/>
      <c r="AO1106" s="16"/>
      <c r="AP1106" s="16"/>
      <c r="AQ1106" s="16"/>
    </row>
    <row r="1107">
      <c r="A1107" s="22"/>
      <c r="B1107" s="21"/>
      <c r="C1107" s="16"/>
      <c r="D1107" s="16"/>
      <c r="E1107" s="17"/>
      <c r="F1107" s="21"/>
      <c r="G1107" s="16"/>
      <c r="H1107" s="16"/>
      <c r="I1107" s="16"/>
      <c r="J1107" s="17"/>
      <c r="K1107" s="21"/>
      <c r="L1107" s="16"/>
      <c r="M1107" s="16"/>
      <c r="N1107" s="17"/>
      <c r="O1107" s="21"/>
      <c r="P1107" s="16"/>
      <c r="Q1107" s="16"/>
      <c r="R1107" s="16"/>
      <c r="S1107" s="16"/>
      <c r="T1107" s="16"/>
      <c r="U1107" s="16"/>
      <c r="V1107" s="16"/>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row>
    <row r="1108">
      <c r="A1108" s="22"/>
      <c r="B1108" s="21"/>
      <c r="C1108" s="16"/>
      <c r="D1108" s="16"/>
      <c r="E1108" s="17"/>
      <c r="F1108" s="21"/>
      <c r="G1108" s="16"/>
      <c r="H1108" s="16"/>
      <c r="I1108" s="16"/>
      <c r="J1108" s="17"/>
      <c r="K1108" s="21"/>
      <c r="L1108" s="16"/>
      <c r="M1108" s="16"/>
      <c r="N1108" s="17"/>
      <c r="O1108" s="21"/>
      <c r="P1108" s="16"/>
      <c r="Q1108" s="16"/>
      <c r="R1108" s="16"/>
      <c r="S1108" s="16"/>
      <c r="T1108" s="16"/>
      <c r="U1108" s="16"/>
      <c r="V1108" s="16"/>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row>
    <row r="1109">
      <c r="A1109" s="22"/>
      <c r="B1109" s="21"/>
      <c r="C1109" s="16"/>
      <c r="D1109" s="16"/>
      <c r="E1109" s="17"/>
      <c r="F1109" s="21"/>
      <c r="G1109" s="16"/>
      <c r="H1109" s="16"/>
      <c r="I1109" s="16"/>
      <c r="J1109" s="17"/>
      <c r="K1109" s="21"/>
      <c r="L1109" s="16"/>
      <c r="M1109" s="16"/>
      <c r="N1109" s="17"/>
      <c r="O1109" s="21"/>
      <c r="P1109" s="16"/>
      <c r="Q1109" s="16"/>
      <c r="R1109" s="16"/>
      <c r="S1109" s="16"/>
      <c r="T1109" s="16"/>
      <c r="U1109" s="16"/>
      <c r="V1109" s="16"/>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row>
    <row r="1110">
      <c r="A1110" s="22"/>
      <c r="B1110" s="21"/>
      <c r="C1110" s="16"/>
      <c r="D1110" s="16"/>
      <c r="E1110" s="17"/>
      <c r="F1110" s="21"/>
      <c r="G1110" s="16"/>
      <c r="H1110" s="16"/>
      <c r="I1110" s="16"/>
      <c r="J1110" s="17"/>
      <c r="K1110" s="21"/>
      <c r="L1110" s="16"/>
      <c r="M1110" s="16"/>
      <c r="N1110" s="17"/>
      <c r="O1110" s="21"/>
      <c r="P1110" s="16"/>
      <c r="Q1110" s="16"/>
      <c r="R1110" s="16"/>
      <c r="S1110" s="16"/>
      <c r="T1110" s="16"/>
      <c r="U1110" s="16"/>
      <c r="V1110" s="16"/>
      <c r="W1110" s="16"/>
      <c r="X1110" s="16"/>
      <c r="Y1110" s="16"/>
      <c r="Z1110" s="16"/>
      <c r="AA1110" s="16"/>
      <c r="AB1110" s="16"/>
      <c r="AC1110" s="16"/>
      <c r="AD1110" s="16"/>
      <c r="AE1110" s="16"/>
      <c r="AF1110" s="16"/>
      <c r="AG1110" s="16"/>
      <c r="AH1110" s="16"/>
      <c r="AI1110" s="16"/>
      <c r="AJ1110" s="16"/>
      <c r="AK1110" s="16"/>
      <c r="AL1110" s="16"/>
      <c r="AM1110" s="16"/>
      <c r="AN1110" s="16"/>
      <c r="AO1110" s="16"/>
      <c r="AP1110" s="16"/>
      <c r="AQ1110" s="16"/>
    </row>
    <row r="1111">
      <c r="A1111" s="22"/>
      <c r="B1111" s="21"/>
      <c r="C1111" s="16"/>
      <c r="D1111" s="16"/>
      <c r="E1111" s="17"/>
      <c r="F1111" s="21"/>
      <c r="G1111" s="16"/>
      <c r="H1111" s="16"/>
      <c r="I1111" s="16"/>
      <c r="J1111" s="17"/>
      <c r="K1111" s="21"/>
      <c r="L1111" s="16"/>
      <c r="M1111" s="16"/>
      <c r="N1111" s="17"/>
      <c r="O1111" s="21"/>
      <c r="P1111" s="16"/>
      <c r="Q1111" s="16"/>
      <c r="R1111" s="16"/>
      <c r="S1111" s="16"/>
      <c r="T1111" s="16"/>
      <c r="U1111" s="16"/>
      <c r="V1111" s="16"/>
      <c r="W1111" s="16"/>
      <c r="X1111" s="16"/>
      <c r="Y1111" s="16"/>
      <c r="Z1111" s="16"/>
      <c r="AA1111" s="16"/>
      <c r="AB1111" s="16"/>
      <c r="AC1111" s="16"/>
      <c r="AD1111" s="16"/>
      <c r="AE1111" s="16"/>
      <c r="AF1111" s="16"/>
      <c r="AG1111" s="16"/>
      <c r="AH1111" s="16"/>
      <c r="AI1111" s="16"/>
      <c r="AJ1111" s="16"/>
      <c r="AK1111" s="16"/>
      <c r="AL1111" s="16"/>
      <c r="AM1111" s="16"/>
      <c r="AN1111" s="16"/>
      <c r="AO1111" s="16"/>
      <c r="AP1111" s="16"/>
      <c r="AQ1111" s="16"/>
    </row>
    <row r="1112">
      <c r="A1112" s="22"/>
      <c r="B1112" s="21"/>
      <c r="C1112" s="16"/>
      <c r="D1112" s="16"/>
      <c r="E1112" s="17"/>
      <c r="F1112" s="21"/>
      <c r="G1112" s="16"/>
      <c r="H1112" s="16"/>
      <c r="I1112" s="16"/>
      <c r="J1112" s="17"/>
      <c r="K1112" s="21"/>
      <c r="L1112" s="16"/>
      <c r="M1112" s="16"/>
      <c r="N1112" s="17"/>
      <c r="O1112" s="21"/>
      <c r="P1112" s="16"/>
      <c r="Q1112" s="16"/>
      <c r="R1112" s="16"/>
      <c r="S1112" s="16"/>
      <c r="T1112" s="16"/>
      <c r="U1112" s="16"/>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row>
    <row r="1113">
      <c r="A1113" s="22"/>
      <c r="B1113" s="21"/>
      <c r="C1113" s="16"/>
      <c r="D1113" s="16"/>
      <c r="E1113" s="17"/>
      <c r="F1113" s="21"/>
      <c r="G1113" s="16"/>
      <c r="H1113" s="16"/>
      <c r="I1113" s="16"/>
      <c r="J1113" s="17"/>
      <c r="K1113" s="21"/>
      <c r="L1113" s="16"/>
      <c r="M1113" s="16"/>
      <c r="N1113" s="17"/>
      <c r="O1113" s="21"/>
      <c r="P1113" s="16"/>
      <c r="Q1113" s="16"/>
      <c r="R1113" s="16"/>
      <c r="S1113" s="16"/>
      <c r="T1113" s="16"/>
      <c r="U1113" s="16"/>
      <c r="V1113" s="16"/>
      <c r="W1113" s="16"/>
      <c r="X1113" s="16"/>
      <c r="Y1113" s="16"/>
      <c r="Z1113" s="16"/>
      <c r="AA1113" s="16"/>
      <c r="AB1113" s="16"/>
      <c r="AC1113" s="16"/>
      <c r="AD1113" s="16"/>
      <c r="AE1113" s="16"/>
      <c r="AF1113" s="16"/>
      <c r="AG1113" s="16"/>
      <c r="AH1113" s="16"/>
      <c r="AI1113" s="16"/>
      <c r="AJ1113" s="16"/>
      <c r="AK1113" s="16"/>
      <c r="AL1113" s="16"/>
      <c r="AM1113" s="16"/>
      <c r="AN1113" s="16"/>
      <c r="AO1113" s="16"/>
      <c r="AP1113" s="16"/>
      <c r="AQ1113" s="16"/>
    </row>
    <row r="1114">
      <c r="A1114" s="22"/>
      <c r="B1114" s="21"/>
      <c r="C1114" s="16"/>
      <c r="D1114" s="16"/>
      <c r="E1114" s="17"/>
      <c r="F1114" s="21"/>
      <c r="G1114" s="16"/>
      <c r="H1114" s="16"/>
      <c r="I1114" s="16"/>
      <c r="J1114" s="17"/>
      <c r="K1114" s="21"/>
      <c r="L1114" s="16"/>
      <c r="M1114" s="16"/>
      <c r="N1114" s="17"/>
      <c r="O1114" s="21"/>
      <c r="P1114" s="16"/>
      <c r="Q1114" s="16"/>
      <c r="R1114" s="16"/>
      <c r="S1114" s="16"/>
      <c r="T1114" s="16"/>
      <c r="U1114" s="16"/>
      <c r="V1114" s="16"/>
      <c r="W1114" s="16"/>
      <c r="X1114" s="16"/>
      <c r="Y1114" s="16"/>
      <c r="Z1114" s="16"/>
      <c r="AA1114" s="16"/>
      <c r="AB1114" s="16"/>
      <c r="AC1114" s="16"/>
      <c r="AD1114" s="16"/>
      <c r="AE1114" s="16"/>
      <c r="AF1114" s="16"/>
      <c r="AG1114" s="16"/>
      <c r="AH1114" s="16"/>
      <c r="AI1114" s="16"/>
      <c r="AJ1114" s="16"/>
      <c r="AK1114" s="16"/>
      <c r="AL1114" s="16"/>
      <c r="AM1114" s="16"/>
      <c r="AN1114" s="16"/>
      <c r="AO1114" s="16"/>
      <c r="AP1114" s="16"/>
      <c r="AQ1114" s="16"/>
    </row>
    <row r="1115">
      <c r="A1115" s="22"/>
      <c r="B1115" s="21"/>
      <c r="C1115" s="16"/>
      <c r="D1115" s="16"/>
      <c r="E1115" s="17"/>
      <c r="F1115" s="21"/>
      <c r="G1115" s="16"/>
      <c r="H1115" s="16"/>
      <c r="I1115" s="16"/>
      <c r="J1115" s="17"/>
      <c r="K1115" s="21"/>
      <c r="L1115" s="16"/>
      <c r="M1115" s="16"/>
      <c r="N1115" s="17"/>
      <c r="O1115" s="21"/>
      <c r="P1115" s="16"/>
      <c r="Q1115" s="16"/>
      <c r="R1115" s="16"/>
      <c r="S1115" s="16"/>
      <c r="T1115" s="16"/>
      <c r="U1115" s="16"/>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row>
    <row r="1116">
      <c r="A1116" s="22"/>
      <c r="B1116" s="21"/>
      <c r="C1116" s="16"/>
      <c r="D1116" s="16"/>
      <c r="E1116" s="17"/>
      <c r="F1116" s="21"/>
      <c r="G1116" s="16"/>
      <c r="H1116" s="16"/>
      <c r="I1116" s="16"/>
      <c r="J1116" s="17"/>
      <c r="K1116" s="21"/>
      <c r="L1116" s="16"/>
      <c r="M1116" s="16"/>
      <c r="N1116" s="17"/>
      <c r="O1116" s="21"/>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c r="AL1116" s="16"/>
      <c r="AM1116" s="16"/>
      <c r="AN1116" s="16"/>
      <c r="AO1116" s="16"/>
      <c r="AP1116" s="16"/>
      <c r="AQ1116" s="16"/>
    </row>
    <row r="1117">
      <c r="A1117" s="22"/>
      <c r="B1117" s="21"/>
      <c r="C1117" s="16"/>
      <c r="D1117" s="16"/>
      <c r="E1117" s="17"/>
      <c r="F1117" s="21"/>
      <c r="G1117" s="16"/>
      <c r="H1117" s="16"/>
      <c r="I1117" s="16"/>
      <c r="J1117" s="17"/>
      <c r="K1117" s="21"/>
      <c r="L1117" s="16"/>
      <c r="M1117" s="16"/>
      <c r="N1117" s="17"/>
      <c r="O1117" s="21"/>
      <c r="P1117" s="16"/>
      <c r="Q1117" s="16"/>
      <c r="R1117" s="16"/>
      <c r="S1117" s="16"/>
      <c r="T1117" s="16"/>
      <c r="U1117" s="16"/>
      <c r="V1117" s="16"/>
      <c r="W1117" s="16"/>
      <c r="X1117" s="16"/>
      <c r="Y1117" s="16"/>
      <c r="Z1117" s="16"/>
      <c r="AA1117" s="16"/>
      <c r="AB1117" s="16"/>
      <c r="AC1117" s="16"/>
      <c r="AD1117" s="16"/>
      <c r="AE1117" s="16"/>
      <c r="AF1117" s="16"/>
      <c r="AG1117" s="16"/>
      <c r="AH1117" s="16"/>
      <c r="AI1117" s="16"/>
      <c r="AJ1117" s="16"/>
      <c r="AK1117" s="16"/>
      <c r="AL1117" s="16"/>
      <c r="AM1117" s="16"/>
      <c r="AN1117" s="16"/>
      <c r="AO1117" s="16"/>
      <c r="AP1117" s="16"/>
      <c r="AQ1117" s="16"/>
    </row>
    <row r="1118">
      <c r="A1118" s="22"/>
      <c r="B1118" s="21"/>
      <c r="C1118" s="16"/>
      <c r="D1118" s="16"/>
      <c r="E1118" s="17"/>
      <c r="F1118" s="21"/>
      <c r="G1118" s="16"/>
      <c r="H1118" s="16"/>
      <c r="I1118" s="16"/>
      <c r="J1118" s="17"/>
      <c r="K1118" s="21"/>
      <c r="L1118" s="16"/>
      <c r="M1118" s="16"/>
      <c r="N1118" s="17"/>
      <c r="O1118" s="21"/>
      <c r="P1118" s="16"/>
      <c r="Q1118" s="16"/>
      <c r="R1118" s="16"/>
      <c r="S1118" s="16"/>
      <c r="T1118" s="16"/>
      <c r="U1118" s="16"/>
      <c r="V1118" s="16"/>
      <c r="W1118" s="16"/>
      <c r="X1118" s="16"/>
      <c r="Y1118" s="16"/>
      <c r="Z1118" s="16"/>
      <c r="AA1118" s="16"/>
      <c r="AB1118" s="16"/>
      <c r="AC1118" s="16"/>
      <c r="AD1118" s="16"/>
      <c r="AE1118" s="16"/>
      <c r="AF1118" s="16"/>
      <c r="AG1118" s="16"/>
      <c r="AH1118" s="16"/>
      <c r="AI1118" s="16"/>
      <c r="AJ1118" s="16"/>
      <c r="AK1118" s="16"/>
      <c r="AL1118" s="16"/>
      <c r="AM1118" s="16"/>
      <c r="AN1118" s="16"/>
      <c r="AO1118" s="16"/>
      <c r="AP1118" s="16"/>
      <c r="AQ1118" s="16"/>
    </row>
    <row r="1119">
      <c r="A1119" s="22"/>
      <c r="B1119" s="21"/>
      <c r="C1119" s="16"/>
      <c r="D1119" s="16"/>
      <c r="E1119" s="17"/>
      <c r="F1119" s="21"/>
      <c r="G1119" s="16"/>
      <c r="H1119" s="16"/>
      <c r="I1119" s="16"/>
      <c r="J1119" s="17"/>
      <c r="K1119" s="21"/>
      <c r="L1119" s="16"/>
      <c r="M1119" s="16"/>
      <c r="N1119" s="17"/>
      <c r="O1119" s="21"/>
      <c r="P1119" s="16"/>
      <c r="Q1119" s="16"/>
      <c r="R1119" s="16"/>
      <c r="S1119" s="16"/>
      <c r="T1119" s="16"/>
      <c r="U1119" s="16"/>
      <c r="V1119" s="16"/>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row>
    <row r="1120">
      <c r="A1120" s="22"/>
      <c r="B1120" s="21"/>
      <c r="C1120" s="16"/>
      <c r="D1120" s="16"/>
      <c r="E1120" s="17"/>
      <c r="F1120" s="21"/>
      <c r="G1120" s="16"/>
      <c r="H1120" s="16"/>
      <c r="I1120" s="16"/>
      <c r="J1120" s="17"/>
      <c r="K1120" s="21"/>
      <c r="L1120" s="16"/>
      <c r="M1120" s="16"/>
      <c r="N1120" s="17"/>
      <c r="O1120" s="21"/>
      <c r="P1120" s="16"/>
      <c r="Q1120" s="16"/>
      <c r="R1120" s="16"/>
      <c r="S1120" s="16"/>
      <c r="T1120" s="16"/>
      <c r="U1120" s="16"/>
      <c r="V1120" s="16"/>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row>
    <row r="1121">
      <c r="A1121" s="22"/>
      <c r="B1121" s="21"/>
      <c r="C1121" s="16"/>
      <c r="D1121" s="16"/>
      <c r="E1121" s="17"/>
      <c r="F1121" s="21"/>
      <c r="G1121" s="16"/>
      <c r="H1121" s="16"/>
      <c r="I1121" s="16"/>
      <c r="J1121" s="17"/>
      <c r="K1121" s="21"/>
      <c r="L1121" s="16"/>
      <c r="M1121" s="16"/>
      <c r="N1121" s="17"/>
      <c r="O1121" s="21"/>
      <c r="P1121" s="16"/>
      <c r="Q1121" s="16"/>
      <c r="R1121" s="16"/>
      <c r="S1121" s="16"/>
      <c r="T1121" s="16"/>
      <c r="U1121" s="16"/>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row>
    <row r="1122">
      <c r="A1122" s="22"/>
      <c r="B1122" s="21"/>
      <c r="C1122" s="16"/>
      <c r="D1122" s="16"/>
      <c r="E1122" s="17"/>
      <c r="F1122" s="21"/>
      <c r="G1122" s="16"/>
      <c r="H1122" s="16"/>
      <c r="I1122" s="16"/>
      <c r="J1122" s="17"/>
      <c r="K1122" s="21"/>
      <c r="L1122" s="16"/>
      <c r="M1122" s="16"/>
      <c r="N1122" s="17"/>
      <c r="O1122" s="21"/>
      <c r="P1122" s="16"/>
      <c r="Q1122" s="16"/>
      <c r="R1122" s="16"/>
      <c r="S1122" s="16"/>
      <c r="T1122" s="16"/>
      <c r="U1122" s="16"/>
      <c r="V1122" s="16"/>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row>
    <row r="1123">
      <c r="A1123" s="22"/>
      <c r="B1123" s="21"/>
      <c r="C1123" s="16"/>
      <c r="D1123" s="16"/>
      <c r="E1123" s="17"/>
      <c r="F1123" s="21"/>
      <c r="G1123" s="16"/>
      <c r="H1123" s="16"/>
      <c r="I1123" s="16"/>
      <c r="J1123" s="17"/>
      <c r="K1123" s="21"/>
      <c r="L1123" s="16"/>
      <c r="M1123" s="16"/>
      <c r="N1123" s="17"/>
      <c r="O1123" s="21"/>
      <c r="P1123" s="16"/>
      <c r="Q1123" s="16"/>
      <c r="R1123" s="16"/>
      <c r="S1123" s="16"/>
      <c r="T1123" s="16"/>
      <c r="U1123" s="16"/>
      <c r="V1123" s="16"/>
      <c r="W1123" s="16"/>
      <c r="X1123" s="16"/>
      <c r="Y1123" s="16"/>
      <c r="Z1123" s="16"/>
      <c r="AA1123" s="16"/>
      <c r="AB1123" s="16"/>
      <c r="AC1123" s="16"/>
      <c r="AD1123" s="16"/>
      <c r="AE1123" s="16"/>
      <c r="AF1123" s="16"/>
      <c r="AG1123" s="16"/>
      <c r="AH1123" s="16"/>
      <c r="AI1123" s="16"/>
      <c r="AJ1123" s="16"/>
      <c r="AK1123" s="16"/>
      <c r="AL1123" s="16"/>
      <c r="AM1123" s="16"/>
      <c r="AN1123" s="16"/>
      <c r="AO1123" s="16"/>
      <c r="AP1123" s="16"/>
      <c r="AQ1123" s="16"/>
    </row>
    <row r="1124">
      <c r="A1124" s="22"/>
      <c r="B1124" s="21"/>
      <c r="C1124" s="16"/>
      <c r="D1124" s="16"/>
      <c r="E1124" s="17"/>
      <c r="F1124" s="21"/>
      <c r="G1124" s="16"/>
      <c r="H1124" s="16"/>
      <c r="I1124" s="16"/>
      <c r="J1124" s="17"/>
      <c r="K1124" s="21"/>
      <c r="L1124" s="16"/>
      <c r="M1124" s="16"/>
      <c r="N1124" s="17"/>
      <c r="O1124" s="21"/>
      <c r="P1124" s="16"/>
      <c r="Q1124" s="16"/>
      <c r="R1124" s="16"/>
      <c r="S1124" s="16"/>
      <c r="T1124" s="16"/>
      <c r="U1124" s="16"/>
      <c r="V1124" s="16"/>
      <c r="W1124" s="16"/>
      <c r="X1124" s="16"/>
      <c r="Y1124" s="16"/>
      <c r="Z1124" s="16"/>
      <c r="AA1124" s="16"/>
      <c r="AB1124" s="16"/>
      <c r="AC1124" s="16"/>
      <c r="AD1124" s="16"/>
      <c r="AE1124" s="16"/>
      <c r="AF1124" s="16"/>
      <c r="AG1124" s="16"/>
      <c r="AH1124" s="16"/>
      <c r="AI1124" s="16"/>
      <c r="AJ1124" s="16"/>
      <c r="AK1124" s="16"/>
      <c r="AL1124" s="16"/>
      <c r="AM1124" s="16"/>
      <c r="AN1124" s="16"/>
      <c r="AO1124" s="16"/>
      <c r="AP1124" s="16"/>
      <c r="AQ1124" s="16"/>
    </row>
    <row r="1125">
      <c r="A1125" s="22"/>
      <c r="B1125" s="21"/>
      <c r="C1125" s="16"/>
      <c r="D1125" s="16"/>
      <c r="E1125" s="17"/>
      <c r="F1125" s="21"/>
      <c r="G1125" s="16"/>
      <c r="H1125" s="16"/>
      <c r="I1125" s="16"/>
      <c r="J1125" s="17"/>
      <c r="K1125" s="21"/>
      <c r="L1125" s="16"/>
      <c r="M1125" s="16"/>
      <c r="N1125" s="17"/>
      <c r="O1125" s="21"/>
      <c r="P1125" s="16"/>
      <c r="Q1125" s="16"/>
      <c r="R1125" s="16"/>
      <c r="S1125" s="16"/>
      <c r="T1125" s="16"/>
      <c r="U1125" s="16"/>
      <c r="V1125" s="16"/>
      <c r="W1125" s="16"/>
      <c r="X1125" s="16"/>
      <c r="Y1125" s="16"/>
      <c r="Z1125" s="16"/>
      <c r="AA1125" s="16"/>
      <c r="AB1125" s="16"/>
      <c r="AC1125" s="16"/>
      <c r="AD1125" s="16"/>
      <c r="AE1125" s="16"/>
      <c r="AF1125" s="16"/>
      <c r="AG1125" s="16"/>
      <c r="AH1125" s="16"/>
      <c r="AI1125" s="16"/>
      <c r="AJ1125" s="16"/>
      <c r="AK1125" s="16"/>
      <c r="AL1125" s="16"/>
      <c r="AM1125" s="16"/>
      <c r="AN1125" s="16"/>
      <c r="AO1125" s="16"/>
      <c r="AP1125" s="16"/>
      <c r="AQ1125" s="16"/>
    </row>
    <row r="1126">
      <c r="A1126" s="22"/>
      <c r="B1126" s="21"/>
      <c r="C1126" s="16"/>
      <c r="D1126" s="16"/>
      <c r="E1126" s="17"/>
      <c r="F1126" s="21"/>
      <c r="G1126" s="16"/>
      <c r="H1126" s="16"/>
      <c r="I1126" s="16"/>
      <c r="J1126" s="17"/>
      <c r="K1126" s="21"/>
      <c r="L1126" s="16"/>
      <c r="M1126" s="16"/>
      <c r="N1126" s="17"/>
      <c r="O1126" s="21"/>
      <c r="P1126" s="16"/>
      <c r="Q1126" s="16"/>
      <c r="R1126" s="16"/>
      <c r="S1126" s="16"/>
      <c r="T1126" s="16"/>
      <c r="U1126" s="16"/>
      <c r="V1126" s="16"/>
      <c r="W1126" s="16"/>
      <c r="X1126" s="16"/>
      <c r="Y1126" s="16"/>
      <c r="Z1126" s="16"/>
      <c r="AA1126" s="16"/>
      <c r="AB1126" s="16"/>
      <c r="AC1126" s="16"/>
      <c r="AD1126" s="16"/>
      <c r="AE1126" s="16"/>
      <c r="AF1126" s="16"/>
      <c r="AG1126" s="16"/>
      <c r="AH1126" s="16"/>
      <c r="AI1126" s="16"/>
      <c r="AJ1126" s="16"/>
      <c r="AK1126" s="16"/>
      <c r="AL1126" s="16"/>
      <c r="AM1126" s="16"/>
      <c r="AN1126" s="16"/>
      <c r="AO1126" s="16"/>
      <c r="AP1126" s="16"/>
      <c r="AQ1126" s="16"/>
    </row>
    <row r="1127">
      <c r="A1127" s="22"/>
      <c r="B1127" s="21"/>
      <c r="C1127" s="16"/>
      <c r="D1127" s="16"/>
      <c r="E1127" s="17"/>
      <c r="F1127" s="21"/>
      <c r="G1127" s="16"/>
      <c r="H1127" s="16"/>
      <c r="I1127" s="16"/>
      <c r="J1127" s="17"/>
      <c r="K1127" s="21"/>
      <c r="L1127" s="16"/>
      <c r="M1127" s="16"/>
      <c r="N1127" s="17"/>
      <c r="O1127" s="21"/>
      <c r="P1127" s="16"/>
      <c r="Q1127" s="16"/>
      <c r="R1127" s="16"/>
      <c r="S1127" s="16"/>
      <c r="T1127" s="16"/>
      <c r="U1127" s="16"/>
      <c r="V1127" s="16"/>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row>
    <row r="1128">
      <c r="A1128" s="22"/>
      <c r="B1128" s="21"/>
      <c r="C1128" s="16"/>
      <c r="D1128" s="16"/>
      <c r="E1128" s="17"/>
      <c r="F1128" s="21"/>
      <c r="G1128" s="16"/>
      <c r="H1128" s="16"/>
      <c r="I1128" s="16"/>
      <c r="J1128" s="17"/>
      <c r="K1128" s="21"/>
      <c r="L1128" s="16"/>
      <c r="M1128" s="16"/>
      <c r="N1128" s="17"/>
      <c r="O1128" s="21"/>
      <c r="P1128" s="16"/>
      <c r="Q1128" s="16"/>
      <c r="R1128" s="16"/>
      <c r="S1128" s="16"/>
      <c r="T1128" s="16"/>
      <c r="U1128" s="16"/>
      <c r="V1128" s="16"/>
      <c r="W1128" s="16"/>
      <c r="X1128" s="16"/>
      <c r="Y1128" s="16"/>
      <c r="Z1128" s="16"/>
      <c r="AA1128" s="16"/>
      <c r="AB1128" s="16"/>
      <c r="AC1128" s="16"/>
      <c r="AD1128" s="16"/>
      <c r="AE1128" s="16"/>
      <c r="AF1128" s="16"/>
      <c r="AG1128" s="16"/>
      <c r="AH1128" s="16"/>
      <c r="AI1128" s="16"/>
      <c r="AJ1128" s="16"/>
      <c r="AK1128" s="16"/>
      <c r="AL1128" s="16"/>
      <c r="AM1128" s="16"/>
      <c r="AN1128" s="16"/>
      <c r="AO1128" s="16"/>
      <c r="AP1128" s="16"/>
      <c r="AQ1128" s="16"/>
    </row>
    <row r="1129">
      <c r="A1129" s="22"/>
      <c r="B1129" s="21"/>
      <c r="C1129" s="16"/>
      <c r="D1129" s="16"/>
      <c r="E1129" s="17"/>
      <c r="F1129" s="21"/>
      <c r="G1129" s="16"/>
      <c r="H1129" s="16"/>
      <c r="I1129" s="16"/>
      <c r="J1129" s="17"/>
      <c r="K1129" s="21"/>
      <c r="L1129" s="16"/>
      <c r="M1129" s="16"/>
      <c r="N1129" s="17"/>
      <c r="O1129" s="21"/>
      <c r="P1129" s="16"/>
      <c r="Q1129" s="16"/>
      <c r="R1129" s="16"/>
      <c r="S1129" s="16"/>
      <c r="T1129" s="16"/>
      <c r="U1129" s="16"/>
      <c r="V1129" s="16"/>
      <c r="W1129" s="16"/>
      <c r="X1129" s="16"/>
      <c r="Y1129" s="16"/>
      <c r="Z1129" s="16"/>
      <c r="AA1129" s="16"/>
      <c r="AB1129" s="16"/>
      <c r="AC1129" s="16"/>
      <c r="AD1129" s="16"/>
      <c r="AE1129" s="16"/>
      <c r="AF1129" s="16"/>
      <c r="AG1129" s="16"/>
      <c r="AH1129" s="16"/>
      <c r="AI1129" s="16"/>
      <c r="AJ1129" s="16"/>
      <c r="AK1129" s="16"/>
      <c r="AL1129" s="16"/>
      <c r="AM1129" s="16"/>
      <c r="AN1129" s="16"/>
      <c r="AO1129" s="16"/>
      <c r="AP1129" s="16"/>
      <c r="AQ1129" s="16"/>
    </row>
    <row r="1130">
      <c r="A1130" s="22"/>
      <c r="B1130" s="21"/>
      <c r="C1130" s="16"/>
      <c r="D1130" s="16"/>
      <c r="E1130" s="17"/>
      <c r="F1130" s="21"/>
      <c r="G1130" s="16"/>
      <c r="H1130" s="16"/>
      <c r="I1130" s="16"/>
      <c r="J1130" s="17"/>
      <c r="K1130" s="21"/>
      <c r="L1130" s="16"/>
      <c r="M1130" s="16"/>
      <c r="N1130" s="17"/>
      <c r="O1130" s="21"/>
      <c r="P1130" s="16"/>
      <c r="Q1130" s="16"/>
      <c r="R1130" s="16"/>
      <c r="S1130" s="16"/>
      <c r="T1130" s="16"/>
      <c r="U1130" s="16"/>
      <c r="V1130" s="16"/>
      <c r="W1130" s="16"/>
      <c r="X1130" s="16"/>
      <c r="Y1130" s="16"/>
      <c r="Z1130" s="16"/>
      <c r="AA1130" s="16"/>
      <c r="AB1130" s="16"/>
      <c r="AC1130" s="16"/>
      <c r="AD1130" s="16"/>
      <c r="AE1130" s="16"/>
      <c r="AF1130" s="16"/>
      <c r="AG1130" s="16"/>
      <c r="AH1130" s="16"/>
      <c r="AI1130" s="16"/>
      <c r="AJ1130" s="16"/>
      <c r="AK1130" s="16"/>
      <c r="AL1130" s="16"/>
      <c r="AM1130" s="16"/>
      <c r="AN1130" s="16"/>
      <c r="AO1130" s="16"/>
      <c r="AP1130" s="16"/>
      <c r="AQ1130" s="16"/>
    </row>
    <row r="1131">
      <c r="A1131" s="22"/>
      <c r="B1131" s="21"/>
      <c r="C1131" s="16"/>
      <c r="D1131" s="16"/>
      <c r="E1131" s="17"/>
      <c r="F1131" s="21"/>
      <c r="G1131" s="16"/>
      <c r="H1131" s="16"/>
      <c r="I1131" s="16"/>
      <c r="J1131" s="17"/>
      <c r="K1131" s="21"/>
      <c r="L1131" s="16"/>
      <c r="M1131" s="16"/>
      <c r="N1131" s="17"/>
      <c r="O1131" s="21"/>
      <c r="P1131" s="16"/>
      <c r="Q1131" s="16"/>
      <c r="R1131" s="16"/>
      <c r="S1131" s="16"/>
      <c r="T1131" s="16"/>
      <c r="U1131" s="16"/>
      <c r="V1131" s="16"/>
      <c r="W1131" s="16"/>
      <c r="X1131" s="16"/>
      <c r="Y1131" s="16"/>
      <c r="Z1131" s="16"/>
      <c r="AA1131" s="16"/>
      <c r="AB1131" s="16"/>
      <c r="AC1131" s="16"/>
      <c r="AD1131" s="16"/>
      <c r="AE1131" s="16"/>
      <c r="AF1131" s="16"/>
      <c r="AG1131" s="16"/>
      <c r="AH1131" s="16"/>
      <c r="AI1131" s="16"/>
      <c r="AJ1131" s="16"/>
      <c r="AK1131" s="16"/>
      <c r="AL1131" s="16"/>
      <c r="AM1131" s="16"/>
      <c r="AN1131" s="16"/>
      <c r="AO1131" s="16"/>
      <c r="AP1131" s="16"/>
      <c r="AQ1131" s="16"/>
    </row>
    <row r="1132">
      <c r="A1132" s="22"/>
      <c r="B1132" s="21"/>
      <c r="C1132" s="16"/>
      <c r="D1132" s="16"/>
      <c r="E1132" s="17"/>
      <c r="F1132" s="21"/>
      <c r="G1132" s="16"/>
      <c r="H1132" s="16"/>
      <c r="I1132" s="16"/>
      <c r="J1132" s="17"/>
      <c r="K1132" s="21"/>
      <c r="L1132" s="16"/>
      <c r="M1132" s="16"/>
      <c r="N1132" s="17"/>
      <c r="O1132" s="21"/>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row>
    <row r="1133">
      <c r="A1133" s="22"/>
      <c r="B1133" s="21"/>
      <c r="C1133" s="16"/>
      <c r="D1133" s="16"/>
      <c r="E1133" s="17"/>
      <c r="F1133" s="21"/>
      <c r="G1133" s="16"/>
      <c r="H1133" s="16"/>
      <c r="I1133" s="16"/>
      <c r="J1133" s="17"/>
      <c r="K1133" s="21"/>
      <c r="L1133" s="16"/>
      <c r="M1133" s="16"/>
      <c r="N1133" s="17"/>
      <c r="O1133" s="21"/>
      <c r="P1133" s="16"/>
      <c r="Q1133" s="16"/>
      <c r="R1133" s="16"/>
      <c r="S1133" s="16"/>
      <c r="T1133" s="16"/>
      <c r="U1133" s="16"/>
      <c r="V1133" s="16"/>
      <c r="W1133" s="16"/>
      <c r="X1133" s="16"/>
      <c r="Y1133" s="16"/>
      <c r="Z1133" s="16"/>
      <c r="AA1133" s="16"/>
      <c r="AB1133" s="16"/>
      <c r="AC1133" s="16"/>
      <c r="AD1133" s="16"/>
      <c r="AE1133" s="16"/>
      <c r="AF1133" s="16"/>
      <c r="AG1133" s="16"/>
      <c r="AH1133" s="16"/>
      <c r="AI1133" s="16"/>
      <c r="AJ1133" s="16"/>
      <c r="AK1133" s="16"/>
      <c r="AL1133" s="16"/>
      <c r="AM1133" s="16"/>
      <c r="AN1133" s="16"/>
      <c r="AO1133" s="16"/>
      <c r="AP1133" s="16"/>
      <c r="AQ1133" s="16"/>
    </row>
    <row r="1134">
      <c r="A1134" s="22"/>
      <c r="B1134" s="21"/>
      <c r="C1134" s="16"/>
      <c r="D1134" s="16"/>
      <c r="E1134" s="17"/>
      <c r="F1134" s="21"/>
      <c r="G1134" s="16"/>
      <c r="H1134" s="16"/>
      <c r="I1134" s="16"/>
      <c r="J1134" s="17"/>
      <c r="K1134" s="21"/>
      <c r="L1134" s="16"/>
      <c r="M1134" s="16"/>
      <c r="N1134" s="17"/>
      <c r="O1134" s="21"/>
      <c r="P1134" s="16"/>
      <c r="Q1134" s="16"/>
      <c r="R1134" s="16"/>
      <c r="S1134" s="16"/>
      <c r="T1134" s="16"/>
      <c r="U1134" s="16"/>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row>
    <row r="1135">
      <c r="A1135" s="22"/>
      <c r="B1135" s="21"/>
      <c r="C1135" s="16"/>
      <c r="D1135" s="16"/>
      <c r="E1135" s="17"/>
      <c r="F1135" s="21"/>
      <c r="G1135" s="16"/>
      <c r="H1135" s="16"/>
      <c r="I1135" s="16"/>
      <c r="J1135" s="17"/>
      <c r="K1135" s="21"/>
      <c r="L1135" s="16"/>
      <c r="M1135" s="16"/>
      <c r="N1135" s="17"/>
      <c r="O1135" s="21"/>
      <c r="P1135" s="16"/>
      <c r="Q1135" s="16"/>
      <c r="R1135" s="16"/>
      <c r="S1135" s="16"/>
      <c r="T1135" s="16"/>
      <c r="U1135" s="16"/>
      <c r="V1135" s="16"/>
      <c r="W1135" s="16"/>
      <c r="X1135" s="16"/>
      <c r="Y1135" s="16"/>
      <c r="Z1135" s="16"/>
      <c r="AA1135" s="16"/>
      <c r="AB1135" s="16"/>
      <c r="AC1135" s="16"/>
      <c r="AD1135" s="16"/>
      <c r="AE1135" s="16"/>
      <c r="AF1135" s="16"/>
      <c r="AG1135" s="16"/>
      <c r="AH1135" s="16"/>
      <c r="AI1135" s="16"/>
      <c r="AJ1135" s="16"/>
      <c r="AK1135" s="16"/>
      <c r="AL1135" s="16"/>
      <c r="AM1135" s="16"/>
      <c r="AN1135" s="16"/>
      <c r="AO1135" s="16"/>
      <c r="AP1135" s="16"/>
      <c r="AQ1135" s="16"/>
    </row>
    <row r="1136">
      <c r="A1136" s="22"/>
      <c r="B1136" s="21"/>
      <c r="C1136" s="16"/>
      <c r="D1136" s="16"/>
      <c r="E1136" s="17"/>
      <c r="F1136" s="21"/>
      <c r="G1136" s="16"/>
      <c r="H1136" s="16"/>
      <c r="I1136" s="16"/>
      <c r="J1136" s="17"/>
      <c r="K1136" s="21"/>
      <c r="L1136" s="16"/>
      <c r="M1136" s="16"/>
      <c r="N1136" s="17"/>
      <c r="O1136" s="21"/>
      <c r="P1136" s="16"/>
      <c r="Q1136" s="16"/>
      <c r="R1136" s="16"/>
      <c r="S1136" s="16"/>
      <c r="T1136" s="16"/>
      <c r="U1136" s="16"/>
      <c r="V1136" s="16"/>
      <c r="W1136" s="16"/>
      <c r="X1136" s="16"/>
      <c r="Y1136" s="16"/>
      <c r="Z1136" s="16"/>
      <c r="AA1136" s="16"/>
      <c r="AB1136" s="16"/>
      <c r="AC1136" s="16"/>
      <c r="AD1136" s="16"/>
      <c r="AE1136" s="16"/>
      <c r="AF1136" s="16"/>
      <c r="AG1136" s="16"/>
      <c r="AH1136" s="16"/>
      <c r="AI1136" s="16"/>
      <c r="AJ1136" s="16"/>
      <c r="AK1136" s="16"/>
      <c r="AL1136" s="16"/>
      <c r="AM1136" s="16"/>
      <c r="AN1136" s="16"/>
      <c r="AO1136" s="16"/>
      <c r="AP1136" s="16"/>
      <c r="AQ1136" s="16"/>
    </row>
    <row r="1137">
      <c r="A1137" s="22"/>
      <c r="B1137" s="21"/>
      <c r="C1137" s="16"/>
      <c r="D1137" s="16"/>
      <c r="E1137" s="17"/>
      <c r="F1137" s="21"/>
      <c r="G1137" s="16"/>
      <c r="H1137" s="16"/>
      <c r="I1137" s="16"/>
      <c r="J1137" s="17"/>
      <c r="K1137" s="21"/>
      <c r="L1137" s="16"/>
      <c r="M1137" s="16"/>
      <c r="N1137" s="17"/>
      <c r="O1137" s="21"/>
      <c r="P1137" s="16"/>
      <c r="Q1137" s="16"/>
      <c r="R1137" s="16"/>
      <c r="S1137" s="16"/>
      <c r="T1137" s="16"/>
      <c r="U1137" s="16"/>
      <c r="V1137" s="16"/>
      <c r="W1137" s="16"/>
      <c r="X1137" s="16"/>
      <c r="Y1137" s="16"/>
      <c r="Z1137" s="16"/>
      <c r="AA1137" s="16"/>
      <c r="AB1137" s="16"/>
      <c r="AC1137" s="16"/>
      <c r="AD1137" s="16"/>
      <c r="AE1137" s="16"/>
      <c r="AF1137" s="16"/>
      <c r="AG1137" s="16"/>
      <c r="AH1137" s="16"/>
      <c r="AI1137" s="16"/>
      <c r="AJ1137" s="16"/>
      <c r="AK1137" s="16"/>
      <c r="AL1137" s="16"/>
      <c r="AM1137" s="16"/>
      <c r="AN1137" s="16"/>
      <c r="AO1137" s="16"/>
      <c r="AP1137" s="16"/>
      <c r="AQ1137" s="16"/>
    </row>
    <row r="1138">
      <c r="A1138" s="22"/>
      <c r="B1138" s="21"/>
      <c r="C1138" s="16"/>
      <c r="D1138" s="16"/>
      <c r="E1138" s="17"/>
      <c r="F1138" s="21"/>
      <c r="G1138" s="16"/>
      <c r="H1138" s="16"/>
      <c r="I1138" s="16"/>
      <c r="J1138" s="17"/>
      <c r="K1138" s="21"/>
      <c r="L1138" s="16"/>
      <c r="M1138" s="16"/>
      <c r="N1138" s="17"/>
      <c r="O1138" s="21"/>
      <c r="P1138" s="16"/>
      <c r="Q1138" s="16"/>
      <c r="R1138" s="16"/>
      <c r="S1138" s="16"/>
      <c r="T1138" s="16"/>
      <c r="U1138" s="16"/>
      <c r="V1138" s="16"/>
      <c r="W1138" s="16"/>
      <c r="X1138" s="16"/>
      <c r="Y1138" s="16"/>
      <c r="Z1138" s="16"/>
      <c r="AA1138" s="16"/>
      <c r="AB1138" s="16"/>
      <c r="AC1138" s="16"/>
      <c r="AD1138" s="16"/>
      <c r="AE1138" s="16"/>
      <c r="AF1138" s="16"/>
      <c r="AG1138" s="16"/>
      <c r="AH1138" s="16"/>
      <c r="AI1138" s="16"/>
      <c r="AJ1138" s="16"/>
      <c r="AK1138" s="16"/>
      <c r="AL1138" s="16"/>
      <c r="AM1138" s="16"/>
      <c r="AN1138" s="16"/>
      <c r="AO1138" s="16"/>
      <c r="AP1138" s="16"/>
      <c r="AQ1138" s="16"/>
    </row>
    <row r="1139">
      <c r="A1139" s="22"/>
      <c r="B1139" s="21"/>
      <c r="C1139" s="16"/>
      <c r="D1139" s="16"/>
      <c r="E1139" s="17"/>
      <c r="F1139" s="21"/>
      <c r="G1139" s="16"/>
      <c r="H1139" s="16"/>
      <c r="I1139" s="16"/>
      <c r="J1139" s="17"/>
      <c r="K1139" s="21"/>
      <c r="L1139" s="16"/>
      <c r="M1139" s="16"/>
      <c r="N1139" s="17"/>
      <c r="O1139" s="21"/>
      <c r="P1139" s="16"/>
      <c r="Q1139" s="16"/>
      <c r="R1139" s="16"/>
      <c r="S1139" s="16"/>
      <c r="T1139" s="16"/>
      <c r="U1139" s="16"/>
      <c r="V1139" s="16"/>
      <c r="W1139" s="16"/>
      <c r="X1139" s="16"/>
      <c r="Y1139" s="16"/>
      <c r="Z1139" s="16"/>
      <c r="AA1139" s="16"/>
      <c r="AB1139" s="16"/>
      <c r="AC1139" s="16"/>
      <c r="AD1139" s="16"/>
      <c r="AE1139" s="16"/>
      <c r="AF1139" s="16"/>
      <c r="AG1139" s="16"/>
      <c r="AH1139" s="16"/>
      <c r="AI1139" s="16"/>
      <c r="AJ1139" s="16"/>
      <c r="AK1139" s="16"/>
      <c r="AL1139" s="16"/>
      <c r="AM1139" s="16"/>
      <c r="AN1139" s="16"/>
      <c r="AO1139" s="16"/>
      <c r="AP1139" s="16"/>
      <c r="AQ1139" s="16"/>
    </row>
    <row r="1140">
      <c r="A1140" s="22"/>
      <c r="B1140" s="21"/>
      <c r="C1140" s="16"/>
      <c r="D1140" s="16"/>
      <c r="E1140" s="17"/>
      <c r="F1140" s="21"/>
      <c r="G1140" s="16"/>
      <c r="H1140" s="16"/>
      <c r="I1140" s="16"/>
      <c r="J1140" s="17"/>
      <c r="K1140" s="21"/>
      <c r="L1140" s="16"/>
      <c r="M1140" s="16"/>
      <c r="N1140" s="17"/>
      <c r="O1140" s="21"/>
      <c r="P1140" s="16"/>
      <c r="Q1140" s="16"/>
      <c r="R1140" s="16"/>
      <c r="S1140" s="16"/>
      <c r="T1140" s="16"/>
      <c r="U1140" s="16"/>
      <c r="V1140" s="16"/>
      <c r="W1140" s="16"/>
      <c r="X1140" s="16"/>
      <c r="Y1140" s="16"/>
      <c r="Z1140" s="16"/>
      <c r="AA1140" s="16"/>
      <c r="AB1140" s="16"/>
      <c r="AC1140" s="16"/>
      <c r="AD1140" s="16"/>
      <c r="AE1140" s="16"/>
      <c r="AF1140" s="16"/>
      <c r="AG1140" s="16"/>
      <c r="AH1140" s="16"/>
      <c r="AI1140" s="16"/>
      <c r="AJ1140" s="16"/>
      <c r="AK1140" s="16"/>
      <c r="AL1140" s="16"/>
      <c r="AM1140" s="16"/>
      <c r="AN1140" s="16"/>
      <c r="AO1140" s="16"/>
      <c r="AP1140" s="16"/>
      <c r="AQ1140" s="16"/>
    </row>
    <row r="1141">
      <c r="A1141" s="22"/>
      <c r="B1141" s="21"/>
      <c r="C1141" s="16"/>
      <c r="D1141" s="16"/>
      <c r="E1141" s="17"/>
      <c r="F1141" s="21"/>
      <c r="G1141" s="16"/>
      <c r="H1141" s="16"/>
      <c r="I1141" s="16"/>
      <c r="J1141" s="17"/>
      <c r="K1141" s="21"/>
      <c r="L1141" s="16"/>
      <c r="M1141" s="16"/>
      <c r="N1141" s="17"/>
      <c r="O1141" s="21"/>
      <c r="P1141" s="16"/>
      <c r="Q1141" s="16"/>
      <c r="R1141" s="16"/>
      <c r="S1141" s="16"/>
      <c r="T1141" s="16"/>
      <c r="U1141" s="16"/>
      <c r="V1141" s="16"/>
      <c r="W1141" s="16"/>
      <c r="X1141" s="16"/>
      <c r="Y1141" s="16"/>
      <c r="Z1141" s="16"/>
      <c r="AA1141" s="16"/>
      <c r="AB1141" s="16"/>
      <c r="AC1141" s="16"/>
      <c r="AD1141" s="16"/>
      <c r="AE1141" s="16"/>
      <c r="AF1141" s="16"/>
      <c r="AG1141" s="16"/>
      <c r="AH1141" s="16"/>
      <c r="AI1141" s="16"/>
      <c r="AJ1141" s="16"/>
      <c r="AK1141" s="16"/>
      <c r="AL1141" s="16"/>
      <c r="AM1141" s="16"/>
      <c r="AN1141" s="16"/>
      <c r="AO1141" s="16"/>
      <c r="AP1141" s="16"/>
      <c r="AQ1141" s="16"/>
    </row>
    <row r="1142">
      <c r="A1142" s="22"/>
      <c r="B1142" s="21"/>
      <c r="C1142" s="16"/>
      <c r="D1142" s="16"/>
      <c r="E1142" s="17"/>
      <c r="F1142" s="21"/>
      <c r="G1142" s="16"/>
      <c r="H1142" s="16"/>
      <c r="I1142" s="16"/>
      <c r="J1142" s="17"/>
      <c r="K1142" s="21"/>
      <c r="L1142" s="16"/>
      <c r="M1142" s="16"/>
      <c r="N1142" s="17"/>
      <c r="O1142" s="21"/>
      <c r="P1142" s="16"/>
      <c r="Q1142" s="16"/>
      <c r="R1142" s="16"/>
      <c r="S1142" s="16"/>
      <c r="T1142" s="16"/>
      <c r="U1142" s="16"/>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row>
    <row r="1143">
      <c r="A1143" s="22"/>
      <c r="B1143" s="21"/>
      <c r="C1143" s="16"/>
      <c r="D1143" s="16"/>
      <c r="E1143" s="17"/>
      <c r="F1143" s="21"/>
      <c r="G1143" s="16"/>
      <c r="H1143" s="16"/>
      <c r="I1143" s="16"/>
      <c r="J1143" s="17"/>
      <c r="K1143" s="21"/>
      <c r="L1143" s="16"/>
      <c r="M1143" s="16"/>
      <c r="N1143" s="17"/>
      <c r="O1143" s="21"/>
      <c r="P1143" s="16"/>
      <c r="Q1143" s="16"/>
      <c r="R1143" s="16"/>
      <c r="S1143" s="16"/>
      <c r="T1143" s="16"/>
      <c r="U1143" s="16"/>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row>
    <row r="1144">
      <c r="A1144" s="22"/>
      <c r="B1144" s="21"/>
      <c r="C1144" s="16"/>
      <c r="D1144" s="16"/>
      <c r="E1144" s="17"/>
      <c r="F1144" s="21"/>
      <c r="G1144" s="16"/>
      <c r="H1144" s="16"/>
      <c r="I1144" s="16"/>
      <c r="J1144" s="17"/>
      <c r="K1144" s="21"/>
      <c r="L1144" s="16"/>
      <c r="M1144" s="16"/>
      <c r="N1144" s="17"/>
      <c r="O1144" s="21"/>
      <c r="P1144" s="16"/>
      <c r="Q1144" s="16"/>
      <c r="R1144" s="16"/>
      <c r="S1144" s="16"/>
      <c r="T1144" s="16"/>
      <c r="U1144" s="16"/>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row>
    <row r="1145">
      <c r="A1145" s="22"/>
      <c r="B1145" s="21"/>
      <c r="C1145" s="16"/>
      <c r="D1145" s="16"/>
      <c r="E1145" s="17"/>
      <c r="F1145" s="21"/>
      <c r="G1145" s="16"/>
      <c r="H1145" s="16"/>
      <c r="I1145" s="16"/>
      <c r="J1145" s="17"/>
      <c r="K1145" s="21"/>
      <c r="L1145" s="16"/>
      <c r="M1145" s="16"/>
      <c r="N1145" s="17"/>
      <c r="O1145" s="21"/>
      <c r="P1145" s="16"/>
      <c r="Q1145" s="16"/>
      <c r="R1145" s="16"/>
      <c r="S1145" s="16"/>
      <c r="T1145" s="16"/>
      <c r="U1145" s="16"/>
      <c r="V1145" s="16"/>
      <c r="W1145" s="16"/>
      <c r="X1145" s="16"/>
      <c r="Y1145" s="16"/>
      <c r="Z1145" s="16"/>
      <c r="AA1145" s="16"/>
      <c r="AB1145" s="16"/>
      <c r="AC1145" s="16"/>
      <c r="AD1145" s="16"/>
      <c r="AE1145" s="16"/>
      <c r="AF1145" s="16"/>
      <c r="AG1145" s="16"/>
      <c r="AH1145" s="16"/>
      <c r="AI1145" s="16"/>
      <c r="AJ1145" s="16"/>
      <c r="AK1145" s="16"/>
      <c r="AL1145" s="16"/>
      <c r="AM1145" s="16"/>
      <c r="AN1145" s="16"/>
      <c r="AO1145" s="16"/>
      <c r="AP1145" s="16"/>
      <c r="AQ1145" s="16"/>
    </row>
    <row r="1146">
      <c r="A1146" s="22"/>
      <c r="B1146" s="21"/>
      <c r="C1146" s="16"/>
      <c r="D1146" s="16"/>
      <c r="E1146" s="17"/>
      <c r="F1146" s="21"/>
      <c r="G1146" s="16"/>
      <c r="H1146" s="16"/>
      <c r="I1146" s="16"/>
      <c r="J1146" s="17"/>
      <c r="K1146" s="21"/>
      <c r="L1146" s="16"/>
      <c r="M1146" s="16"/>
      <c r="N1146" s="17"/>
      <c r="O1146" s="21"/>
      <c r="P1146" s="16"/>
      <c r="Q1146" s="16"/>
      <c r="R1146" s="16"/>
      <c r="S1146" s="16"/>
      <c r="T1146" s="16"/>
      <c r="U1146" s="16"/>
      <c r="V1146" s="16"/>
      <c r="W1146" s="16"/>
      <c r="X1146" s="16"/>
      <c r="Y1146" s="16"/>
      <c r="Z1146" s="16"/>
      <c r="AA1146" s="16"/>
      <c r="AB1146" s="16"/>
      <c r="AC1146" s="16"/>
      <c r="AD1146" s="16"/>
      <c r="AE1146" s="16"/>
      <c r="AF1146" s="16"/>
      <c r="AG1146" s="16"/>
      <c r="AH1146" s="16"/>
      <c r="AI1146" s="16"/>
      <c r="AJ1146" s="16"/>
      <c r="AK1146" s="16"/>
      <c r="AL1146" s="16"/>
      <c r="AM1146" s="16"/>
      <c r="AN1146" s="16"/>
      <c r="AO1146" s="16"/>
      <c r="AP1146" s="16"/>
      <c r="AQ1146" s="16"/>
    </row>
    <row r="1147">
      <c r="A1147" s="22"/>
      <c r="B1147" s="21"/>
      <c r="C1147" s="16"/>
      <c r="D1147" s="16"/>
      <c r="E1147" s="17"/>
      <c r="F1147" s="21"/>
      <c r="G1147" s="16"/>
      <c r="H1147" s="16"/>
      <c r="I1147" s="16"/>
      <c r="J1147" s="17"/>
      <c r="K1147" s="21"/>
      <c r="L1147" s="16"/>
      <c r="M1147" s="16"/>
      <c r="N1147" s="17"/>
      <c r="O1147" s="21"/>
      <c r="P1147" s="16"/>
      <c r="Q1147" s="16"/>
      <c r="R1147" s="16"/>
      <c r="S1147" s="16"/>
      <c r="T1147" s="16"/>
      <c r="U1147" s="16"/>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row>
    <row r="1148">
      <c r="A1148" s="22"/>
      <c r="B1148" s="21"/>
      <c r="C1148" s="16"/>
      <c r="D1148" s="16"/>
      <c r="E1148" s="17"/>
      <c r="F1148" s="21"/>
      <c r="G1148" s="16"/>
      <c r="H1148" s="16"/>
      <c r="I1148" s="16"/>
      <c r="J1148" s="17"/>
      <c r="K1148" s="21"/>
      <c r="L1148" s="16"/>
      <c r="M1148" s="16"/>
      <c r="N1148" s="17"/>
      <c r="O1148" s="21"/>
      <c r="P1148" s="16"/>
      <c r="Q1148" s="16"/>
      <c r="R1148" s="16"/>
      <c r="S1148" s="16"/>
      <c r="T1148" s="16"/>
      <c r="U1148" s="16"/>
      <c r="V1148" s="16"/>
      <c r="W1148" s="16"/>
      <c r="X1148" s="16"/>
      <c r="Y1148" s="16"/>
      <c r="Z1148" s="16"/>
      <c r="AA1148" s="16"/>
      <c r="AB1148" s="16"/>
      <c r="AC1148" s="16"/>
      <c r="AD1148" s="16"/>
      <c r="AE1148" s="16"/>
      <c r="AF1148" s="16"/>
      <c r="AG1148" s="16"/>
      <c r="AH1148" s="16"/>
      <c r="AI1148" s="16"/>
      <c r="AJ1148" s="16"/>
      <c r="AK1148" s="16"/>
      <c r="AL1148" s="16"/>
      <c r="AM1148" s="16"/>
      <c r="AN1148" s="16"/>
      <c r="AO1148" s="16"/>
      <c r="AP1148" s="16"/>
      <c r="AQ1148" s="16"/>
    </row>
    <row r="1149">
      <c r="A1149" s="22"/>
      <c r="B1149" s="21"/>
      <c r="C1149" s="16"/>
      <c r="D1149" s="16"/>
      <c r="E1149" s="17"/>
      <c r="F1149" s="21"/>
      <c r="G1149" s="16"/>
      <c r="H1149" s="16"/>
      <c r="I1149" s="16"/>
      <c r="J1149" s="17"/>
      <c r="K1149" s="21"/>
      <c r="L1149" s="16"/>
      <c r="M1149" s="16"/>
      <c r="N1149" s="17"/>
      <c r="O1149" s="21"/>
      <c r="P1149" s="16"/>
      <c r="Q1149" s="16"/>
      <c r="R1149" s="16"/>
      <c r="S1149" s="16"/>
      <c r="T1149" s="16"/>
      <c r="U1149" s="16"/>
      <c r="V1149" s="16"/>
      <c r="W1149" s="16"/>
      <c r="X1149" s="16"/>
      <c r="Y1149" s="16"/>
      <c r="Z1149" s="16"/>
      <c r="AA1149" s="16"/>
      <c r="AB1149" s="16"/>
      <c r="AC1149" s="16"/>
      <c r="AD1149" s="16"/>
      <c r="AE1149" s="16"/>
      <c r="AF1149" s="16"/>
      <c r="AG1149" s="16"/>
      <c r="AH1149" s="16"/>
      <c r="AI1149" s="16"/>
      <c r="AJ1149" s="16"/>
      <c r="AK1149" s="16"/>
      <c r="AL1149" s="16"/>
      <c r="AM1149" s="16"/>
      <c r="AN1149" s="16"/>
      <c r="AO1149" s="16"/>
      <c r="AP1149" s="16"/>
      <c r="AQ1149" s="16"/>
    </row>
    <row r="1150">
      <c r="A1150" s="22"/>
      <c r="B1150" s="21"/>
      <c r="C1150" s="16"/>
      <c r="D1150" s="16"/>
      <c r="E1150" s="17"/>
      <c r="F1150" s="21"/>
      <c r="G1150" s="16"/>
      <c r="H1150" s="16"/>
      <c r="I1150" s="16"/>
      <c r="J1150" s="17"/>
      <c r="K1150" s="21"/>
      <c r="L1150" s="16"/>
      <c r="M1150" s="16"/>
      <c r="N1150" s="17"/>
      <c r="O1150" s="21"/>
      <c r="P1150" s="16"/>
      <c r="Q1150" s="16"/>
      <c r="R1150" s="16"/>
      <c r="S1150" s="16"/>
      <c r="T1150" s="16"/>
      <c r="U1150" s="16"/>
      <c r="V1150" s="16"/>
      <c r="W1150" s="16"/>
      <c r="X1150" s="16"/>
      <c r="Y1150" s="16"/>
      <c r="Z1150" s="16"/>
      <c r="AA1150" s="16"/>
      <c r="AB1150" s="16"/>
      <c r="AC1150" s="16"/>
      <c r="AD1150" s="16"/>
      <c r="AE1150" s="16"/>
      <c r="AF1150" s="16"/>
      <c r="AG1150" s="16"/>
      <c r="AH1150" s="16"/>
      <c r="AI1150" s="16"/>
      <c r="AJ1150" s="16"/>
      <c r="AK1150" s="16"/>
      <c r="AL1150" s="16"/>
      <c r="AM1150" s="16"/>
      <c r="AN1150" s="16"/>
      <c r="AO1150" s="16"/>
      <c r="AP1150" s="16"/>
      <c r="AQ1150" s="16"/>
    </row>
    <row r="1151">
      <c r="A1151" s="22"/>
      <c r="B1151" s="21"/>
      <c r="C1151" s="16"/>
      <c r="D1151" s="16"/>
      <c r="E1151" s="17"/>
      <c r="F1151" s="21"/>
      <c r="G1151" s="16"/>
      <c r="H1151" s="16"/>
      <c r="I1151" s="16"/>
      <c r="J1151" s="17"/>
      <c r="K1151" s="21"/>
      <c r="L1151" s="16"/>
      <c r="M1151" s="16"/>
      <c r="N1151" s="17"/>
      <c r="O1151" s="21"/>
      <c r="P1151" s="16"/>
      <c r="Q1151" s="16"/>
      <c r="R1151" s="16"/>
      <c r="S1151" s="16"/>
      <c r="T1151" s="16"/>
      <c r="U1151" s="16"/>
      <c r="V1151" s="16"/>
      <c r="W1151" s="16"/>
      <c r="X1151" s="16"/>
      <c r="Y1151" s="16"/>
      <c r="Z1151" s="16"/>
      <c r="AA1151" s="16"/>
      <c r="AB1151" s="16"/>
      <c r="AC1151" s="16"/>
      <c r="AD1151" s="16"/>
      <c r="AE1151" s="16"/>
      <c r="AF1151" s="16"/>
      <c r="AG1151" s="16"/>
      <c r="AH1151" s="16"/>
      <c r="AI1151" s="16"/>
      <c r="AJ1151" s="16"/>
      <c r="AK1151" s="16"/>
      <c r="AL1151" s="16"/>
      <c r="AM1151" s="16"/>
      <c r="AN1151" s="16"/>
      <c r="AO1151" s="16"/>
      <c r="AP1151" s="16"/>
      <c r="AQ1151" s="16"/>
    </row>
    <row r="1152">
      <c r="A1152" s="22"/>
      <c r="B1152" s="21"/>
      <c r="C1152" s="16"/>
      <c r="D1152" s="16"/>
      <c r="E1152" s="17"/>
      <c r="F1152" s="21"/>
      <c r="G1152" s="16"/>
      <c r="H1152" s="16"/>
      <c r="I1152" s="16"/>
      <c r="J1152" s="17"/>
      <c r="K1152" s="21"/>
      <c r="L1152" s="16"/>
      <c r="M1152" s="16"/>
      <c r="N1152" s="17"/>
      <c r="O1152" s="21"/>
      <c r="P1152" s="16"/>
      <c r="Q1152" s="16"/>
      <c r="R1152" s="16"/>
      <c r="S1152" s="16"/>
      <c r="T1152" s="16"/>
      <c r="U1152" s="16"/>
      <c r="V1152" s="16"/>
      <c r="W1152" s="16"/>
      <c r="X1152" s="16"/>
      <c r="Y1152" s="16"/>
      <c r="Z1152" s="16"/>
      <c r="AA1152" s="16"/>
      <c r="AB1152" s="16"/>
      <c r="AC1152" s="16"/>
      <c r="AD1152" s="16"/>
      <c r="AE1152" s="16"/>
      <c r="AF1152" s="16"/>
      <c r="AG1152" s="16"/>
      <c r="AH1152" s="16"/>
      <c r="AI1152" s="16"/>
      <c r="AJ1152" s="16"/>
      <c r="AK1152" s="16"/>
      <c r="AL1152" s="16"/>
      <c r="AM1152" s="16"/>
      <c r="AN1152" s="16"/>
      <c r="AO1152" s="16"/>
      <c r="AP1152" s="16"/>
      <c r="AQ1152" s="16"/>
    </row>
    <row r="1153">
      <c r="A1153" s="22"/>
      <c r="B1153" s="21"/>
      <c r="C1153" s="16"/>
      <c r="D1153" s="16"/>
      <c r="E1153" s="17"/>
      <c r="F1153" s="21"/>
      <c r="G1153" s="16"/>
      <c r="H1153" s="16"/>
      <c r="I1153" s="16"/>
      <c r="J1153" s="17"/>
      <c r="K1153" s="21"/>
      <c r="L1153" s="16"/>
      <c r="M1153" s="16"/>
      <c r="N1153" s="17"/>
      <c r="O1153" s="21"/>
      <c r="P1153" s="16"/>
      <c r="Q1153" s="16"/>
      <c r="R1153" s="16"/>
      <c r="S1153" s="16"/>
      <c r="T1153" s="16"/>
      <c r="U1153" s="16"/>
      <c r="V1153" s="16"/>
      <c r="W1153" s="16"/>
      <c r="X1153" s="16"/>
      <c r="Y1153" s="16"/>
      <c r="Z1153" s="16"/>
      <c r="AA1153" s="16"/>
      <c r="AB1153" s="16"/>
      <c r="AC1153" s="16"/>
      <c r="AD1153" s="16"/>
      <c r="AE1153" s="16"/>
      <c r="AF1153" s="16"/>
      <c r="AG1153" s="16"/>
      <c r="AH1153" s="16"/>
      <c r="AI1153" s="16"/>
      <c r="AJ1153" s="16"/>
      <c r="AK1153" s="16"/>
      <c r="AL1153" s="16"/>
      <c r="AM1153" s="16"/>
      <c r="AN1153" s="16"/>
      <c r="AO1153" s="16"/>
      <c r="AP1153" s="16"/>
      <c r="AQ1153" s="16"/>
    </row>
    <row r="1154">
      <c r="A1154" s="22"/>
      <c r="B1154" s="21"/>
      <c r="C1154" s="16"/>
      <c r="D1154" s="16"/>
      <c r="E1154" s="17"/>
      <c r="F1154" s="21"/>
      <c r="G1154" s="16"/>
      <c r="H1154" s="16"/>
      <c r="I1154" s="16"/>
      <c r="J1154" s="17"/>
      <c r="K1154" s="21"/>
      <c r="L1154" s="16"/>
      <c r="M1154" s="16"/>
      <c r="N1154" s="17"/>
      <c r="O1154" s="21"/>
      <c r="P1154" s="16"/>
      <c r="Q1154" s="16"/>
      <c r="R1154" s="16"/>
      <c r="S1154" s="16"/>
      <c r="T1154" s="16"/>
      <c r="U1154" s="16"/>
      <c r="V1154" s="16"/>
      <c r="W1154" s="16"/>
      <c r="X1154" s="16"/>
      <c r="Y1154" s="16"/>
      <c r="Z1154" s="16"/>
      <c r="AA1154" s="16"/>
      <c r="AB1154" s="16"/>
      <c r="AC1154" s="16"/>
      <c r="AD1154" s="16"/>
      <c r="AE1154" s="16"/>
      <c r="AF1154" s="16"/>
      <c r="AG1154" s="16"/>
      <c r="AH1154" s="16"/>
      <c r="AI1154" s="16"/>
      <c r="AJ1154" s="16"/>
      <c r="AK1154" s="16"/>
      <c r="AL1154" s="16"/>
      <c r="AM1154" s="16"/>
      <c r="AN1154" s="16"/>
      <c r="AO1154" s="16"/>
      <c r="AP1154" s="16"/>
      <c r="AQ1154" s="16"/>
    </row>
    <row r="1155">
      <c r="A1155" s="22"/>
      <c r="B1155" s="21"/>
      <c r="C1155" s="16"/>
      <c r="D1155" s="16"/>
      <c r="E1155" s="17"/>
      <c r="F1155" s="21"/>
      <c r="G1155" s="16"/>
      <c r="H1155" s="16"/>
      <c r="I1155" s="16"/>
      <c r="J1155" s="17"/>
      <c r="K1155" s="21"/>
      <c r="L1155" s="16"/>
      <c r="M1155" s="16"/>
      <c r="N1155" s="17"/>
      <c r="O1155" s="21"/>
      <c r="P1155" s="16"/>
      <c r="Q1155" s="16"/>
      <c r="R1155" s="16"/>
      <c r="S1155" s="16"/>
      <c r="T1155" s="16"/>
      <c r="U1155" s="16"/>
      <c r="V1155" s="16"/>
      <c r="W1155" s="16"/>
      <c r="X1155" s="16"/>
      <c r="Y1155" s="16"/>
      <c r="Z1155" s="16"/>
      <c r="AA1155" s="16"/>
      <c r="AB1155" s="16"/>
      <c r="AC1155" s="16"/>
      <c r="AD1155" s="16"/>
      <c r="AE1155" s="16"/>
      <c r="AF1155" s="16"/>
      <c r="AG1155" s="16"/>
      <c r="AH1155" s="16"/>
      <c r="AI1155" s="16"/>
      <c r="AJ1155" s="16"/>
      <c r="AK1155" s="16"/>
      <c r="AL1155" s="16"/>
      <c r="AM1155" s="16"/>
      <c r="AN1155" s="16"/>
      <c r="AO1155" s="16"/>
      <c r="AP1155" s="16"/>
      <c r="AQ1155" s="16"/>
    </row>
    <row r="1156">
      <c r="A1156" s="22"/>
      <c r="B1156" s="21"/>
      <c r="C1156" s="16"/>
      <c r="D1156" s="16"/>
      <c r="E1156" s="17"/>
      <c r="F1156" s="21"/>
      <c r="G1156" s="16"/>
      <c r="H1156" s="16"/>
      <c r="I1156" s="16"/>
      <c r="J1156" s="17"/>
      <c r="K1156" s="21"/>
      <c r="L1156" s="16"/>
      <c r="M1156" s="16"/>
      <c r="N1156" s="17"/>
      <c r="O1156" s="21"/>
      <c r="P1156" s="16"/>
      <c r="Q1156" s="16"/>
      <c r="R1156" s="16"/>
      <c r="S1156" s="16"/>
      <c r="T1156" s="16"/>
      <c r="U1156" s="16"/>
      <c r="V1156" s="16"/>
      <c r="W1156" s="16"/>
      <c r="X1156" s="16"/>
      <c r="Y1156" s="16"/>
      <c r="Z1156" s="16"/>
      <c r="AA1156" s="16"/>
      <c r="AB1156" s="16"/>
      <c r="AC1156" s="16"/>
      <c r="AD1156" s="16"/>
      <c r="AE1156" s="16"/>
      <c r="AF1156" s="16"/>
      <c r="AG1156" s="16"/>
      <c r="AH1156" s="16"/>
      <c r="AI1156" s="16"/>
      <c r="AJ1156" s="16"/>
      <c r="AK1156" s="16"/>
      <c r="AL1156" s="16"/>
      <c r="AM1156" s="16"/>
      <c r="AN1156" s="16"/>
      <c r="AO1156" s="16"/>
      <c r="AP1156" s="16"/>
      <c r="AQ1156" s="16"/>
    </row>
    <row r="1157">
      <c r="A1157" s="22"/>
      <c r="B1157" s="21"/>
      <c r="C1157" s="16"/>
      <c r="D1157" s="16"/>
      <c r="E1157" s="17"/>
      <c r="F1157" s="21"/>
      <c r="G1157" s="16"/>
      <c r="H1157" s="16"/>
      <c r="I1157" s="16"/>
      <c r="J1157" s="17"/>
      <c r="K1157" s="21"/>
      <c r="L1157" s="16"/>
      <c r="M1157" s="16"/>
      <c r="N1157" s="17"/>
      <c r="O1157" s="21"/>
      <c r="P1157" s="16"/>
      <c r="Q1157" s="16"/>
      <c r="R1157" s="16"/>
      <c r="S1157" s="16"/>
      <c r="T1157" s="16"/>
      <c r="U1157" s="16"/>
      <c r="V1157" s="16"/>
      <c r="W1157" s="16"/>
      <c r="X1157" s="16"/>
      <c r="Y1157" s="16"/>
      <c r="Z1157" s="16"/>
      <c r="AA1157" s="16"/>
      <c r="AB1157" s="16"/>
      <c r="AC1157" s="16"/>
      <c r="AD1157" s="16"/>
      <c r="AE1157" s="16"/>
      <c r="AF1157" s="16"/>
      <c r="AG1157" s="16"/>
      <c r="AH1157" s="16"/>
      <c r="AI1157" s="16"/>
      <c r="AJ1157" s="16"/>
      <c r="AK1157" s="16"/>
      <c r="AL1157" s="16"/>
      <c r="AM1157" s="16"/>
      <c r="AN1157" s="16"/>
      <c r="AO1157" s="16"/>
      <c r="AP1157" s="16"/>
      <c r="AQ1157" s="16"/>
    </row>
    <row r="1158">
      <c r="A1158" s="22"/>
      <c r="B1158" s="21"/>
      <c r="C1158" s="16"/>
      <c r="D1158" s="16"/>
      <c r="E1158" s="17"/>
      <c r="F1158" s="21"/>
      <c r="G1158" s="16"/>
      <c r="H1158" s="16"/>
      <c r="I1158" s="16"/>
      <c r="J1158" s="17"/>
      <c r="K1158" s="21"/>
      <c r="L1158" s="16"/>
      <c r="M1158" s="16"/>
      <c r="N1158" s="17"/>
      <c r="O1158" s="21"/>
      <c r="P1158" s="16"/>
      <c r="Q1158" s="16"/>
      <c r="R1158" s="16"/>
      <c r="S1158" s="16"/>
      <c r="T1158" s="16"/>
      <c r="U1158" s="16"/>
      <c r="V1158" s="16"/>
      <c r="W1158" s="16"/>
      <c r="X1158" s="16"/>
      <c r="Y1158" s="16"/>
      <c r="Z1158" s="16"/>
      <c r="AA1158" s="16"/>
      <c r="AB1158" s="16"/>
      <c r="AC1158" s="16"/>
      <c r="AD1158" s="16"/>
      <c r="AE1158" s="16"/>
      <c r="AF1158" s="16"/>
      <c r="AG1158" s="16"/>
      <c r="AH1158" s="16"/>
      <c r="AI1158" s="16"/>
      <c r="AJ1158" s="16"/>
      <c r="AK1158" s="16"/>
      <c r="AL1158" s="16"/>
      <c r="AM1158" s="16"/>
      <c r="AN1158" s="16"/>
      <c r="AO1158" s="16"/>
      <c r="AP1158" s="16"/>
      <c r="AQ1158" s="16"/>
    </row>
    <row r="1159">
      <c r="A1159" s="22"/>
      <c r="B1159" s="21"/>
      <c r="C1159" s="16"/>
      <c r="D1159" s="16"/>
      <c r="E1159" s="17"/>
      <c r="F1159" s="21"/>
      <c r="G1159" s="16"/>
      <c r="H1159" s="16"/>
      <c r="I1159" s="16"/>
      <c r="J1159" s="17"/>
      <c r="K1159" s="21"/>
      <c r="L1159" s="16"/>
      <c r="M1159" s="16"/>
      <c r="N1159" s="17"/>
      <c r="O1159" s="21"/>
      <c r="P1159" s="16"/>
      <c r="Q1159" s="16"/>
      <c r="R1159" s="16"/>
      <c r="S1159" s="16"/>
      <c r="T1159" s="16"/>
      <c r="U1159" s="16"/>
      <c r="V1159" s="16"/>
      <c r="W1159" s="16"/>
      <c r="X1159" s="16"/>
      <c r="Y1159" s="16"/>
      <c r="Z1159" s="16"/>
      <c r="AA1159" s="16"/>
      <c r="AB1159" s="16"/>
      <c r="AC1159" s="16"/>
      <c r="AD1159" s="16"/>
      <c r="AE1159" s="16"/>
      <c r="AF1159" s="16"/>
      <c r="AG1159" s="16"/>
      <c r="AH1159" s="16"/>
      <c r="AI1159" s="16"/>
      <c r="AJ1159" s="16"/>
      <c r="AK1159" s="16"/>
      <c r="AL1159" s="16"/>
      <c r="AM1159" s="16"/>
      <c r="AN1159" s="16"/>
      <c r="AO1159" s="16"/>
      <c r="AP1159" s="16"/>
      <c r="AQ1159" s="16"/>
    </row>
    <row r="1160">
      <c r="A1160" s="22"/>
      <c r="B1160" s="21"/>
      <c r="C1160" s="16"/>
      <c r="D1160" s="16"/>
      <c r="E1160" s="17"/>
      <c r="F1160" s="21"/>
      <c r="G1160" s="16"/>
      <c r="H1160" s="16"/>
      <c r="I1160" s="16"/>
      <c r="J1160" s="17"/>
      <c r="K1160" s="21"/>
      <c r="L1160" s="16"/>
      <c r="M1160" s="16"/>
      <c r="N1160" s="17"/>
      <c r="O1160" s="21"/>
      <c r="P1160" s="16"/>
      <c r="Q1160" s="16"/>
      <c r="R1160" s="16"/>
      <c r="S1160" s="16"/>
      <c r="T1160" s="16"/>
      <c r="U1160" s="16"/>
      <c r="V1160" s="16"/>
      <c r="W1160" s="16"/>
      <c r="X1160" s="16"/>
      <c r="Y1160" s="16"/>
      <c r="Z1160" s="16"/>
      <c r="AA1160" s="16"/>
      <c r="AB1160" s="16"/>
      <c r="AC1160" s="16"/>
      <c r="AD1160" s="16"/>
      <c r="AE1160" s="16"/>
      <c r="AF1160" s="16"/>
      <c r="AG1160" s="16"/>
      <c r="AH1160" s="16"/>
      <c r="AI1160" s="16"/>
      <c r="AJ1160" s="16"/>
      <c r="AK1160" s="16"/>
      <c r="AL1160" s="16"/>
      <c r="AM1160" s="16"/>
      <c r="AN1160" s="16"/>
      <c r="AO1160" s="16"/>
      <c r="AP1160" s="16"/>
      <c r="AQ1160" s="16"/>
    </row>
    <row r="1161">
      <c r="A1161" s="22"/>
      <c r="B1161" s="21"/>
      <c r="C1161" s="16"/>
      <c r="D1161" s="16"/>
      <c r="E1161" s="17"/>
      <c r="F1161" s="21"/>
      <c r="G1161" s="16"/>
      <c r="H1161" s="16"/>
      <c r="I1161" s="16"/>
      <c r="J1161" s="17"/>
      <c r="K1161" s="21"/>
      <c r="L1161" s="16"/>
      <c r="M1161" s="16"/>
      <c r="N1161" s="17"/>
      <c r="O1161" s="21"/>
      <c r="P1161" s="16"/>
      <c r="Q1161" s="16"/>
      <c r="R1161" s="16"/>
      <c r="S1161" s="16"/>
      <c r="T1161" s="16"/>
      <c r="U1161" s="16"/>
      <c r="V1161" s="16"/>
      <c r="W1161" s="16"/>
      <c r="X1161" s="16"/>
      <c r="Y1161" s="16"/>
      <c r="Z1161" s="16"/>
      <c r="AA1161" s="16"/>
      <c r="AB1161" s="16"/>
      <c r="AC1161" s="16"/>
      <c r="AD1161" s="16"/>
      <c r="AE1161" s="16"/>
      <c r="AF1161" s="16"/>
      <c r="AG1161" s="16"/>
      <c r="AH1161" s="16"/>
      <c r="AI1161" s="16"/>
      <c r="AJ1161" s="16"/>
      <c r="AK1161" s="16"/>
      <c r="AL1161" s="16"/>
      <c r="AM1161" s="16"/>
      <c r="AN1161" s="16"/>
      <c r="AO1161" s="16"/>
      <c r="AP1161" s="16"/>
      <c r="AQ1161" s="16"/>
    </row>
    <row r="1162">
      <c r="A1162" s="22"/>
      <c r="B1162" s="21"/>
      <c r="C1162" s="16"/>
      <c r="D1162" s="16"/>
      <c r="E1162" s="17"/>
      <c r="F1162" s="21"/>
      <c r="G1162" s="16"/>
      <c r="H1162" s="16"/>
      <c r="I1162" s="16"/>
      <c r="J1162" s="17"/>
      <c r="K1162" s="21"/>
      <c r="L1162" s="16"/>
      <c r="M1162" s="16"/>
      <c r="N1162" s="17"/>
      <c r="O1162" s="21"/>
      <c r="P1162" s="16"/>
      <c r="Q1162" s="16"/>
      <c r="R1162" s="16"/>
      <c r="S1162" s="16"/>
      <c r="T1162" s="16"/>
      <c r="U1162" s="16"/>
      <c r="V1162" s="16"/>
      <c r="W1162" s="16"/>
      <c r="X1162" s="16"/>
      <c r="Y1162" s="16"/>
      <c r="Z1162" s="16"/>
      <c r="AA1162" s="16"/>
      <c r="AB1162" s="16"/>
      <c r="AC1162" s="16"/>
      <c r="AD1162" s="16"/>
      <c r="AE1162" s="16"/>
      <c r="AF1162" s="16"/>
      <c r="AG1162" s="16"/>
      <c r="AH1162" s="16"/>
      <c r="AI1162" s="16"/>
      <c r="AJ1162" s="16"/>
      <c r="AK1162" s="16"/>
      <c r="AL1162" s="16"/>
      <c r="AM1162" s="16"/>
      <c r="AN1162" s="16"/>
      <c r="AO1162" s="16"/>
      <c r="AP1162" s="16"/>
      <c r="AQ1162" s="16"/>
    </row>
    <row r="1163">
      <c r="A1163" s="22"/>
      <c r="B1163" s="21"/>
      <c r="C1163" s="16"/>
      <c r="D1163" s="16"/>
      <c r="E1163" s="17"/>
      <c r="F1163" s="21"/>
      <c r="G1163" s="16"/>
      <c r="H1163" s="16"/>
      <c r="I1163" s="16"/>
      <c r="J1163" s="17"/>
      <c r="K1163" s="21"/>
      <c r="L1163" s="16"/>
      <c r="M1163" s="16"/>
      <c r="N1163" s="17"/>
      <c r="O1163" s="21"/>
      <c r="P1163" s="16"/>
      <c r="Q1163" s="16"/>
      <c r="R1163" s="16"/>
      <c r="S1163" s="16"/>
      <c r="T1163" s="16"/>
      <c r="U1163" s="16"/>
      <c r="V1163" s="16"/>
      <c r="W1163" s="16"/>
      <c r="X1163" s="16"/>
      <c r="Y1163" s="16"/>
      <c r="Z1163" s="16"/>
      <c r="AA1163" s="16"/>
      <c r="AB1163" s="16"/>
      <c r="AC1163" s="16"/>
      <c r="AD1163" s="16"/>
      <c r="AE1163" s="16"/>
      <c r="AF1163" s="16"/>
      <c r="AG1163" s="16"/>
      <c r="AH1163" s="16"/>
      <c r="AI1163" s="16"/>
      <c r="AJ1163" s="16"/>
      <c r="AK1163" s="16"/>
      <c r="AL1163" s="16"/>
      <c r="AM1163" s="16"/>
      <c r="AN1163" s="16"/>
      <c r="AO1163" s="16"/>
      <c r="AP1163" s="16"/>
      <c r="AQ1163" s="16"/>
    </row>
    <row r="1164">
      <c r="A1164" s="22"/>
      <c r="B1164" s="21"/>
      <c r="C1164" s="16"/>
      <c r="D1164" s="16"/>
      <c r="E1164" s="17"/>
      <c r="F1164" s="21"/>
      <c r="G1164" s="16"/>
      <c r="H1164" s="16"/>
      <c r="I1164" s="16"/>
      <c r="J1164" s="17"/>
      <c r="K1164" s="21"/>
      <c r="L1164" s="16"/>
      <c r="M1164" s="16"/>
      <c r="N1164" s="17"/>
      <c r="O1164" s="21"/>
      <c r="P1164" s="16"/>
      <c r="Q1164" s="16"/>
      <c r="R1164" s="16"/>
      <c r="S1164" s="16"/>
      <c r="T1164" s="16"/>
      <c r="U1164" s="16"/>
      <c r="V1164" s="16"/>
      <c r="W1164" s="16"/>
      <c r="X1164" s="16"/>
      <c r="Y1164" s="16"/>
      <c r="Z1164" s="16"/>
      <c r="AA1164" s="16"/>
      <c r="AB1164" s="16"/>
      <c r="AC1164" s="16"/>
      <c r="AD1164" s="16"/>
      <c r="AE1164" s="16"/>
      <c r="AF1164" s="16"/>
      <c r="AG1164" s="16"/>
      <c r="AH1164" s="16"/>
      <c r="AI1164" s="16"/>
      <c r="AJ1164" s="16"/>
      <c r="AK1164" s="16"/>
      <c r="AL1164" s="16"/>
      <c r="AM1164" s="16"/>
      <c r="AN1164" s="16"/>
      <c r="AO1164" s="16"/>
      <c r="AP1164" s="16"/>
      <c r="AQ1164" s="16"/>
    </row>
    <row r="1165">
      <c r="A1165" s="22"/>
      <c r="B1165" s="21"/>
      <c r="C1165" s="16"/>
      <c r="D1165" s="16"/>
      <c r="E1165" s="17"/>
      <c r="F1165" s="21"/>
      <c r="G1165" s="16"/>
      <c r="H1165" s="16"/>
      <c r="I1165" s="16"/>
      <c r="J1165" s="17"/>
      <c r="K1165" s="21"/>
      <c r="L1165" s="16"/>
      <c r="M1165" s="16"/>
      <c r="N1165" s="17"/>
      <c r="O1165" s="21"/>
      <c r="P1165" s="16"/>
      <c r="Q1165" s="16"/>
      <c r="R1165" s="16"/>
      <c r="S1165" s="16"/>
      <c r="T1165" s="16"/>
      <c r="U1165" s="16"/>
      <c r="V1165" s="16"/>
      <c r="W1165" s="16"/>
      <c r="X1165" s="16"/>
      <c r="Y1165" s="16"/>
      <c r="Z1165" s="16"/>
      <c r="AA1165" s="16"/>
      <c r="AB1165" s="16"/>
      <c r="AC1165" s="16"/>
      <c r="AD1165" s="16"/>
      <c r="AE1165" s="16"/>
      <c r="AF1165" s="16"/>
      <c r="AG1165" s="16"/>
      <c r="AH1165" s="16"/>
      <c r="AI1165" s="16"/>
      <c r="AJ1165" s="16"/>
      <c r="AK1165" s="16"/>
      <c r="AL1165" s="16"/>
      <c r="AM1165" s="16"/>
      <c r="AN1165" s="16"/>
      <c r="AO1165" s="16"/>
      <c r="AP1165" s="16"/>
      <c r="AQ1165" s="16"/>
    </row>
    <row r="1166">
      <c r="A1166" s="22"/>
      <c r="B1166" s="21"/>
      <c r="C1166" s="16"/>
      <c r="D1166" s="16"/>
      <c r="E1166" s="17"/>
      <c r="F1166" s="21"/>
      <c r="G1166" s="16"/>
      <c r="H1166" s="16"/>
      <c r="I1166" s="16"/>
      <c r="J1166" s="17"/>
      <c r="K1166" s="21"/>
      <c r="L1166" s="16"/>
      <c r="M1166" s="16"/>
      <c r="N1166" s="17"/>
      <c r="O1166" s="21"/>
      <c r="P1166" s="16"/>
      <c r="Q1166" s="16"/>
      <c r="R1166" s="16"/>
      <c r="S1166" s="16"/>
      <c r="T1166" s="16"/>
      <c r="U1166" s="16"/>
      <c r="V1166" s="16"/>
      <c r="W1166" s="16"/>
      <c r="X1166" s="16"/>
      <c r="Y1166" s="16"/>
      <c r="Z1166" s="16"/>
      <c r="AA1166" s="16"/>
      <c r="AB1166" s="16"/>
      <c r="AC1166" s="16"/>
      <c r="AD1166" s="16"/>
      <c r="AE1166" s="16"/>
      <c r="AF1166" s="16"/>
      <c r="AG1166" s="16"/>
      <c r="AH1166" s="16"/>
      <c r="AI1166" s="16"/>
      <c r="AJ1166" s="16"/>
      <c r="AK1166" s="16"/>
      <c r="AL1166" s="16"/>
      <c r="AM1166" s="16"/>
      <c r="AN1166" s="16"/>
      <c r="AO1166" s="16"/>
      <c r="AP1166" s="16"/>
      <c r="AQ1166" s="16"/>
    </row>
    <row r="1167">
      <c r="A1167" s="22"/>
      <c r="B1167" s="21"/>
      <c r="C1167" s="16"/>
      <c r="D1167" s="16"/>
      <c r="E1167" s="17"/>
      <c r="F1167" s="21"/>
      <c r="G1167" s="16"/>
      <c r="H1167" s="16"/>
      <c r="I1167" s="16"/>
      <c r="J1167" s="17"/>
      <c r="K1167" s="21"/>
      <c r="L1167" s="16"/>
      <c r="M1167" s="16"/>
      <c r="N1167" s="17"/>
      <c r="O1167" s="21"/>
      <c r="P1167" s="16"/>
      <c r="Q1167" s="16"/>
      <c r="R1167" s="16"/>
      <c r="S1167" s="16"/>
      <c r="T1167" s="16"/>
      <c r="U1167" s="16"/>
      <c r="V1167" s="16"/>
      <c r="W1167" s="16"/>
      <c r="X1167" s="16"/>
      <c r="Y1167" s="16"/>
      <c r="Z1167" s="16"/>
      <c r="AA1167" s="16"/>
      <c r="AB1167" s="16"/>
      <c r="AC1167" s="16"/>
      <c r="AD1167" s="16"/>
      <c r="AE1167" s="16"/>
      <c r="AF1167" s="16"/>
      <c r="AG1167" s="16"/>
      <c r="AH1167" s="16"/>
      <c r="AI1167" s="16"/>
      <c r="AJ1167" s="16"/>
      <c r="AK1167" s="16"/>
      <c r="AL1167" s="16"/>
      <c r="AM1167" s="16"/>
      <c r="AN1167" s="16"/>
      <c r="AO1167" s="16"/>
      <c r="AP1167" s="16"/>
      <c r="AQ1167" s="16"/>
    </row>
    <row r="1168">
      <c r="A1168" s="22"/>
      <c r="B1168" s="21"/>
      <c r="C1168" s="16"/>
      <c r="D1168" s="16"/>
      <c r="E1168" s="17"/>
      <c r="F1168" s="21"/>
      <c r="G1168" s="16"/>
      <c r="H1168" s="16"/>
      <c r="I1168" s="16"/>
      <c r="J1168" s="17"/>
      <c r="K1168" s="21"/>
      <c r="L1168" s="16"/>
      <c r="M1168" s="16"/>
      <c r="N1168" s="17"/>
      <c r="O1168" s="21"/>
      <c r="P1168" s="16"/>
      <c r="Q1168" s="16"/>
      <c r="R1168" s="16"/>
      <c r="S1168" s="16"/>
      <c r="T1168" s="16"/>
      <c r="U1168" s="16"/>
      <c r="V1168" s="16"/>
      <c r="W1168" s="16"/>
      <c r="X1168" s="16"/>
      <c r="Y1168" s="16"/>
      <c r="Z1168" s="16"/>
      <c r="AA1168" s="16"/>
      <c r="AB1168" s="16"/>
      <c r="AC1168" s="16"/>
      <c r="AD1168" s="16"/>
      <c r="AE1168" s="16"/>
      <c r="AF1168" s="16"/>
      <c r="AG1168" s="16"/>
      <c r="AH1168" s="16"/>
      <c r="AI1168" s="16"/>
      <c r="AJ1168" s="16"/>
      <c r="AK1168" s="16"/>
      <c r="AL1168" s="16"/>
      <c r="AM1168" s="16"/>
      <c r="AN1168" s="16"/>
      <c r="AO1168" s="16"/>
      <c r="AP1168" s="16"/>
      <c r="AQ1168" s="16"/>
    </row>
    <row r="1169">
      <c r="A1169" s="22"/>
      <c r="B1169" s="21"/>
      <c r="C1169" s="16"/>
      <c r="D1169" s="16"/>
      <c r="E1169" s="17"/>
      <c r="F1169" s="21"/>
      <c r="G1169" s="16"/>
      <c r="H1169" s="16"/>
      <c r="I1169" s="16"/>
      <c r="J1169" s="17"/>
      <c r="K1169" s="21"/>
      <c r="L1169" s="16"/>
      <c r="M1169" s="16"/>
      <c r="N1169" s="17"/>
      <c r="O1169" s="21"/>
      <c r="P1169" s="16"/>
      <c r="Q1169" s="16"/>
      <c r="R1169" s="16"/>
      <c r="S1169" s="16"/>
      <c r="T1169" s="16"/>
      <c r="U1169" s="16"/>
      <c r="V1169" s="16"/>
      <c r="W1169" s="16"/>
      <c r="X1169" s="16"/>
      <c r="Y1169" s="16"/>
      <c r="Z1169" s="16"/>
      <c r="AA1169" s="16"/>
      <c r="AB1169" s="16"/>
      <c r="AC1169" s="16"/>
      <c r="AD1169" s="16"/>
      <c r="AE1169" s="16"/>
      <c r="AF1169" s="16"/>
      <c r="AG1169" s="16"/>
      <c r="AH1169" s="16"/>
      <c r="AI1169" s="16"/>
      <c r="AJ1169" s="16"/>
      <c r="AK1169" s="16"/>
      <c r="AL1169" s="16"/>
      <c r="AM1169" s="16"/>
      <c r="AN1169" s="16"/>
      <c r="AO1169" s="16"/>
      <c r="AP1169" s="16"/>
      <c r="AQ1169" s="16"/>
    </row>
    <row r="1170">
      <c r="A1170" s="22"/>
      <c r="B1170" s="21"/>
      <c r="C1170" s="16"/>
      <c r="D1170" s="16"/>
      <c r="E1170" s="17"/>
      <c r="F1170" s="21"/>
      <c r="G1170" s="16"/>
      <c r="H1170" s="16"/>
      <c r="I1170" s="16"/>
      <c r="J1170" s="17"/>
      <c r="K1170" s="21"/>
      <c r="L1170" s="16"/>
      <c r="M1170" s="16"/>
      <c r="N1170" s="17"/>
      <c r="O1170" s="21"/>
      <c r="P1170" s="16"/>
      <c r="Q1170" s="16"/>
      <c r="R1170" s="16"/>
      <c r="S1170" s="16"/>
      <c r="T1170" s="16"/>
      <c r="U1170" s="16"/>
      <c r="V1170" s="16"/>
      <c r="W1170" s="16"/>
      <c r="X1170" s="16"/>
      <c r="Y1170" s="16"/>
      <c r="Z1170" s="16"/>
      <c r="AA1170" s="16"/>
      <c r="AB1170" s="16"/>
      <c r="AC1170" s="16"/>
      <c r="AD1170" s="16"/>
      <c r="AE1170" s="16"/>
      <c r="AF1170" s="16"/>
      <c r="AG1170" s="16"/>
      <c r="AH1170" s="16"/>
      <c r="AI1170" s="16"/>
      <c r="AJ1170" s="16"/>
      <c r="AK1170" s="16"/>
      <c r="AL1170" s="16"/>
      <c r="AM1170" s="16"/>
      <c r="AN1170" s="16"/>
      <c r="AO1170" s="16"/>
      <c r="AP1170" s="16"/>
      <c r="AQ1170" s="16"/>
    </row>
    <row r="1171">
      <c r="A1171" s="22"/>
      <c r="B1171" s="21"/>
      <c r="C1171" s="16"/>
      <c r="D1171" s="16"/>
      <c r="E1171" s="17"/>
      <c r="F1171" s="21"/>
      <c r="G1171" s="16"/>
      <c r="H1171" s="16"/>
      <c r="I1171" s="16"/>
      <c r="J1171" s="17"/>
      <c r="K1171" s="21"/>
      <c r="L1171" s="16"/>
      <c r="M1171" s="16"/>
      <c r="N1171" s="17"/>
      <c r="O1171" s="21"/>
      <c r="P1171" s="16"/>
      <c r="Q1171" s="16"/>
      <c r="R1171" s="16"/>
      <c r="S1171" s="16"/>
      <c r="T1171" s="16"/>
      <c r="U1171" s="16"/>
      <c r="V1171" s="16"/>
      <c r="W1171" s="16"/>
      <c r="X1171" s="16"/>
      <c r="Y1171" s="16"/>
      <c r="Z1171" s="16"/>
      <c r="AA1171" s="16"/>
      <c r="AB1171" s="16"/>
      <c r="AC1171" s="16"/>
      <c r="AD1171" s="16"/>
      <c r="AE1171" s="16"/>
      <c r="AF1171" s="16"/>
      <c r="AG1171" s="16"/>
      <c r="AH1171" s="16"/>
      <c r="AI1171" s="16"/>
      <c r="AJ1171" s="16"/>
      <c r="AK1171" s="16"/>
      <c r="AL1171" s="16"/>
      <c r="AM1171" s="16"/>
      <c r="AN1171" s="16"/>
      <c r="AO1171" s="16"/>
      <c r="AP1171" s="16"/>
      <c r="AQ1171" s="16"/>
    </row>
    <row r="1172">
      <c r="A1172" s="22"/>
      <c r="B1172" s="21"/>
      <c r="C1172" s="16"/>
      <c r="D1172" s="16"/>
      <c r="E1172" s="17"/>
      <c r="F1172" s="21"/>
      <c r="G1172" s="16"/>
      <c r="H1172" s="16"/>
      <c r="I1172" s="16"/>
      <c r="J1172" s="17"/>
      <c r="K1172" s="21"/>
      <c r="L1172" s="16"/>
      <c r="M1172" s="16"/>
      <c r="N1172" s="17"/>
      <c r="O1172" s="21"/>
      <c r="P1172" s="16"/>
      <c r="Q1172" s="16"/>
      <c r="R1172" s="16"/>
      <c r="S1172" s="16"/>
      <c r="T1172" s="16"/>
      <c r="U1172" s="16"/>
      <c r="V1172" s="16"/>
      <c r="W1172" s="16"/>
      <c r="X1172" s="16"/>
      <c r="Y1172" s="16"/>
      <c r="Z1172" s="16"/>
      <c r="AA1172" s="16"/>
      <c r="AB1172" s="16"/>
      <c r="AC1172" s="16"/>
      <c r="AD1172" s="16"/>
      <c r="AE1172" s="16"/>
      <c r="AF1172" s="16"/>
      <c r="AG1172" s="16"/>
      <c r="AH1172" s="16"/>
      <c r="AI1172" s="16"/>
      <c r="AJ1172" s="16"/>
      <c r="AK1172" s="16"/>
      <c r="AL1172" s="16"/>
      <c r="AM1172" s="16"/>
      <c r="AN1172" s="16"/>
      <c r="AO1172" s="16"/>
      <c r="AP1172" s="16"/>
      <c r="AQ1172" s="16"/>
    </row>
    <row r="1173">
      <c r="A1173" s="22"/>
      <c r="B1173" s="21"/>
      <c r="C1173" s="16"/>
      <c r="D1173" s="16"/>
      <c r="E1173" s="17"/>
      <c r="F1173" s="21"/>
      <c r="G1173" s="16"/>
      <c r="H1173" s="16"/>
      <c r="I1173" s="16"/>
      <c r="J1173" s="17"/>
      <c r="K1173" s="21"/>
      <c r="L1173" s="16"/>
      <c r="M1173" s="16"/>
      <c r="N1173" s="17"/>
      <c r="O1173" s="21"/>
      <c r="P1173" s="16"/>
      <c r="Q1173" s="16"/>
      <c r="R1173" s="16"/>
      <c r="S1173" s="16"/>
      <c r="T1173" s="16"/>
      <c r="U1173" s="16"/>
      <c r="V1173" s="16"/>
      <c r="W1173" s="16"/>
      <c r="X1173" s="16"/>
      <c r="Y1173" s="16"/>
      <c r="Z1173" s="16"/>
      <c r="AA1173" s="16"/>
      <c r="AB1173" s="16"/>
      <c r="AC1173" s="16"/>
      <c r="AD1173" s="16"/>
      <c r="AE1173" s="16"/>
      <c r="AF1173" s="16"/>
      <c r="AG1173" s="16"/>
      <c r="AH1173" s="16"/>
      <c r="AI1173" s="16"/>
      <c r="AJ1173" s="16"/>
      <c r="AK1173" s="16"/>
      <c r="AL1173" s="16"/>
      <c r="AM1173" s="16"/>
      <c r="AN1173" s="16"/>
      <c r="AO1173" s="16"/>
      <c r="AP1173" s="16"/>
      <c r="AQ1173" s="16"/>
    </row>
    <row r="1174">
      <c r="A1174" s="22"/>
      <c r="B1174" s="21"/>
      <c r="C1174" s="16"/>
      <c r="D1174" s="16"/>
      <c r="E1174" s="17"/>
      <c r="F1174" s="21"/>
      <c r="G1174" s="16"/>
      <c r="H1174" s="16"/>
      <c r="I1174" s="16"/>
      <c r="J1174" s="17"/>
      <c r="K1174" s="21"/>
      <c r="L1174" s="16"/>
      <c r="M1174" s="16"/>
      <c r="N1174" s="17"/>
      <c r="O1174" s="21"/>
      <c r="P1174" s="16"/>
      <c r="Q1174" s="16"/>
      <c r="R1174" s="16"/>
      <c r="S1174" s="16"/>
      <c r="T1174" s="16"/>
      <c r="U1174" s="16"/>
      <c r="V1174" s="16"/>
      <c r="W1174" s="16"/>
      <c r="X1174" s="16"/>
      <c r="Y1174" s="16"/>
      <c r="Z1174" s="16"/>
      <c r="AA1174" s="16"/>
      <c r="AB1174" s="16"/>
      <c r="AC1174" s="16"/>
      <c r="AD1174" s="16"/>
      <c r="AE1174" s="16"/>
      <c r="AF1174" s="16"/>
      <c r="AG1174" s="16"/>
      <c r="AH1174" s="16"/>
      <c r="AI1174" s="16"/>
      <c r="AJ1174" s="16"/>
      <c r="AK1174" s="16"/>
      <c r="AL1174" s="16"/>
      <c r="AM1174" s="16"/>
      <c r="AN1174" s="16"/>
      <c r="AO1174" s="16"/>
      <c r="AP1174" s="16"/>
      <c r="AQ1174" s="16"/>
    </row>
    <row r="1175">
      <c r="A1175" s="22"/>
      <c r="B1175" s="21"/>
      <c r="C1175" s="16"/>
      <c r="D1175" s="16"/>
      <c r="E1175" s="17"/>
      <c r="F1175" s="21"/>
      <c r="G1175" s="16"/>
      <c r="H1175" s="16"/>
      <c r="I1175" s="16"/>
      <c r="J1175" s="17"/>
      <c r="K1175" s="21"/>
      <c r="L1175" s="16"/>
      <c r="M1175" s="16"/>
      <c r="N1175" s="17"/>
      <c r="O1175" s="21"/>
      <c r="P1175" s="16"/>
      <c r="Q1175" s="16"/>
      <c r="R1175" s="16"/>
      <c r="S1175" s="16"/>
      <c r="T1175" s="16"/>
      <c r="U1175" s="16"/>
      <c r="V1175" s="16"/>
      <c r="W1175" s="16"/>
      <c r="X1175" s="16"/>
      <c r="Y1175" s="16"/>
      <c r="Z1175" s="16"/>
      <c r="AA1175" s="16"/>
      <c r="AB1175" s="16"/>
      <c r="AC1175" s="16"/>
      <c r="AD1175" s="16"/>
      <c r="AE1175" s="16"/>
      <c r="AF1175" s="16"/>
      <c r="AG1175" s="16"/>
      <c r="AH1175" s="16"/>
      <c r="AI1175" s="16"/>
      <c r="AJ1175" s="16"/>
      <c r="AK1175" s="16"/>
      <c r="AL1175" s="16"/>
      <c r="AM1175" s="16"/>
      <c r="AN1175" s="16"/>
      <c r="AO1175" s="16"/>
      <c r="AP1175" s="16"/>
      <c r="AQ1175" s="16"/>
    </row>
    <row r="1176">
      <c r="A1176" s="22"/>
      <c r="B1176" s="21"/>
      <c r="C1176" s="16"/>
      <c r="D1176" s="16"/>
      <c r="E1176" s="17"/>
      <c r="F1176" s="21"/>
      <c r="G1176" s="16"/>
      <c r="H1176" s="16"/>
      <c r="I1176" s="16"/>
      <c r="J1176" s="17"/>
      <c r="K1176" s="21"/>
      <c r="L1176" s="16"/>
      <c r="M1176" s="16"/>
      <c r="N1176" s="17"/>
      <c r="O1176" s="21"/>
      <c r="P1176" s="16"/>
      <c r="Q1176" s="16"/>
      <c r="R1176" s="16"/>
      <c r="S1176" s="16"/>
      <c r="T1176" s="16"/>
      <c r="U1176" s="16"/>
      <c r="V1176" s="16"/>
      <c r="W1176" s="16"/>
      <c r="X1176" s="16"/>
      <c r="Y1176" s="16"/>
      <c r="Z1176" s="16"/>
      <c r="AA1176" s="16"/>
      <c r="AB1176" s="16"/>
      <c r="AC1176" s="16"/>
      <c r="AD1176" s="16"/>
      <c r="AE1176" s="16"/>
      <c r="AF1176" s="16"/>
      <c r="AG1176" s="16"/>
      <c r="AH1176" s="16"/>
      <c r="AI1176" s="16"/>
      <c r="AJ1176" s="16"/>
      <c r="AK1176" s="16"/>
      <c r="AL1176" s="16"/>
      <c r="AM1176" s="16"/>
      <c r="AN1176" s="16"/>
      <c r="AO1176" s="16"/>
      <c r="AP1176" s="16"/>
      <c r="AQ1176" s="16"/>
    </row>
    <row r="1177">
      <c r="A1177" s="22"/>
      <c r="B1177" s="21"/>
      <c r="C1177" s="16"/>
      <c r="D1177" s="16"/>
      <c r="E1177" s="17"/>
      <c r="F1177" s="21"/>
      <c r="G1177" s="16"/>
      <c r="H1177" s="16"/>
      <c r="I1177" s="16"/>
      <c r="J1177" s="17"/>
      <c r="K1177" s="21"/>
      <c r="L1177" s="16"/>
      <c r="M1177" s="16"/>
      <c r="N1177" s="17"/>
      <c r="O1177" s="21"/>
      <c r="P1177" s="16"/>
      <c r="Q1177" s="16"/>
      <c r="R1177" s="16"/>
      <c r="S1177" s="16"/>
      <c r="T1177" s="16"/>
      <c r="U1177" s="16"/>
      <c r="V1177" s="16"/>
      <c r="W1177" s="16"/>
      <c r="X1177" s="16"/>
      <c r="Y1177" s="16"/>
      <c r="Z1177" s="16"/>
      <c r="AA1177" s="16"/>
      <c r="AB1177" s="16"/>
      <c r="AC1177" s="16"/>
      <c r="AD1177" s="16"/>
      <c r="AE1177" s="16"/>
      <c r="AF1177" s="16"/>
      <c r="AG1177" s="16"/>
      <c r="AH1177" s="16"/>
      <c r="AI1177" s="16"/>
      <c r="AJ1177" s="16"/>
      <c r="AK1177" s="16"/>
      <c r="AL1177" s="16"/>
      <c r="AM1177" s="16"/>
      <c r="AN1177" s="16"/>
      <c r="AO1177" s="16"/>
      <c r="AP1177" s="16"/>
      <c r="AQ1177" s="16"/>
    </row>
    <row r="1178">
      <c r="A1178" s="22"/>
      <c r="B1178" s="21"/>
      <c r="C1178" s="16"/>
      <c r="D1178" s="16"/>
      <c r="E1178" s="17"/>
      <c r="F1178" s="21"/>
      <c r="G1178" s="16"/>
      <c r="H1178" s="16"/>
      <c r="I1178" s="16"/>
      <c r="J1178" s="17"/>
      <c r="K1178" s="21"/>
      <c r="L1178" s="16"/>
      <c r="M1178" s="16"/>
      <c r="N1178" s="17"/>
      <c r="O1178" s="21"/>
      <c r="P1178" s="16"/>
      <c r="Q1178" s="16"/>
      <c r="R1178" s="16"/>
      <c r="S1178" s="16"/>
      <c r="T1178" s="16"/>
      <c r="U1178" s="16"/>
      <c r="V1178" s="16"/>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row>
    <row r="1179">
      <c r="A1179" s="22"/>
      <c r="B1179" s="21"/>
      <c r="C1179" s="16"/>
      <c r="D1179" s="16"/>
      <c r="E1179" s="17"/>
      <c r="F1179" s="21"/>
      <c r="G1179" s="16"/>
      <c r="H1179" s="16"/>
      <c r="I1179" s="16"/>
      <c r="J1179" s="17"/>
      <c r="K1179" s="21"/>
      <c r="L1179" s="16"/>
      <c r="M1179" s="16"/>
      <c r="N1179" s="17"/>
      <c r="O1179" s="21"/>
      <c r="P1179" s="16"/>
      <c r="Q1179" s="16"/>
      <c r="R1179" s="16"/>
      <c r="S1179" s="16"/>
      <c r="T1179" s="16"/>
      <c r="U1179" s="16"/>
      <c r="V1179" s="16"/>
      <c r="W1179" s="16"/>
      <c r="X1179" s="16"/>
      <c r="Y1179" s="16"/>
      <c r="Z1179" s="16"/>
      <c r="AA1179" s="16"/>
      <c r="AB1179" s="16"/>
      <c r="AC1179" s="16"/>
      <c r="AD1179" s="16"/>
      <c r="AE1179" s="16"/>
      <c r="AF1179" s="16"/>
      <c r="AG1179" s="16"/>
      <c r="AH1179" s="16"/>
      <c r="AI1179" s="16"/>
      <c r="AJ1179" s="16"/>
      <c r="AK1179" s="16"/>
      <c r="AL1179" s="16"/>
      <c r="AM1179" s="16"/>
      <c r="AN1179" s="16"/>
      <c r="AO1179" s="16"/>
      <c r="AP1179" s="16"/>
      <c r="AQ1179" s="16"/>
    </row>
    <row r="1180">
      <c r="A1180" s="22"/>
      <c r="B1180" s="21"/>
      <c r="C1180" s="16"/>
      <c r="D1180" s="16"/>
      <c r="E1180" s="17"/>
      <c r="F1180" s="21"/>
      <c r="G1180" s="16"/>
      <c r="H1180" s="16"/>
      <c r="I1180" s="16"/>
      <c r="J1180" s="17"/>
      <c r="K1180" s="21"/>
      <c r="L1180" s="16"/>
      <c r="M1180" s="16"/>
      <c r="N1180" s="17"/>
      <c r="O1180" s="21"/>
      <c r="P1180" s="16"/>
      <c r="Q1180" s="16"/>
      <c r="R1180" s="16"/>
      <c r="S1180" s="16"/>
      <c r="T1180" s="16"/>
      <c r="U1180" s="16"/>
      <c r="V1180" s="16"/>
      <c r="W1180" s="16"/>
      <c r="X1180" s="16"/>
      <c r="Y1180" s="16"/>
      <c r="Z1180" s="16"/>
      <c r="AA1180" s="16"/>
      <c r="AB1180" s="16"/>
      <c r="AC1180" s="16"/>
      <c r="AD1180" s="16"/>
      <c r="AE1180" s="16"/>
      <c r="AF1180" s="16"/>
      <c r="AG1180" s="16"/>
      <c r="AH1180" s="16"/>
      <c r="AI1180" s="16"/>
      <c r="AJ1180" s="16"/>
      <c r="AK1180" s="16"/>
      <c r="AL1180" s="16"/>
      <c r="AM1180" s="16"/>
      <c r="AN1180" s="16"/>
      <c r="AO1180" s="16"/>
      <c r="AP1180" s="16"/>
      <c r="AQ1180" s="16"/>
    </row>
    <row r="1181">
      <c r="A1181" s="22"/>
      <c r="B1181" s="21"/>
      <c r="C1181" s="16"/>
      <c r="D1181" s="16"/>
      <c r="E1181" s="17"/>
      <c r="F1181" s="21"/>
      <c r="G1181" s="16"/>
      <c r="H1181" s="16"/>
      <c r="I1181" s="16"/>
      <c r="J1181" s="17"/>
      <c r="K1181" s="21"/>
      <c r="L1181" s="16"/>
      <c r="M1181" s="16"/>
      <c r="N1181" s="17"/>
      <c r="O1181" s="21"/>
      <c r="P1181" s="16"/>
      <c r="Q1181" s="16"/>
      <c r="R1181" s="16"/>
      <c r="S1181" s="16"/>
      <c r="T1181" s="16"/>
      <c r="U1181" s="16"/>
      <c r="V1181" s="16"/>
      <c r="W1181" s="16"/>
      <c r="X1181" s="16"/>
      <c r="Y1181" s="16"/>
      <c r="Z1181" s="16"/>
      <c r="AA1181" s="16"/>
      <c r="AB1181" s="16"/>
      <c r="AC1181" s="16"/>
      <c r="AD1181" s="16"/>
      <c r="AE1181" s="16"/>
      <c r="AF1181" s="16"/>
      <c r="AG1181" s="16"/>
      <c r="AH1181" s="16"/>
      <c r="AI1181" s="16"/>
      <c r="AJ1181" s="16"/>
      <c r="AK1181" s="16"/>
      <c r="AL1181" s="16"/>
      <c r="AM1181" s="16"/>
      <c r="AN1181" s="16"/>
      <c r="AO1181" s="16"/>
      <c r="AP1181" s="16"/>
      <c r="AQ1181" s="16"/>
    </row>
    <row r="1182">
      <c r="A1182" s="22"/>
      <c r="B1182" s="21"/>
      <c r="C1182" s="16"/>
      <c r="D1182" s="16"/>
      <c r="E1182" s="17"/>
      <c r="F1182" s="21"/>
      <c r="G1182" s="16"/>
      <c r="H1182" s="16"/>
      <c r="I1182" s="16"/>
      <c r="J1182" s="17"/>
      <c r="K1182" s="21"/>
      <c r="L1182" s="16"/>
      <c r="M1182" s="16"/>
      <c r="N1182" s="17"/>
      <c r="O1182" s="21"/>
      <c r="P1182" s="16"/>
      <c r="Q1182" s="16"/>
      <c r="R1182" s="16"/>
      <c r="S1182" s="16"/>
      <c r="T1182" s="16"/>
      <c r="U1182" s="16"/>
      <c r="V1182" s="16"/>
      <c r="W1182" s="16"/>
      <c r="X1182" s="16"/>
      <c r="Y1182" s="16"/>
      <c r="Z1182" s="16"/>
      <c r="AA1182" s="16"/>
      <c r="AB1182" s="16"/>
      <c r="AC1182" s="16"/>
      <c r="AD1182" s="16"/>
      <c r="AE1182" s="16"/>
      <c r="AF1182" s="16"/>
      <c r="AG1182" s="16"/>
      <c r="AH1182" s="16"/>
      <c r="AI1182" s="16"/>
      <c r="AJ1182" s="16"/>
      <c r="AK1182" s="16"/>
      <c r="AL1182" s="16"/>
      <c r="AM1182" s="16"/>
      <c r="AN1182" s="16"/>
      <c r="AO1182" s="16"/>
      <c r="AP1182" s="16"/>
      <c r="AQ1182" s="16"/>
    </row>
    <row r="1183">
      <c r="A1183" s="22"/>
      <c r="B1183" s="21"/>
      <c r="C1183" s="16"/>
      <c r="D1183" s="16"/>
      <c r="E1183" s="17"/>
      <c r="F1183" s="21"/>
      <c r="G1183" s="16"/>
      <c r="H1183" s="16"/>
      <c r="I1183" s="16"/>
      <c r="J1183" s="17"/>
      <c r="K1183" s="21"/>
      <c r="L1183" s="16"/>
      <c r="M1183" s="16"/>
      <c r="N1183" s="17"/>
      <c r="O1183" s="21"/>
      <c r="P1183" s="16"/>
      <c r="Q1183" s="16"/>
      <c r="R1183" s="16"/>
      <c r="S1183" s="16"/>
      <c r="T1183" s="16"/>
      <c r="U1183" s="16"/>
      <c r="V1183" s="16"/>
      <c r="W1183" s="16"/>
      <c r="X1183" s="16"/>
      <c r="Y1183" s="16"/>
      <c r="Z1183" s="16"/>
      <c r="AA1183" s="16"/>
      <c r="AB1183" s="16"/>
      <c r="AC1183" s="16"/>
      <c r="AD1183" s="16"/>
      <c r="AE1183" s="16"/>
      <c r="AF1183" s="16"/>
      <c r="AG1183" s="16"/>
      <c r="AH1183" s="16"/>
      <c r="AI1183" s="16"/>
      <c r="AJ1183" s="16"/>
      <c r="AK1183" s="16"/>
      <c r="AL1183" s="16"/>
      <c r="AM1183" s="16"/>
      <c r="AN1183" s="16"/>
      <c r="AO1183" s="16"/>
      <c r="AP1183" s="16"/>
      <c r="AQ1183" s="16"/>
    </row>
    <row r="1184">
      <c r="A1184" s="22"/>
      <c r="B1184" s="21"/>
      <c r="C1184" s="16"/>
      <c r="D1184" s="16"/>
      <c r="E1184" s="17"/>
      <c r="F1184" s="21"/>
      <c r="G1184" s="16"/>
      <c r="H1184" s="16"/>
      <c r="I1184" s="16"/>
      <c r="J1184" s="17"/>
      <c r="K1184" s="21"/>
      <c r="L1184" s="16"/>
      <c r="M1184" s="16"/>
      <c r="N1184" s="17"/>
      <c r="O1184" s="21"/>
      <c r="P1184" s="16"/>
      <c r="Q1184" s="16"/>
      <c r="R1184" s="16"/>
      <c r="S1184" s="16"/>
      <c r="T1184" s="16"/>
      <c r="U1184" s="16"/>
      <c r="V1184" s="16"/>
      <c r="W1184" s="16"/>
      <c r="X1184" s="16"/>
      <c r="Y1184" s="16"/>
      <c r="Z1184" s="16"/>
      <c r="AA1184" s="16"/>
      <c r="AB1184" s="16"/>
      <c r="AC1184" s="16"/>
      <c r="AD1184" s="16"/>
      <c r="AE1184" s="16"/>
      <c r="AF1184" s="16"/>
      <c r="AG1184" s="16"/>
      <c r="AH1184" s="16"/>
      <c r="AI1184" s="16"/>
      <c r="AJ1184" s="16"/>
      <c r="AK1184" s="16"/>
      <c r="AL1184" s="16"/>
      <c r="AM1184" s="16"/>
      <c r="AN1184" s="16"/>
      <c r="AO1184" s="16"/>
      <c r="AP1184" s="16"/>
      <c r="AQ1184" s="16"/>
    </row>
    <row r="1185">
      <c r="A1185" s="22"/>
      <c r="B1185" s="21"/>
      <c r="C1185" s="16"/>
      <c r="D1185" s="16"/>
      <c r="E1185" s="17"/>
      <c r="F1185" s="21"/>
      <c r="G1185" s="16"/>
      <c r="H1185" s="16"/>
      <c r="I1185" s="16"/>
      <c r="J1185" s="17"/>
      <c r="K1185" s="21"/>
      <c r="L1185" s="16"/>
      <c r="M1185" s="16"/>
      <c r="N1185" s="17"/>
      <c r="O1185" s="21"/>
      <c r="P1185" s="16"/>
      <c r="Q1185" s="16"/>
      <c r="R1185" s="16"/>
      <c r="S1185" s="16"/>
      <c r="T1185" s="16"/>
      <c r="U1185" s="16"/>
      <c r="V1185" s="16"/>
      <c r="W1185" s="16"/>
      <c r="X1185" s="16"/>
      <c r="Y1185" s="16"/>
      <c r="Z1185" s="16"/>
      <c r="AA1185" s="16"/>
      <c r="AB1185" s="16"/>
      <c r="AC1185" s="16"/>
      <c r="AD1185" s="16"/>
      <c r="AE1185" s="16"/>
      <c r="AF1185" s="16"/>
      <c r="AG1185" s="16"/>
      <c r="AH1185" s="16"/>
      <c r="AI1185" s="16"/>
      <c r="AJ1185" s="16"/>
      <c r="AK1185" s="16"/>
      <c r="AL1185" s="16"/>
      <c r="AM1185" s="16"/>
      <c r="AN1185" s="16"/>
      <c r="AO1185" s="16"/>
      <c r="AP1185" s="16"/>
      <c r="AQ1185" s="16"/>
    </row>
    <row r="1186">
      <c r="A1186" s="22"/>
      <c r="B1186" s="21"/>
      <c r="C1186" s="16"/>
      <c r="D1186" s="16"/>
      <c r="E1186" s="17"/>
      <c r="F1186" s="21"/>
      <c r="G1186" s="16"/>
      <c r="H1186" s="16"/>
      <c r="I1186" s="16"/>
      <c r="J1186" s="17"/>
      <c r="K1186" s="21"/>
      <c r="L1186" s="16"/>
      <c r="M1186" s="16"/>
      <c r="N1186" s="17"/>
      <c r="O1186" s="21"/>
      <c r="P1186" s="16"/>
      <c r="Q1186" s="16"/>
      <c r="R1186" s="16"/>
      <c r="S1186" s="16"/>
      <c r="T1186" s="16"/>
      <c r="U1186" s="16"/>
      <c r="V1186" s="16"/>
      <c r="W1186" s="16"/>
      <c r="X1186" s="16"/>
      <c r="Y1186" s="16"/>
      <c r="Z1186" s="16"/>
      <c r="AA1186" s="16"/>
      <c r="AB1186" s="16"/>
      <c r="AC1186" s="16"/>
      <c r="AD1186" s="16"/>
      <c r="AE1186" s="16"/>
      <c r="AF1186" s="16"/>
      <c r="AG1186" s="16"/>
      <c r="AH1186" s="16"/>
      <c r="AI1186" s="16"/>
      <c r="AJ1186" s="16"/>
      <c r="AK1186" s="16"/>
      <c r="AL1186" s="16"/>
      <c r="AM1186" s="16"/>
      <c r="AN1186" s="16"/>
      <c r="AO1186" s="16"/>
      <c r="AP1186" s="16"/>
      <c r="AQ1186" s="16"/>
    </row>
    <row r="1187">
      <c r="A1187" s="22"/>
      <c r="B1187" s="21"/>
      <c r="C1187" s="16"/>
      <c r="D1187" s="16"/>
      <c r="E1187" s="17"/>
      <c r="F1187" s="21"/>
      <c r="G1187" s="16"/>
      <c r="H1187" s="16"/>
      <c r="I1187" s="16"/>
      <c r="J1187" s="17"/>
      <c r="K1187" s="21"/>
      <c r="L1187" s="16"/>
      <c r="M1187" s="16"/>
      <c r="N1187" s="17"/>
      <c r="O1187" s="21"/>
      <c r="P1187" s="16"/>
      <c r="Q1187" s="16"/>
      <c r="R1187" s="16"/>
      <c r="S1187" s="16"/>
      <c r="T1187" s="16"/>
      <c r="U1187" s="16"/>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row>
    <row r="1188">
      <c r="A1188" s="22"/>
      <c r="B1188" s="21"/>
      <c r="C1188" s="16"/>
      <c r="D1188" s="16"/>
      <c r="E1188" s="17"/>
      <c r="F1188" s="21"/>
      <c r="G1188" s="16"/>
      <c r="H1188" s="16"/>
      <c r="I1188" s="16"/>
      <c r="J1188" s="17"/>
      <c r="K1188" s="21"/>
      <c r="L1188" s="16"/>
      <c r="M1188" s="16"/>
      <c r="N1188" s="17"/>
      <c r="O1188" s="21"/>
      <c r="P1188" s="16"/>
      <c r="Q1188" s="16"/>
      <c r="R1188" s="16"/>
      <c r="S1188" s="16"/>
      <c r="T1188" s="16"/>
      <c r="U1188" s="16"/>
      <c r="V1188" s="16"/>
      <c r="W1188" s="16"/>
      <c r="X1188" s="16"/>
      <c r="Y1188" s="16"/>
      <c r="Z1188" s="16"/>
      <c r="AA1188" s="16"/>
      <c r="AB1188" s="16"/>
      <c r="AC1188" s="16"/>
      <c r="AD1188" s="16"/>
      <c r="AE1188" s="16"/>
      <c r="AF1188" s="16"/>
      <c r="AG1188" s="16"/>
      <c r="AH1188" s="16"/>
      <c r="AI1188" s="16"/>
      <c r="AJ1188" s="16"/>
      <c r="AK1188" s="16"/>
      <c r="AL1188" s="16"/>
      <c r="AM1188" s="16"/>
      <c r="AN1188" s="16"/>
      <c r="AO1188" s="16"/>
      <c r="AP1188" s="16"/>
      <c r="AQ1188" s="16"/>
    </row>
    <row r="1189">
      <c r="A1189" s="22"/>
      <c r="B1189" s="21"/>
      <c r="C1189" s="16"/>
      <c r="D1189" s="16"/>
      <c r="E1189" s="17"/>
      <c r="F1189" s="21"/>
      <c r="G1189" s="16"/>
      <c r="H1189" s="16"/>
      <c r="I1189" s="16"/>
      <c r="J1189" s="17"/>
      <c r="K1189" s="21"/>
      <c r="L1189" s="16"/>
      <c r="M1189" s="16"/>
      <c r="N1189" s="17"/>
      <c r="O1189" s="21"/>
      <c r="P1189" s="16"/>
      <c r="Q1189" s="16"/>
      <c r="R1189" s="16"/>
      <c r="S1189" s="16"/>
      <c r="T1189" s="16"/>
      <c r="U1189" s="16"/>
      <c r="V1189" s="16"/>
      <c r="W1189" s="16"/>
      <c r="X1189" s="16"/>
      <c r="Y1189" s="16"/>
      <c r="Z1189" s="16"/>
      <c r="AA1189" s="16"/>
      <c r="AB1189" s="16"/>
      <c r="AC1189" s="16"/>
      <c r="AD1189" s="16"/>
      <c r="AE1189" s="16"/>
      <c r="AF1189" s="16"/>
      <c r="AG1189" s="16"/>
      <c r="AH1189" s="16"/>
      <c r="AI1189" s="16"/>
      <c r="AJ1189" s="16"/>
      <c r="AK1189" s="16"/>
      <c r="AL1189" s="16"/>
      <c r="AM1189" s="16"/>
      <c r="AN1189" s="16"/>
      <c r="AO1189" s="16"/>
      <c r="AP1189" s="16"/>
      <c r="AQ1189" s="16"/>
    </row>
    <row r="1190">
      <c r="A1190" s="22"/>
      <c r="B1190" s="21"/>
      <c r="C1190" s="16"/>
      <c r="D1190" s="16"/>
      <c r="E1190" s="17"/>
      <c r="F1190" s="21"/>
      <c r="G1190" s="16"/>
      <c r="H1190" s="16"/>
      <c r="I1190" s="16"/>
      <c r="J1190" s="17"/>
      <c r="K1190" s="21"/>
      <c r="L1190" s="16"/>
      <c r="M1190" s="16"/>
      <c r="N1190" s="17"/>
      <c r="O1190" s="21"/>
      <c r="P1190" s="16"/>
      <c r="Q1190" s="16"/>
      <c r="R1190" s="16"/>
      <c r="S1190" s="16"/>
      <c r="T1190" s="16"/>
      <c r="U1190" s="16"/>
      <c r="V1190" s="16"/>
      <c r="W1190" s="16"/>
      <c r="X1190" s="16"/>
      <c r="Y1190" s="16"/>
      <c r="Z1190" s="16"/>
      <c r="AA1190" s="16"/>
      <c r="AB1190" s="16"/>
      <c r="AC1190" s="16"/>
      <c r="AD1190" s="16"/>
      <c r="AE1190" s="16"/>
      <c r="AF1190" s="16"/>
      <c r="AG1190" s="16"/>
      <c r="AH1190" s="16"/>
      <c r="AI1190" s="16"/>
      <c r="AJ1190" s="16"/>
      <c r="AK1190" s="16"/>
      <c r="AL1190" s="16"/>
      <c r="AM1190" s="16"/>
      <c r="AN1190" s="16"/>
      <c r="AO1190" s="16"/>
      <c r="AP1190" s="16"/>
      <c r="AQ1190" s="16"/>
    </row>
    <row r="1191">
      <c r="A1191" s="22"/>
      <c r="B1191" s="21"/>
      <c r="C1191" s="16"/>
      <c r="D1191" s="16"/>
      <c r="E1191" s="17"/>
      <c r="F1191" s="21"/>
      <c r="G1191" s="16"/>
      <c r="H1191" s="16"/>
      <c r="I1191" s="16"/>
      <c r="J1191" s="17"/>
      <c r="K1191" s="21"/>
      <c r="L1191" s="16"/>
      <c r="M1191" s="16"/>
      <c r="N1191" s="17"/>
      <c r="O1191" s="21"/>
      <c r="P1191" s="16"/>
      <c r="Q1191" s="16"/>
      <c r="R1191" s="16"/>
      <c r="S1191" s="16"/>
      <c r="T1191" s="16"/>
      <c r="U1191" s="16"/>
      <c r="V1191" s="16"/>
      <c r="W1191" s="16"/>
      <c r="X1191" s="16"/>
      <c r="Y1191" s="16"/>
      <c r="Z1191" s="16"/>
      <c r="AA1191" s="16"/>
      <c r="AB1191" s="16"/>
      <c r="AC1191" s="16"/>
      <c r="AD1191" s="16"/>
      <c r="AE1191" s="16"/>
      <c r="AF1191" s="16"/>
      <c r="AG1191" s="16"/>
      <c r="AH1191" s="16"/>
      <c r="AI1191" s="16"/>
      <c r="AJ1191" s="16"/>
      <c r="AK1191" s="16"/>
      <c r="AL1191" s="16"/>
      <c r="AM1191" s="16"/>
      <c r="AN1191" s="16"/>
      <c r="AO1191" s="16"/>
      <c r="AP1191" s="16"/>
      <c r="AQ1191" s="16"/>
    </row>
    <row r="1192">
      <c r="A1192" s="22"/>
      <c r="B1192" s="21"/>
      <c r="C1192" s="16"/>
      <c r="D1192" s="16"/>
      <c r="E1192" s="17"/>
      <c r="F1192" s="21"/>
      <c r="G1192" s="16"/>
      <c r="H1192" s="16"/>
      <c r="I1192" s="16"/>
      <c r="J1192" s="17"/>
      <c r="K1192" s="21"/>
      <c r="L1192" s="16"/>
      <c r="M1192" s="16"/>
      <c r="N1192" s="17"/>
      <c r="O1192" s="21"/>
      <c r="P1192" s="16"/>
      <c r="Q1192" s="16"/>
      <c r="R1192" s="16"/>
      <c r="S1192" s="16"/>
      <c r="T1192" s="16"/>
      <c r="U1192" s="16"/>
      <c r="V1192" s="16"/>
      <c r="W1192" s="16"/>
      <c r="X1192" s="16"/>
      <c r="Y1192" s="16"/>
      <c r="Z1192" s="16"/>
      <c r="AA1192" s="16"/>
      <c r="AB1192" s="16"/>
      <c r="AC1192" s="16"/>
      <c r="AD1192" s="16"/>
      <c r="AE1192" s="16"/>
      <c r="AF1192" s="16"/>
      <c r="AG1192" s="16"/>
      <c r="AH1192" s="16"/>
      <c r="AI1192" s="16"/>
      <c r="AJ1192" s="16"/>
      <c r="AK1192" s="16"/>
      <c r="AL1192" s="16"/>
      <c r="AM1192" s="16"/>
      <c r="AN1192" s="16"/>
      <c r="AO1192" s="16"/>
      <c r="AP1192" s="16"/>
      <c r="AQ1192" s="16"/>
    </row>
    <row r="1193">
      <c r="A1193" s="22"/>
      <c r="B1193" s="21"/>
      <c r="C1193" s="16"/>
      <c r="D1193" s="16"/>
      <c r="E1193" s="17"/>
      <c r="F1193" s="21"/>
      <c r="G1193" s="16"/>
      <c r="H1193" s="16"/>
      <c r="I1193" s="16"/>
      <c r="J1193" s="17"/>
      <c r="K1193" s="21"/>
      <c r="L1193" s="16"/>
      <c r="M1193" s="16"/>
      <c r="N1193" s="17"/>
      <c r="O1193" s="21"/>
      <c r="P1193" s="16"/>
      <c r="Q1193" s="16"/>
      <c r="R1193" s="16"/>
      <c r="S1193" s="16"/>
      <c r="T1193" s="16"/>
      <c r="U1193" s="16"/>
      <c r="V1193" s="16"/>
      <c r="W1193" s="16"/>
      <c r="X1193" s="16"/>
      <c r="Y1193" s="16"/>
      <c r="Z1193" s="16"/>
      <c r="AA1193" s="16"/>
      <c r="AB1193" s="16"/>
      <c r="AC1193" s="16"/>
      <c r="AD1193" s="16"/>
      <c r="AE1193" s="16"/>
      <c r="AF1193" s="16"/>
      <c r="AG1193" s="16"/>
      <c r="AH1193" s="16"/>
      <c r="AI1193" s="16"/>
      <c r="AJ1193" s="16"/>
      <c r="AK1193" s="16"/>
      <c r="AL1193" s="16"/>
      <c r="AM1193" s="16"/>
      <c r="AN1193" s="16"/>
      <c r="AO1193" s="16"/>
      <c r="AP1193" s="16"/>
      <c r="AQ1193" s="16"/>
    </row>
    <row r="1194">
      <c r="A1194" s="22"/>
      <c r="B1194" s="21"/>
      <c r="C1194" s="16"/>
      <c r="D1194" s="16"/>
      <c r="E1194" s="17"/>
      <c r="F1194" s="21"/>
      <c r="G1194" s="16"/>
      <c r="H1194" s="16"/>
      <c r="I1194" s="16"/>
      <c r="J1194" s="17"/>
      <c r="K1194" s="21"/>
      <c r="L1194" s="16"/>
      <c r="M1194" s="16"/>
      <c r="N1194" s="17"/>
      <c r="O1194" s="21"/>
      <c r="P1194" s="16"/>
      <c r="Q1194" s="16"/>
      <c r="R1194" s="16"/>
      <c r="S1194" s="16"/>
      <c r="T1194" s="16"/>
      <c r="U1194" s="16"/>
      <c r="V1194" s="16"/>
      <c r="W1194" s="16"/>
      <c r="X1194" s="16"/>
      <c r="Y1194" s="16"/>
      <c r="Z1194" s="16"/>
      <c r="AA1194" s="16"/>
      <c r="AB1194" s="16"/>
      <c r="AC1194" s="16"/>
      <c r="AD1194" s="16"/>
      <c r="AE1194" s="16"/>
      <c r="AF1194" s="16"/>
      <c r="AG1194" s="16"/>
      <c r="AH1194" s="16"/>
      <c r="AI1194" s="16"/>
      <c r="AJ1194" s="16"/>
      <c r="AK1194" s="16"/>
      <c r="AL1194" s="16"/>
      <c r="AM1194" s="16"/>
      <c r="AN1194" s="16"/>
      <c r="AO1194" s="16"/>
      <c r="AP1194" s="16"/>
      <c r="AQ1194" s="16"/>
    </row>
    <row r="1195">
      <c r="A1195" s="22"/>
      <c r="B1195" s="21"/>
      <c r="C1195" s="16"/>
      <c r="D1195" s="16"/>
      <c r="E1195" s="17"/>
      <c r="F1195" s="21"/>
      <c r="G1195" s="16"/>
      <c r="H1195" s="16"/>
      <c r="I1195" s="16"/>
      <c r="J1195" s="17"/>
      <c r="K1195" s="21"/>
      <c r="L1195" s="16"/>
      <c r="M1195" s="16"/>
      <c r="N1195" s="17"/>
      <c r="O1195" s="21"/>
      <c r="P1195" s="16"/>
      <c r="Q1195" s="16"/>
      <c r="R1195" s="16"/>
      <c r="S1195" s="16"/>
      <c r="T1195" s="16"/>
      <c r="U1195" s="16"/>
      <c r="V1195" s="16"/>
      <c r="W1195" s="16"/>
      <c r="X1195" s="16"/>
      <c r="Y1195" s="16"/>
      <c r="Z1195" s="16"/>
      <c r="AA1195" s="16"/>
      <c r="AB1195" s="16"/>
      <c r="AC1195" s="16"/>
      <c r="AD1195" s="16"/>
      <c r="AE1195" s="16"/>
      <c r="AF1195" s="16"/>
      <c r="AG1195" s="16"/>
      <c r="AH1195" s="16"/>
      <c r="AI1195" s="16"/>
      <c r="AJ1195" s="16"/>
      <c r="AK1195" s="16"/>
      <c r="AL1195" s="16"/>
      <c r="AM1195" s="16"/>
      <c r="AN1195" s="16"/>
      <c r="AO1195" s="16"/>
      <c r="AP1195" s="16"/>
      <c r="AQ1195" s="16"/>
    </row>
    <row r="1196">
      <c r="A1196" s="22"/>
      <c r="B1196" s="21"/>
      <c r="C1196" s="16"/>
      <c r="D1196" s="16"/>
      <c r="E1196" s="17"/>
      <c r="F1196" s="21"/>
      <c r="G1196" s="16"/>
      <c r="H1196" s="16"/>
      <c r="I1196" s="16"/>
      <c r="J1196" s="17"/>
      <c r="K1196" s="21"/>
      <c r="L1196" s="16"/>
      <c r="M1196" s="16"/>
      <c r="N1196" s="17"/>
      <c r="O1196" s="21"/>
      <c r="P1196" s="16"/>
      <c r="Q1196" s="16"/>
      <c r="R1196" s="16"/>
      <c r="S1196" s="16"/>
      <c r="T1196" s="16"/>
      <c r="U1196" s="16"/>
      <c r="V1196" s="16"/>
      <c r="W1196" s="16"/>
      <c r="X1196" s="16"/>
      <c r="Y1196" s="16"/>
      <c r="Z1196" s="16"/>
      <c r="AA1196" s="16"/>
      <c r="AB1196" s="16"/>
      <c r="AC1196" s="16"/>
      <c r="AD1196" s="16"/>
      <c r="AE1196" s="16"/>
      <c r="AF1196" s="16"/>
      <c r="AG1196" s="16"/>
      <c r="AH1196" s="16"/>
      <c r="AI1196" s="16"/>
      <c r="AJ1196" s="16"/>
      <c r="AK1196" s="16"/>
      <c r="AL1196" s="16"/>
      <c r="AM1196" s="16"/>
      <c r="AN1196" s="16"/>
      <c r="AO1196" s="16"/>
      <c r="AP1196" s="16"/>
      <c r="AQ1196" s="16"/>
    </row>
    <row r="1197">
      <c r="A1197" s="22"/>
      <c r="B1197" s="21"/>
      <c r="C1197" s="16"/>
      <c r="D1197" s="16"/>
      <c r="E1197" s="17"/>
      <c r="F1197" s="21"/>
      <c r="G1197" s="16"/>
      <c r="H1197" s="16"/>
      <c r="I1197" s="16"/>
      <c r="J1197" s="17"/>
      <c r="K1197" s="21"/>
      <c r="L1197" s="16"/>
      <c r="M1197" s="16"/>
      <c r="N1197" s="17"/>
      <c r="O1197" s="21"/>
      <c r="P1197" s="16"/>
      <c r="Q1197" s="16"/>
      <c r="R1197" s="16"/>
      <c r="S1197" s="16"/>
      <c r="T1197" s="16"/>
      <c r="U1197" s="16"/>
      <c r="V1197" s="16"/>
      <c r="W1197" s="16"/>
      <c r="X1197" s="16"/>
      <c r="Y1197" s="16"/>
      <c r="Z1197" s="16"/>
      <c r="AA1197" s="16"/>
      <c r="AB1197" s="16"/>
      <c r="AC1197" s="16"/>
      <c r="AD1197" s="16"/>
      <c r="AE1197" s="16"/>
      <c r="AF1197" s="16"/>
      <c r="AG1197" s="16"/>
      <c r="AH1197" s="16"/>
      <c r="AI1197" s="16"/>
      <c r="AJ1197" s="16"/>
      <c r="AK1197" s="16"/>
      <c r="AL1197" s="16"/>
      <c r="AM1197" s="16"/>
      <c r="AN1197" s="16"/>
      <c r="AO1197" s="16"/>
      <c r="AP1197" s="16"/>
      <c r="AQ1197" s="16"/>
    </row>
    <row r="1198">
      <c r="A1198" s="22"/>
      <c r="B1198" s="21"/>
      <c r="C1198" s="16"/>
      <c r="D1198" s="16"/>
      <c r="E1198" s="17"/>
      <c r="F1198" s="21"/>
      <c r="G1198" s="16"/>
      <c r="H1198" s="16"/>
      <c r="I1198" s="16"/>
      <c r="J1198" s="17"/>
      <c r="K1198" s="21"/>
      <c r="L1198" s="16"/>
      <c r="M1198" s="16"/>
      <c r="N1198" s="17"/>
      <c r="O1198" s="21"/>
      <c r="P1198" s="16"/>
      <c r="Q1198" s="16"/>
      <c r="R1198" s="16"/>
      <c r="S1198" s="16"/>
      <c r="T1198" s="16"/>
      <c r="U1198" s="16"/>
      <c r="V1198" s="16"/>
      <c r="W1198" s="16"/>
      <c r="X1198" s="16"/>
      <c r="Y1198" s="16"/>
      <c r="Z1198" s="16"/>
      <c r="AA1198" s="16"/>
      <c r="AB1198" s="16"/>
      <c r="AC1198" s="16"/>
      <c r="AD1198" s="16"/>
      <c r="AE1198" s="16"/>
      <c r="AF1198" s="16"/>
      <c r="AG1198" s="16"/>
      <c r="AH1198" s="16"/>
      <c r="AI1198" s="16"/>
      <c r="AJ1198" s="16"/>
      <c r="AK1198" s="16"/>
      <c r="AL1198" s="16"/>
      <c r="AM1198" s="16"/>
      <c r="AN1198" s="16"/>
      <c r="AO1198" s="16"/>
      <c r="AP1198" s="16"/>
      <c r="AQ1198" s="16"/>
    </row>
    <row r="1199">
      <c r="A1199" s="22"/>
      <c r="B1199" s="21"/>
      <c r="C1199" s="16"/>
      <c r="D1199" s="16"/>
      <c r="E1199" s="17"/>
      <c r="F1199" s="21"/>
      <c r="G1199" s="16"/>
      <c r="H1199" s="16"/>
      <c r="I1199" s="16"/>
      <c r="J1199" s="17"/>
      <c r="K1199" s="21"/>
      <c r="L1199" s="16"/>
      <c r="M1199" s="16"/>
      <c r="N1199" s="17"/>
      <c r="O1199" s="21"/>
      <c r="P1199" s="16"/>
      <c r="Q1199" s="16"/>
      <c r="R1199" s="16"/>
      <c r="S1199" s="16"/>
      <c r="T1199" s="16"/>
      <c r="U1199" s="16"/>
      <c r="V1199" s="16"/>
      <c r="W1199" s="16"/>
      <c r="X1199" s="16"/>
      <c r="Y1199" s="16"/>
      <c r="Z1199" s="16"/>
      <c r="AA1199" s="16"/>
      <c r="AB1199" s="16"/>
      <c r="AC1199" s="16"/>
      <c r="AD1199" s="16"/>
      <c r="AE1199" s="16"/>
      <c r="AF1199" s="16"/>
      <c r="AG1199" s="16"/>
      <c r="AH1199" s="16"/>
      <c r="AI1199" s="16"/>
      <c r="AJ1199" s="16"/>
      <c r="AK1199" s="16"/>
      <c r="AL1199" s="16"/>
      <c r="AM1199" s="16"/>
      <c r="AN1199" s="16"/>
      <c r="AO1199" s="16"/>
      <c r="AP1199" s="16"/>
      <c r="AQ1199" s="16"/>
    </row>
    <row r="1200">
      <c r="A1200" s="22"/>
      <c r="B1200" s="21"/>
      <c r="C1200" s="16"/>
      <c r="D1200" s="16"/>
      <c r="E1200" s="17"/>
      <c r="F1200" s="21"/>
      <c r="G1200" s="16"/>
      <c r="H1200" s="16"/>
      <c r="I1200" s="16"/>
      <c r="J1200" s="17"/>
      <c r="K1200" s="21"/>
      <c r="L1200" s="16"/>
      <c r="M1200" s="16"/>
      <c r="N1200" s="17"/>
      <c r="O1200" s="21"/>
      <c r="P1200" s="16"/>
      <c r="Q1200" s="16"/>
      <c r="R1200" s="16"/>
      <c r="S1200" s="16"/>
      <c r="T1200" s="16"/>
      <c r="U1200" s="16"/>
      <c r="V1200" s="16"/>
      <c r="W1200" s="16"/>
      <c r="X1200" s="16"/>
      <c r="Y1200" s="16"/>
      <c r="Z1200" s="16"/>
      <c r="AA1200" s="16"/>
      <c r="AB1200" s="16"/>
      <c r="AC1200" s="16"/>
      <c r="AD1200" s="16"/>
      <c r="AE1200" s="16"/>
      <c r="AF1200" s="16"/>
      <c r="AG1200" s="16"/>
      <c r="AH1200" s="16"/>
      <c r="AI1200" s="16"/>
      <c r="AJ1200" s="16"/>
      <c r="AK1200" s="16"/>
      <c r="AL1200" s="16"/>
      <c r="AM1200" s="16"/>
      <c r="AN1200" s="16"/>
      <c r="AO1200" s="16"/>
      <c r="AP1200" s="16"/>
      <c r="AQ1200" s="16"/>
    </row>
    <row r="1201">
      <c r="A1201" s="22"/>
      <c r="B1201" s="21"/>
      <c r="C1201" s="16"/>
      <c r="D1201" s="16"/>
      <c r="E1201" s="17"/>
      <c r="F1201" s="21"/>
      <c r="G1201" s="16"/>
      <c r="H1201" s="16"/>
      <c r="I1201" s="16"/>
      <c r="J1201" s="17"/>
      <c r="K1201" s="21"/>
      <c r="L1201" s="16"/>
      <c r="M1201" s="16"/>
      <c r="N1201" s="17"/>
      <c r="O1201" s="21"/>
      <c r="P1201" s="16"/>
      <c r="Q1201" s="16"/>
      <c r="R1201" s="16"/>
      <c r="S1201" s="16"/>
      <c r="T1201" s="16"/>
      <c r="U1201" s="16"/>
      <c r="V1201" s="16"/>
      <c r="W1201" s="16"/>
      <c r="X1201" s="16"/>
      <c r="Y1201" s="16"/>
      <c r="Z1201" s="16"/>
      <c r="AA1201" s="16"/>
      <c r="AB1201" s="16"/>
      <c r="AC1201" s="16"/>
      <c r="AD1201" s="16"/>
      <c r="AE1201" s="16"/>
      <c r="AF1201" s="16"/>
      <c r="AG1201" s="16"/>
      <c r="AH1201" s="16"/>
      <c r="AI1201" s="16"/>
      <c r="AJ1201" s="16"/>
      <c r="AK1201" s="16"/>
      <c r="AL1201" s="16"/>
      <c r="AM1201" s="16"/>
      <c r="AN1201" s="16"/>
      <c r="AO1201" s="16"/>
      <c r="AP1201" s="16"/>
      <c r="AQ1201" s="16"/>
    </row>
    <row r="1202">
      <c r="A1202" s="22"/>
      <c r="B1202" s="21"/>
      <c r="C1202" s="16"/>
      <c r="D1202" s="16"/>
      <c r="E1202" s="17"/>
      <c r="F1202" s="21"/>
      <c r="G1202" s="16"/>
      <c r="H1202" s="16"/>
      <c r="I1202" s="16"/>
      <c r="J1202" s="17"/>
      <c r="K1202" s="21"/>
      <c r="L1202" s="16"/>
      <c r="M1202" s="16"/>
      <c r="N1202" s="17"/>
      <c r="O1202" s="21"/>
      <c r="P1202" s="16"/>
      <c r="Q1202" s="16"/>
      <c r="R1202" s="16"/>
      <c r="S1202" s="16"/>
      <c r="T1202" s="16"/>
      <c r="U1202" s="16"/>
      <c r="V1202" s="16"/>
      <c r="W1202" s="16"/>
      <c r="X1202" s="16"/>
      <c r="Y1202" s="16"/>
      <c r="Z1202" s="16"/>
      <c r="AA1202" s="16"/>
      <c r="AB1202" s="16"/>
      <c r="AC1202" s="16"/>
      <c r="AD1202" s="16"/>
      <c r="AE1202" s="16"/>
      <c r="AF1202" s="16"/>
      <c r="AG1202" s="16"/>
      <c r="AH1202" s="16"/>
      <c r="AI1202" s="16"/>
      <c r="AJ1202" s="16"/>
      <c r="AK1202" s="16"/>
      <c r="AL1202" s="16"/>
      <c r="AM1202" s="16"/>
      <c r="AN1202" s="16"/>
      <c r="AO1202" s="16"/>
      <c r="AP1202" s="16"/>
      <c r="AQ1202" s="16"/>
    </row>
    <row r="1203">
      <c r="A1203" s="22"/>
      <c r="B1203" s="21"/>
      <c r="C1203" s="16"/>
      <c r="D1203" s="16"/>
      <c r="E1203" s="17"/>
      <c r="F1203" s="21"/>
      <c r="G1203" s="16"/>
      <c r="H1203" s="16"/>
      <c r="I1203" s="16"/>
      <c r="J1203" s="17"/>
      <c r="K1203" s="21"/>
      <c r="L1203" s="16"/>
      <c r="M1203" s="16"/>
      <c r="N1203" s="17"/>
      <c r="O1203" s="21"/>
      <c r="P1203" s="16"/>
      <c r="Q1203" s="16"/>
      <c r="R1203" s="16"/>
      <c r="S1203" s="16"/>
      <c r="T1203" s="16"/>
      <c r="U1203" s="16"/>
      <c r="V1203" s="16"/>
      <c r="W1203" s="16"/>
      <c r="X1203" s="16"/>
      <c r="Y1203" s="16"/>
      <c r="Z1203" s="16"/>
      <c r="AA1203" s="16"/>
      <c r="AB1203" s="16"/>
      <c r="AC1203" s="16"/>
      <c r="AD1203" s="16"/>
      <c r="AE1203" s="16"/>
      <c r="AF1203" s="16"/>
      <c r="AG1203" s="16"/>
      <c r="AH1203" s="16"/>
      <c r="AI1203" s="16"/>
      <c r="AJ1203" s="16"/>
      <c r="AK1203" s="16"/>
      <c r="AL1203" s="16"/>
      <c r="AM1203" s="16"/>
      <c r="AN1203" s="16"/>
      <c r="AO1203" s="16"/>
      <c r="AP1203" s="16"/>
      <c r="AQ1203" s="16"/>
    </row>
    <row r="1204">
      <c r="A1204" s="22"/>
      <c r="B1204" s="21"/>
      <c r="C1204" s="16"/>
      <c r="D1204" s="16"/>
      <c r="E1204" s="17"/>
      <c r="F1204" s="21"/>
      <c r="G1204" s="16"/>
      <c r="H1204" s="16"/>
      <c r="I1204" s="16"/>
      <c r="J1204" s="17"/>
      <c r="K1204" s="21"/>
      <c r="L1204" s="16"/>
      <c r="M1204" s="16"/>
      <c r="N1204" s="17"/>
      <c r="O1204" s="21"/>
      <c r="P1204" s="16"/>
      <c r="Q1204" s="16"/>
      <c r="R1204" s="16"/>
      <c r="S1204" s="16"/>
      <c r="T1204" s="16"/>
      <c r="U1204" s="16"/>
      <c r="V1204" s="16"/>
      <c r="W1204" s="16"/>
      <c r="X1204" s="16"/>
      <c r="Y1204" s="16"/>
      <c r="Z1204" s="16"/>
      <c r="AA1204" s="16"/>
      <c r="AB1204" s="16"/>
      <c r="AC1204" s="16"/>
      <c r="AD1204" s="16"/>
      <c r="AE1204" s="16"/>
      <c r="AF1204" s="16"/>
      <c r="AG1204" s="16"/>
      <c r="AH1204" s="16"/>
      <c r="AI1204" s="16"/>
      <c r="AJ1204" s="16"/>
      <c r="AK1204" s="16"/>
      <c r="AL1204" s="16"/>
      <c r="AM1204" s="16"/>
      <c r="AN1204" s="16"/>
      <c r="AO1204" s="16"/>
      <c r="AP1204" s="16"/>
      <c r="AQ1204" s="16"/>
    </row>
    <row r="1205">
      <c r="A1205" s="22"/>
      <c r="B1205" s="21"/>
      <c r="C1205" s="16"/>
      <c r="D1205" s="16"/>
      <c r="E1205" s="17"/>
      <c r="F1205" s="21"/>
      <c r="G1205" s="16"/>
      <c r="H1205" s="16"/>
      <c r="I1205" s="16"/>
      <c r="J1205" s="17"/>
      <c r="K1205" s="21"/>
      <c r="L1205" s="16"/>
      <c r="M1205" s="16"/>
      <c r="N1205" s="17"/>
      <c r="O1205" s="21"/>
      <c r="P1205" s="16"/>
      <c r="Q1205" s="16"/>
      <c r="R1205" s="16"/>
      <c r="S1205" s="16"/>
      <c r="T1205" s="16"/>
      <c r="U1205" s="16"/>
      <c r="V1205" s="16"/>
      <c r="W1205" s="16"/>
      <c r="X1205" s="16"/>
      <c r="Y1205" s="16"/>
      <c r="Z1205" s="16"/>
      <c r="AA1205" s="16"/>
      <c r="AB1205" s="16"/>
      <c r="AC1205" s="16"/>
      <c r="AD1205" s="16"/>
      <c r="AE1205" s="16"/>
      <c r="AF1205" s="16"/>
      <c r="AG1205" s="16"/>
      <c r="AH1205" s="16"/>
      <c r="AI1205" s="16"/>
      <c r="AJ1205" s="16"/>
      <c r="AK1205" s="16"/>
      <c r="AL1205" s="16"/>
      <c r="AM1205" s="16"/>
      <c r="AN1205" s="16"/>
      <c r="AO1205" s="16"/>
      <c r="AP1205" s="16"/>
      <c r="AQ1205" s="16"/>
    </row>
    <row r="1206">
      <c r="A1206" s="22"/>
      <c r="B1206" s="21"/>
      <c r="C1206" s="16"/>
      <c r="D1206" s="16"/>
      <c r="E1206" s="17"/>
      <c r="F1206" s="21"/>
      <c r="G1206" s="16"/>
      <c r="H1206" s="16"/>
      <c r="I1206" s="16"/>
      <c r="J1206" s="17"/>
      <c r="K1206" s="21"/>
      <c r="L1206" s="16"/>
      <c r="M1206" s="16"/>
      <c r="N1206" s="17"/>
      <c r="O1206" s="21"/>
      <c r="P1206" s="16"/>
      <c r="Q1206" s="16"/>
      <c r="R1206" s="16"/>
      <c r="S1206" s="16"/>
      <c r="T1206" s="16"/>
      <c r="U1206" s="16"/>
      <c r="V1206" s="16"/>
      <c r="W1206" s="16"/>
      <c r="X1206" s="16"/>
      <c r="Y1206" s="16"/>
      <c r="Z1206" s="16"/>
      <c r="AA1206" s="16"/>
      <c r="AB1206" s="16"/>
      <c r="AC1206" s="16"/>
      <c r="AD1206" s="16"/>
      <c r="AE1206" s="16"/>
      <c r="AF1206" s="16"/>
      <c r="AG1206" s="16"/>
      <c r="AH1206" s="16"/>
      <c r="AI1206" s="16"/>
      <c r="AJ1206" s="16"/>
      <c r="AK1206" s="16"/>
      <c r="AL1206" s="16"/>
      <c r="AM1206" s="16"/>
      <c r="AN1206" s="16"/>
      <c r="AO1206" s="16"/>
      <c r="AP1206" s="16"/>
      <c r="AQ1206" s="16"/>
    </row>
    <row r="1207">
      <c r="A1207" s="22"/>
      <c r="B1207" s="21"/>
      <c r="C1207" s="16"/>
      <c r="D1207" s="16"/>
      <c r="E1207" s="17"/>
      <c r="F1207" s="21"/>
      <c r="G1207" s="16"/>
      <c r="H1207" s="16"/>
      <c r="I1207" s="16"/>
      <c r="J1207" s="17"/>
      <c r="K1207" s="21"/>
      <c r="L1207" s="16"/>
      <c r="M1207" s="16"/>
      <c r="N1207" s="17"/>
      <c r="O1207" s="21"/>
      <c r="P1207" s="16"/>
      <c r="Q1207" s="16"/>
      <c r="R1207" s="16"/>
      <c r="S1207" s="16"/>
      <c r="T1207" s="16"/>
      <c r="U1207" s="16"/>
      <c r="V1207" s="16"/>
      <c r="W1207" s="16"/>
      <c r="X1207" s="16"/>
      <c r="Y1207" s="16"/>
      <c r="Z1207" s="16"/>
      <c r="AA1207" s="16"/>
      <c r="AB1207" s="16"/>
      <c r="AC1207" s="16"/>
      <c r="AD1207" s="16"/>
      <c r="AE1207" s="16"/>
      <c r="AF1207" s="16"/>
      <c r="AG1207" s="16"/>
      <c r="AH1207" s="16"/>
      <c r="AI1207" s="16"/>
      <c r="AJ1207" s="16"/>
      <c r="AK1207" s="16"/>
      <c r="AL1207" s="16"/>
      <c r="AM1207" s="16"/>
      <c r="AN1207" s="16"/>
      <c r="AO1207" s="16"/>
      <c r="AP1207" s="16"/>
      <c r="AQ1207" s="16"/>
    </row>
    <row r="1208">
      <c r="A1208" s="22"/>
      <c r="B1208" s="21"/>
      <c r="C1208" s="16"/>
      <c r="D1208" s="16"/>
      <c r="E1208" s="17"/>
      <c r="F1208" s="21"/>
      <c r="G1208" s="16"/>
      <c r="H1208" s="16"/>
      <c r="I1208" s="16"/>
      <c r="J1208" s="17"/>
      <c r="K1208" s="21"/>
      <c r="L1208" s="16"/>
      <c r="M1208" s="16"/>
      <c r="N1208" s="17"/>
      <c r="O1208" s="21"/>
      <c r="P1208" s="16"/>
      <c r="Q1208" s="16"/>
      <c r="R1208" s="16"/>
      <c r="S1208" s="16"/>
      <c r="T1208" s="16"/>
      <c r="U1208" s="16"/>
      <c r="V1208" s="16"/>
      <c r="W1208" s="16"/>
      <c r="X1208" s="16"/>
      <c r="Y1208" s="16"/>
      <c r="Z1208" s="16"/>
      <c r="AA1208" s="16"/>
      <c r="AB1208" s="16"/>
      <c r="AC1208" s="16"/>
      <c r="AD1208" s="16"/>
      <c r="AE1208" s="16"/>
      <c r="AF1208" s="16"/>
      <c r="AG1208" s="16"/>
      <c r="AH1208" s="16"/>
      <c r="AI1208" s="16"/>
      <c r="AJ1208" s="16"/>
      <c r="AK1208" s="16"/>
      <c r="AL1208" s="16"/>
      <c r="AM1208" s="16"/>
      <c r="AN1208" s="16"/>
      <c r="AO1208" s="16"/>
      <c r="AP1208" s="16"/>
      <c r="AQ1208" s="16"/>
    </row>
    <row r="1209">
      <c r="A1209" s="22"/>
      <c r="B1209" s="21"/>
      <c r="C1209" s="16"/>
      <c r="D1209" s="16"/>
      <c r="E1209" s="17"/>
      <c r="F1209" s="21"/>
      <c r="G1209" s="16"/>
      <c r="H1209" s="16"/>
      <c r="I1209" s="16"/>
      <c r="J1209" s="17"/>
      <c r="K1209" s="21"/>
      <c r="L1209" s="16"/>
      <c r="M1209" s="16"/>
      <c r="N1209" s="17"/>
      <c r="O1209" s="21"/>
      <c r="P1209" s="16"/>
      <c r="Q1209" s="16"/>
      <c r="R1209" s="16"/>
      <c r="S1209" s="16"/>
      <c r="T1209" s="16"/>
      <c r="U1209" s="16"/>
      <c r="V1209" s="16"/>
      <c r="W1209" s="16"/>
      <c r="X1209" s="16"/>
      <c r="Y1209" s="16"/>
      <c r="Z1209" s="16"/>
      <c r="AA1209" s="16"/>
      <c r="AB1209" s="16"/>
      <c r="AC1209" s="16"/>
      <c r="AD1209" s="16"/>
      <c r="AE1209" s="16"/>
      <c r="AF1209" s="16"/>
      <c r="AG1209" s="16"/>
      <c r="AH1209" s="16"/>
      <c r="AI1209" s="16"/>
      <c r="AJ1209" s="16"/>
      <c r="AK1209" s="16"/>
      <c r="AL1209" s="16"/>
      <c r="AM1209" s="16"/>
      <c r="AN1209" s="16"/>
      <c r="AO1209" s="16"/>
      <c r="AP1209" s="16"/>
      <c r="AQ1209" s="16"/>
    </row>
    <row r="1210">
      <c r="A1210" s="22"/>
      <c r="B1210" s="21"/>
      <c r="C1210" s="16"/>
      <c r="D1210" s="16"/>
      <c r="E1210" s="17"/>
      <c r="F1210" s="21"/>
      <c r="G1210" s="16"/>
      <c r="H1210" s="16"/>
      <c r="I1210" s="16"/>
      <c r="J1210" s="17"/>
      <c r="K1210" s="21"/>
      <c r="L1210" s="16"/>
      <c r="M1210" s="16"/>
      <c r="N1210" s="17"/>
      <c r="O1210" s="21"/>
      <c r="P1210" s="16"/>
      <c r="Q1210" s="16"/>
      <c r="R1210" s="16"/>
      <c r="S1210" s="16"/>
      <c r="T1210" s="16"/>
      <c r="U1210" s="16"/>
      <c r="V1210" s="16"/>
      <c r="W1210" s="16"/>
      <c r="X1210" s="16"/>
      <c r="Y1210" s="16"/>
      <c r="Z1210" s="16"/>
      <c r="AA1210" s="16"/>
      <c r="AB1210" s="16"/>
      <c r="AC1210" s="16"/>
      <c r="AD1210" s="16"/>
      <c r="AE1210" s="16"/>
      <c r="AF1210" s="16"/>
      <c r="AG1210" s="16"/>
      <c r="AH1210" s="16"/>
      <c r="AI1210" s="16"/>
      <c r="AJ1210" s="16"/>
      <c r="AK1210" s="16"/>
      <c r="AL1210" s="16"/>
      <c r="AM1210" s="16"/>
      <c r="AN1210" s="16"/>
      <c r="AO1210" s="16"/>
      <c r="AP1210" s="16"/>
      <c r="AQ1210" s="16"/>
    </row>
    <row r="1211">
      <c r="A1211" s="22"/>
      <c r="B1211" s="21"/>
      <c r="C1211" s="16"/>
      <c r="D1211" s="16"/>
      <c r="E1211" s="17"/>
      <c r="F1211" s="21"/>
      <c r="G1211" s="16"/>
      <c r="H1211" s="16"/>
      <c r="I1211" s="16"/>
      <c r="J1211" s="17"/>
      <c r="K1211" s="21"/>
      <c r="L1211" s="16"/>
      <c r="M1211" s="16"/>
      <c r="N1211" s="17"/>
      <c r="O1211" s="21"/>
      <c r="P1211" s="16"/>
      <c r="Q1211" s="16"/>
      <c r="R1211" s="16"/>
      <c r="S1211" s="16"/>
      <c r="T1211" s="16"/>
      <c r="U1211" s="16"/>
      <c r="V1211" s="16"/>
      <c r="W1211" s="16"/>
      <c r="X1211" s="16"/>
      <c r="Y1211" s="16"/>
      <c r="Z1211" s="16"/>
      <c r="AA1211" s="16"/>
      <c r="AB1211" s="16"/>
      <c r="AC1211" s="16"/>
      <c r="AD1211" s="16"/>
      <c r="AE1211" s="16"/>
      <c r="AF1211" s="16"/>
      <c r="AG1211" s="16"/>
      <c r="AH1211" s="16"/>
      <c r="AI1211" s="16"/>
      <c r="AJ1211" s="16"/>
      <c r="AK1211" s="16"/>
      <c r="AL1211" s="16"/>
      <c r="AM1211" s="16"/>
      <c r="AN1211" s="16"/>
      <c r="AO1211" s="16"/>
      <c r="AP1211" s="16"/>
      <c r="AQ1211" s="16"/>
    </row>
  </sheetData>
  <mergeCells count="12">
    <mergeCell ref="AG1:AJ1"/>
    <mergeCell ref="AK1:AN1"/>
    <mergeCell ref="AO1:AR1"/>
    <mergeCell ref="AS1:AW1"/>
    <mergeCell ref="AX1:BA1"/>
    <mergeCell ref="B1:E1"/>
    <mergeCell ref="F1:J1"/>
    <mergeCell ref="K1:N1"/>
    <mergeCell ref="O1:S1"/>
    <mergeCell ref="T1:W1"/>
    <mergeCell ref="X1:AA1"/>
    <mergeCell ref="AB1:AF1"/>
  </mergeCells>
  <printOptions gridLines="1" horizontalCentered="1"/>
  <pageMargins bottom="0.75" footer="0.0" header="0.0" left="0.25" right="0.25" top="0.75"/>
  <pageSetup paperSize="3"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2.63" defaultRowHeight="15.75" outlineLevelRow="1"/>
  <cols>
    <col customWidth="1" min="1" max="1" width="44.13"/>
    <col customWidth="1" min="4" max="4" width="10.13"/>
    <col customWidth="1" min="5" max="5" width="12.5"/>
    <col customWidth="1" min="6" max="6" width="42.0"/>
    <col customWidth="1" min="7" max="58" width="6.25"/>
  </cols>
  <sheetData>
    <row r="1" ht="1.5" customHeight="1">
      <c r="A1" s="75"/>
      <c r="F1" s="76"/>
      <c r="G1" s="77" t="s">
        <v>260</v>
      </c>
      <c r="S1" s="77" t="s">
        <v>6</v>
      </c>
      <c r="AX1" s="78" t="s">
        <v>261</v>
      </c>
    </row>
    <row r="2" ht="1.5" customHeight="1">
      <c r="F2" s="76"/>
      <c r="G2" s="79" t="s">
        <v>262</v>
      </c>
      <c r="H2" s="79" t="s">
        <v>263</v>
      </c>
      <c r="I2" s="79" t="s">
        <v>264</v>
      </c>
      <c r="J2" s="79" t="s">
        <v>265</v>
      </c>
      <c r="K2" s="79" t="s">
        <v>266</v>
      </c>
      <c r="L2" s="79" t="s">
        <v>267</v>
      </c>
      <c r="M2" s="79" t="s">
        <v>268</v>
      </c>
      <c r="N2" s="79" t="s">
        <v>262</v>
      </c>
      <c r="O2" s="79" t="s">
        <v>263</v>
      </c>
      <c r="P2" s="79" t="s">
        <v>264</v>
      </c>
      <c r="Q2" s="79" t="s">
        <v>265</v>
      </c>
      <c r="R2" s="79" t="s">
        <v>266</v>
      </c>
      <c r="S2" s="79" t="s">
        <v>267</v>
      </c>
      <c r="T2" s="79" t="s">
        <v>268</v>
      </c>
      <c r="U2" s="79" t="s">
        <v>262</v>
      </c>
      <c r="V2" s="79" t="s">
        <v>263</v>
      </c>
      <c r="W2" s="79" t="s">
        <v>264</v>
      </c>
      <c r="X2" s="79" t="s">
        <v>265</v>
      </c>
      <c r="Y2" s="79" t="s">
        <v>266</v>
      </c>
      <c r="Z2" s="79" t="s">
        <v>267</v>
      </c>
      <c r="AA2" s="79" t="s">
        <v>268</v>
      </c>
      <c r="AB2" s="79" t="s">
        <v>262</v>
      </c>
      <c r="AC2" s="79" t="s">
        <v>263</v>
      </c>
      <c r="AD2" s="79" t="s">
        <v>264</v>
      </c>
      <c r="AE2" s="79" t="s">
        <v>265</v>
      </c>
      <c r="AF2" s="79" t="s">
        <v>266</v>
      </c>
      <c r="AG2" s="79" t="s">
        <v>267</v>
      </c>
      <c r="AH2" s="79" t="s">
        <v>268</v>
      </c>
      <c r="AI2" s="79" t="s">
        <v>262</v>
      </c>
      <c r="AJ2" s="79" t="s">
        <v>263</v>
      </c>
      <c r="AK2" s="79" t="s">
        <v>264</v>
      </c>
      <c r="AL2" s="79" t="s">
        <v>265</v>
      </c>
      <c r="AM2" s="79" t="s">
        <v>266</v>
      </c>
      <c r="AN2" s="79" t="s">
        <v>267</v>
      </c>
      <c r="AO2" s="79" t="s">
        <v>268</v>
      </c>
      <c r="AP2" s="79" t="s">
        <v>262</v>
      </c>
      <c r="AQ2" s="79" t="s">
        <v>263</v>
      </c>
      <c r="AR2" s="79" t="s">
        <v>264</v>
      </c>
      <c r="AS2" s="79" t="s">
        <v>265</v>
      </c>
      <c r="AT2" s="79" t="s">
        <v>266</v>
      </c>
      <c r="AU2" s="79" t="s">
        <v>267</v>
      </c>
      <c r="AV2" s="79" t="s">
        <v>268</v>
      </c>
      <c r="AW2" s="79" t="s">
        <v>262</v>
      </c>
      <c r="AX2" s="79" t="s">
        <v>263</v>
      </c>
      <c r="AY2" s="79" t="s">
        <v>264</v>
      </c>
      <c r="AZ2" s="79" t="s">
        <v>265</v>
      </c>
      <c r="BA2" s="79" t="s">
        <v>266</v>
      </c>
      <c r="BB2" s="79" t="s">
        <v>267</v>
      </c>
      <c r="BC2" s="79" t="s">
        <v>268</v>
      </c>
      <c r="BD2" s="79" t="s">
        <v>262</v>
      </c>
      <c r="BE2" s="79" t="s">
        <v>263</v>
      </c>
      <c r="BF2" s="79" t="s">
        <v>264</v>
      </c>
    </row>
    <row r="3" ht="1.5" customHeight="1">
      <c r="F3" s="76" t="s">
        <v>150</v>
      </c>
      <c r="G3" s="80">
        <v>20.0</v>
      </c>
      <c r="H3" s="80">
        <v>21.0</v>
      </c>
      <c r="I3" s="80">
        <v>22.0</v>
      </c>
      <c r="J3" s="80">
        <v>23.0</v>
      </c>
      <c r="K3" s="80">
        <v>24.0</v>
      </c>
      <c r="L3" s="80">
        <v>25.0</v>
      </c>
      <c r="M3" s="80">
        <v>26.0</v>
      </c>
      <c r="N3" s="80">
        <v>27.0</v>
      </c>
      <c r="O3" s="80">
        <v>28.0</v>
      </c>
      <c r="P3" s="80">
        <v>29.0</v>
      </c>
      <c r="Q3" s="80">
        <v>30.0</v>
      </c>
      <c r="R3" s="81">
        <v>31.0</v>
      </c>
      <c r="S3" s="80">
        <v>1.0</v>
      </c>
      <c r="T3" s="80">
        <v>2.0</v>
      </c>
      <c r="U3" s="80">
        <v>3.0</v>
      </c>
      <c r="V3" s="80">
        <v>4.0</v>
      </c>
      <c r="W3" s="80">
        <v>5.0</v>
      </c>
      <c r="X3" s="80">
        <v>6.0</v>
      </c>
      <c r="Y3" s="80">
        <v>7.0</v>
      </c>
      <c r="Z3" s="80">
        <v>8.0</v>
      </c>
      <c r="AA3" s="80">
        <v>9.0</v>
      </c>
      <c r="AB3" s="80">
        <v>10.0</v>
      </c>
      <c r="AC3" s="80">
        <v>11.0</v>
      </c>
      <c r="AD3" s="80">
        <v>12.0</v>
      </c>
      <c r="AE3" s="80">
        <v>13.0</v>
      </c>
      <c r="AF3" s="80">
        <v>14.0</v>
      </c>
      <c r="AG3" s="80">
        <v>15.0</v>
      </c>
      <c r="AH3" s="80">
        <v>16.0</v>
      </c>
      <c r="AI3" s="80">
        <v>17.0</v>
      </c>
      <c r="AJ3" s="80">
        <v>18.0</v>
      </c>
      <c r="AK3" s="80">
        <v>19.0</v>
      </c>
      <c r="AL3" s="80">
        <v>20.0</v>
      </c>
      <c r="AM3" s="80">
        <v>21.0</v>
      </c>
      <c r="AN3" s="80">
        <v>22.0</v>
      </c>
      <c r="AO3" s="80">
        <v>23.0</v>
      </c>
      <c r="AP3" s="80">
        <v>24.0</v>
      </c>
      <c r="AQ3" s="80">
        <v>25.0</v>
      </c>
      <c r="AR3" s="80">
        <v>26.0</v>
      </c>
      <c r="AS3" s="80">
        <v>27.0</v>
      </c>
      <c r="AT3" s="80">
        <v>28.0</v>
      </c>
      <c r="AU3" s="80">
        <v>29.0</v>
      </c>
      <c r="AV3" s="80">
        <v>30.0</v>
      </c>
      <c r="AW3" s="80">
        <v>31.0</v>
      </c>
      <c r="AX3" s="78">
        <v>1.0</v>
      </c>
      <c r="AY3" s="80">
        <v>2.0</v>
      </c>
      <c r="AZ3" s="80">
        <v>3.0</v>
      </c>
      <c r="BA3" s="80">
        <v>4.0</v>
      </c>
      <c r="BB3" s="80">
        <v>5.0</v>
      </c>
      <c r="BC3" s="80">
        <v>6.0</v>
      </c>
      <c r="BD3" s="80">
        <v>7.0</v>
      </c>
      <c r="BE3" s="80">
        <v>8.0</v>
      </c>
      <c r="BF3" s="80">
        <v>9.0</v>
      </c>
    </row>
    <row r="4" ht="1.5" customHeight="1">
      <c r="A4" s="82" t="s">
        <v>12</v>
      </c>
      <c r="B4" s="83"/>
      <c r="C4" s="83" t="s">
        <v>269</v>
      </c>
      <c r="D4" s="82" t="s">
        <v>270</v>
      </c>
      <c r="E4" s="82" t="s">
        <v>271</v>
      </c>
      <c r="F4" s="76" t="s">
        <v>272</v>
      </c>
      <c r="R4" s="84"/>
      <c r="AX4" s="85"/>
    </row>
    <row r="5">
      <c r="A5" s="86" t="s">
        <v>273</v>
      </c>
      <c r="F5" s="87" t="s">
        <v>274</v>
      </c>
      <c r="G5" s="88" t="s">
        <v>0</v>
      </c>
      <c r="H5" s="3"/>
      <c r="I5" s="3"/>
      <c r="J5" s="4"/>
      <c r="K5" s="88" t="s">
        <v>1</v>
      </c>
      <c r="L5" s="3"/>
      <c r="M5" s="3"/>
      <c r="N5" s="3"/>
      <c r="O5" s="4"/>
      <c r="P5" s="88" t="s">
        <v>2</v>
      </c>
      <c r="Q5" s="3"/>
      <c r="R5" s="3"/>
      <c r="S5" s="4"/>
      <c r="T5" s="88" t="s">
        <v>3</v>
      </c>
      <c r="U5" s="3"/>
      <c r="V5" s="3"/>
      <c r="W5" s="3"/>
      <c r="X5" s="4"/>
      <c r="Y5" s="89" t="s">
        <v>4</v>
      </c>
      <c r="Z5" s="3"/>
      <c r="AA5" s="3"/>
      <c r="AB5" s="4"/>
      <c r="AC5" s="88" t="s">
        <v>5</v>
      </c>
      <c r="AD5" s="3"/>
      <c r="AE5" s="3"/>
      <c r="AF5" s="4"/>
      <c r="AG5" s="89" t="s">
        <v>6</v>
      </c>
      <c r="AH5" s="3"/>
      <c r="AI5" s="3"/>
      <c r="AJ5" s="3"/>
      <c r="AK5" s="4"/>
      <c r="AL5" s="89" t="s">
        <v>7</v>
      </c>
      <c r="AM5" s="3"/>
      <c r="AN5" s="3"/>
      <c r="AO5" s="4"/>
      <c r="AP5" s="89" t="s">
        <v>8</v>
      </c>
      <c r="AQ5" s="3"/>
      <c r="AR5" s="3"/>
      <c r="AS5" s="4"/>
      <c r="AT5" s="89" t="s">
        <v>9</v>
      </c>
      <c r="AU5" s="3"/>
      <c r="AV5" s="3"/>
      <c r="AW5" s="4"/>
      <c r="AX5" s="89" t="s">
        <v>10</v>
      </c>
      <c r="AY5" s="3"/>
      <c r="AZ5" s="3"/>
      <c r="BA5" s="3"/>
      <c r="BB5" s="4"/>
      <c r="BC5" s="89" t="s">
        <v>11</v>
      </c>
      <c r="BD5" s="3"/>
      <c r="BE5" s="3"/>
      <c r="BF5" s="4"/>
    </row>
    <row r="6">
      <c r="A6" s="90" t="s">
        <v>275</v>
      </c>
      <c r="B6" s="91"/>
      <c r="C6" s="92">
        <v>45635.0</v>
      </c>
      <c r="D6" s="37" t="s">
        <v>276</v>
      </c>
      <c r="E6" s="37" t="s">
        <v>277</v>
      </c>
      <c r="F6" s="93"/>
      <c r="G6" s="94">
        <v>45842.0</v>
      </c>
      <c r="H6" s="95">
        <v>45849.0</v>
      </c>
      <c r="I6" s="96">
        <v>45856.0</v>
      </c>
      <c r="J6" s="95">
        <v>45863.0</v>
      </c>
      <c r="K6" s="94">
        <v>45870.0</v>
      </c>
      <c r="L6" s="95">
        <v>45877.0</v>
      </c>
      <c r="M6" s="96">
        <v>45884.0</v>
      </c>
      <c r="N6" s="95">
        <v>45891.0</v>
      </c>
      <c r="O6" s="97">
        <v>45898.0</v>
      </c>
      <c r="P6" s="95">
        <v>45905.0</v>
      </c>
      <c r="Q6" s="96">
        <v>45912.0</v>
      </c>
      <c r="R6" s="95">
        <v>45919.0</v>
      </c>
      <c r="S6" s="97">
        <v>45926.0</v>
      </c>
      <c r="T6" s="95">
        <v>45933.0</v>
      </c>
      <c r="U6" s="96">
        <v>45940.0</v>
      </c>
      <c r="V6" s="95">
        <v>45947.0</v>
      </c>
      <c r="W6" s="96">
        <v>45954.0</v>
      </c>
      <c r="X6" s="95">
        <v>45961.0</v>
      </c>
      <c r="Y6" s="96">
        <v>45968.0</v>
      </c>
      <c r="Z6" s="95">
        <v>45975.0</v>
      </c>
      <c r="AA6" s="96">
        <v>45982.0</v>
      </c>
      <c r="AB6" s="95">
        <v>45989.0</v>
      </c>
      <c r="AC6" s="94">
        <v>45996.0</v>
      </c>
      <c r="AD6" s="95">
        <v>46003.0</v>
      </c>
      <c r="AE6" s="96">
        <v>46011.0</v>
      </c>
      <c r="AF6" s="95">
        <v>46018.0</v>
      </c>
      <c r="AG6" s="96">
        <v>45663.0</v>
      </c>
      <c r="AH6" s="95">
        <v>46031.0</v>
      </c>
      <c r="AI6" s="96">
        <v>45668.0</v>
      </c>
      <c r="AJ6" s="95">
        <v>45675.0</v>
      </c>
      <c r="AK6" s="97">
        <v>45682.0</v>
      </c>
      <c r="AL6" s="97">
        <v>45689.0</v>
      </c>
      <c r="AM6" s="96">
        <v>45696.0</v>
      </c>
      <c r="AN6" s="95">
        <v>45710.0</v>
      </c>
      <c r="AO6" s="97">
        <v>46081.0</v>
      </c>
      <c r="AP6" s="97">
        <v>45717.0</v>
      </c>
      <c r="AQ6" s="96">
        <v>46089.0</v>
      </c>
      <c r="AR6" s="95">
        <v>46101.0</v>
      </c>
      <c r="AS6" s="97">
        <v>46108.0</v>
      </c>
      <c r="AT6" s="97">
        <v>46115.0</v>
      </c>
      <c r="AU6" s="96">
        <v>46122.0</v>
      </c>
      <c r="AV6" s="95">
        <v>46129.0</v>
      </c>
      <c r="AW6" s="97">
        <v>46136.0</v>
      </c>
      <c r="AX6" s="97">
        <v>46143.0</v>
      </c>
      <c r="AY6" s="96">
        <v>46150.0</v>
      </c>
      <c r="AZ6" s="95">
        <v>46157.0</v>
      </c>
      <c r="BA6" s="96">
        <v>46164.0</v>
      </c>
      <c r="BB6" s="95">
        <v>46171.0</v>
      </c>
      <c r="BC6" s="96">
        <v>46178.0</v>
      </c>
      <c r="BD6" s="95">
        <v>46185.0</v>
      </c>
      <c r="BE6" s="96">
        <v>46192.0</v>
      </c>
      <c r="BF6" s="95">
        <v>46199.0</v>
      </c>
    </row>
    <row r="7">
      <c r="A7" s="90" t="s">
        <v>278</v>
      </c>
      <c r="B7" s="91"/>
      <c r="C7" s="92">
        <v>45663.0</v>
      </c>
      <c r="D7" s="37" t="s">
        <v>276</v>
      </c>
      <c r="E7" s="37" t="s">
        <v>277</v>
      </c>
      <c r="F7" s="93"/>
      <c r="G7" s="13"/>
      <c r="J7" s="15"/>
      <c r="K7" s="13"/>
      <c r="O7" s="15"/>
      <c r="S7" s="15"/>
      <c r="T7" s="13"/>
      <c r="X7" s="15"/>
      <c r="AB7" s="15"/>
      <c r="AC7" s="13"/>
      <c r="AF7" s="15"/>
      <c r="AK7" s="15"/>
      <c r="AO7" s="15"/>
      <c r="AR7" s="98"/>
      <c r="AS7" s="99"/>
      <c r="AT7" s="98"/>
      <c r="AU7" s="98"/>
      <c r="AV7" s="98"/>
      <c r="AW7" s="99"/>
      <c r="AX7" s="98"/>
      <c r="AY7" s="98"/>
      <c r="AZ7" s="98"/>
      <c r="BA7" s="98"/>
      <c r="BB7" s="99"/>
      <c r="BC7" s="100"/>
      <c r="BD7" s="98"/>
      <c r="BE7" s="98"/>
      <c r="BF7" s="98"/>
    </row>
    <row r="8">
      <c r="A8" s="90" t="s">
        <v>279</v>
      </c>
      <c r="B8" s="91"/>
      <c r="C8" s="92">
        <v>45670.0</v>
      </c>
      <c r="D8" s="37" t="s">
        <v>280</v>
      </c>
      <c r="E8" s="37" t="s">
        <v>277</v>
      </c>
      <c r="F8" s="93"/>
      <c r="G8" s="13"/>
      <c r="J8" s="15"/>
      <c r="K8" s="13"/>
      <c r="O8" s="15"/>
      <c r="S8" s="15"/>
      <c r="T8" s="13"/>
      <c r="X8" s="15"/>
      <c r="AB8" s="15"/>
      <c r="AC8" s="13"/>
      <c r="AF8" s="15"/>
      <c r="AK8" s="15"/>
      <c r="AO8" s="15"/>
      <c r="AR8" s="98"/>
      <c r="AS8" s="99"/>
      <c r="AT8" s="98"/>
      <c r="AU8" s="98"/>
      <c r="AV8" s="98"/>
      <c r="AW8" s="99"/>
      <c r="AX8" s="98"/>
      <c r="AY8" s="98"/>
      <c r="AZ8" s="98"/>
      <c r="BA8" s="98"/>
      <c r="BB8" s="99"/>
      <c r="BC8" s="100"/>
      <c r="BD8" s="98"/>
      <c r="BE8" s="98"/>
      <c r="BF8" s="98"/>
    </row>
    <row r="9">
      <c r="A9" s="90" t="s">
        <v>281</v>
      </c>
      <c r="B9" s="91"/>
      <c r="C9" s="92">
        <v>45318.0</v>
      </c>
      <c r="D9" s="37" t="s">
        <v>280</v>
      </c>
      <c r="E9" s="37" t="s">
        <v>277</v>
      </c>
      <c r="F9" s="93"/>
      <c r="G9" s="13"/>
      <c r="J9" s="15"/>
      <c r="K9" s="13"/>
      <c r="O9" s="15"/>
      <c r="S9" s="15"/>
      <c r="T9" s="13"/>
      <c r="X9" s="15"/>
      <c r="AB9" s="15"/>
      <c r="AC9" s="13"/>
      <c r="AF9" s="15"/>
      <c r="AK9" s="15"/>
      <c r="AO9" s="15"/>
      <c r="AR9" s="98"/>
      <c r="AS9" s="99"/>
      <c r="AT9" s="98"/>
      <c r="AU9" s="98"/>
      <c r="AV9" s="98"/>
      <c r="AW9" s="99"/>
      <c r="AX9" s="98"/>
      <c r="AY9" s="98"/>
      <c r="AZ9" s="98"/>
      <c r="BA9" s="98"/>
      <c r="BB9" s="99"/>
      <c r="BC9" s="100"/>
      <c r="BD9" s="98"/>
      <c r="BE9" s="98"/>
      <c r="BF9" s="98"/>
    </row>
    <row r="10">
      <c r="A10" s="90" t="s">
        <v>282</v>
      </c>
      <c r="B10" s="91"/>
      <c r="C10" s="92">
        <v>45782.0</v>
      </c>
      <c r="D10" s="37" t="s">
        <v>280</v>
      </c>
      <c r="E10" s="37" t="s">
        <v>277</v>
      </c>
      <c r="F10" s="93"/>
      <c r="G10" s="13"/>
      <c r="J10" s="15"/>
      <c r="K10" s="13"/>
      <c r="O10" s="15"/>
      <c r="S10" s="15"/>
      <c r="T10" s="13"/>
      <c r="X10" s="15"/>
      <c r="AB10" s="15"/>
      <c r="AC10" s="13"/>
      <c r="AF10" s="15"/>
      <c r="AK10" s="15"/>
      <c r="AO10" s="15"/>
      <c r="AR10" s="98"/>
      <c r="AS10" s="99"/>
      <c r="AT10" s="98"/>
      <c r="AU10" s="98"/>
      <c r="AV10" s="98"/>
      <c r="AW10" s="99"/>
      <c r="AX10" s="98"/>
      <c r="AY10" s="98"/>
      <c r="AZ10" s="98"/>
      <c r="BA10" s="98"/>
      <c r="BB10" s="99"/>
      <c r="BC10" s="100"/>
      <c r="BD10" s="98"/>
      <c r="BE10" s="98"/>
      <c r="BF10" s="98"/>
    </row>
    <row r="11">
      <c r="A11" s="90" t="s">
        <v>283</v>
      </c>
      <c r="B11" s="91"/>
      <c r="C11" s="92">
        <v>45782.0</v>
      </c>
      <c r="D11" s="37" t="s">
        <v>280</v>
      </c>
      <c r="E11" s="37" t="s">
        <v>277</v>
      </c>
      <c r="F11" s="93"/>
      <c r="G11" s="13"/>
      <c r="J11" s="15"/>
      <c r="K11" s="13"/>
      <c r="O11" s="15"/>
      <c r="S11" s="15"/>
      <c r="T11" s="13"/>
      <c r="X11" s="15"/>
      <c r="AB11" s="15"/>
      <c r="AC11" s="13"/>
      <c r="AF11" s="15"/>
      <c r="AK11" s="15"/>
      <c r="AO11" s="15"/>
      <c r="AR11" s="98"/>
      <c r="AS11" s="99"/>
      <c r="AT11" s="98"/>
      <c r="AU11" s="98"/>
      <c r="AV11" s="98"/>
      <c r="AW11" s="99"/>
      <c r="AX11" s="98"/>
      <c r="AY11" s="98"/>
      <c r="AZ11" s="98"/>
      <c r="BA11" s="98"/>
      <c r="BB11" s="99"/>
      <c r="BC11" s="100"/>
      <c r="BD11" s="98"/>
      <c r="BE11" s="98"/>
      <c r="BF11" s="98"/>
    </row>
    <row r="12">
      <c r="A12" s="90" t="s">
        <v>284</v>
      </c>
      <c r="B12" s="91"/>
      <c r="C12" s="92">
        <v>45782.0</v>
      </c>
      <c r="D12" s="37" t="s">
        <v>280</v>
      </c>
      <c r="E12" s="37" t="s">
        <v>277</v>
      </c>
      <c r="F12" s="93"/>
      <c r="G12" s="13"/>
      <c r="J12" s="15"/>
      <c r="K12" s="13"/>
      <c r="O12" s="15"/>
      <c r="S12" s="15"/>
      <c r="T12" s="13"/>
      <c r="X12" s="15"/>
      <c r="AB12" s="15"/>
      <c r="AC12" s="13"/>
      <c r="AF12" s="15"/>
      <c r="AK12" s="15"/>
      <c r="AO12" s="15"/>
      <c r="AR12" s="98"/>
      <c r="AS12" s="99"/>
      <c r="AT12" s="98"/>
      <c r="AU12" s="98"/>
      <c r="AV12" s="98"/>
      <c r="AW12" s="99"/>
      <c r="AX12" s="98"/>
      <c r="AY12" s="98"/>
      <c r="AZ12" s="98"/>
      <c r="BA12" s="98"/>
      <c r="BB12" s="99"/>
      <c r="BC12" s="100"/>
      <c r="BD12" s="98"/>
      <c r="BE12" s="98"/>
      <c r="BF12" s="98"/>
    </row>
    <row r="13">
      <c r="A13" s="90" t="s">
        <v>285</v>
      </c>
      <c r="B13" s="91"/>
      <c r="C13" s="92">
        <v>45789.0</v>
      </c>
      <c r="D13" s="37" t="s">
        <v>280</v>
      </c>
      <c r="E13" s="37" t="s">
        <v>277</v>
      </c>
      <c r="F13" s="93"/>
      <c r="G13" s="13"/>
      <c r="J13" s="15"/>
      <c r="K13" s="13"/>
      <c r="O13" s="15"/>
      <c r="S13" s="15"/>
      <c r="T13" s="13"/>
      <c r="X13" s="15"/>
      <c r="AB13" s="15"/>
      <c r="AC13" s="13"/>
      <c r="AF13" s="15"/>
      <c r="AK13" s="15"/>
      <c r="AO13" s="15"/>
      <c r="AR13" s="98"/>
      <c r="AS13" s="99"/>
      <c r="AT13" s="98"/>
      <c r="AU13" s="98"/>
      <c r="AV13" s="98"/>
      <c r="AW13" s="99"/>
      <c r="AX13" s="98"/>
      <c r="AY13" s="98"/>
      <c r="AZ13" s="98"/>
      <c r="BA13" s="98"/>
      <c r="BB13" s="99"/>
      <c r="BC13" s="100"/>
      <c r="BD13" s="98"/>
      <c r="BE13" s="98"/>
      <c r="BF13" s="98"/>
    </row>
    <row r="14">
      <c r="A14" s="90" t="s">
        <v>286</v>
      </c>
      <c r="B14" s="91"/>
      <c r="C14" s="92">
        <v>45436.0</v>
      </c>
      <c r="D14" s="37" t="s">
        <v>280</v>
      </c>
      <c r="E14" s="37" t="s">
        <v>277</v>
      </c>
      <c r="F14" s="93"/>
      <c r="G14" s="13"/>
      <c r="J14" s="15"/>
      <c r="K14" s="13"/>
      <c r="O14" s="15"/>
      <c r="S14" s="15"/>
      <c r="T14" s="13"/>
      <c r="X14" s="15"/>
      <c r="AB14" s="15"/>
      <c r="AC14" s="13"/>
      <c r="AF14" s="15"/>
      <c r="AK14" s="15"/>
      <c r="AO14" s="15"/>
      <c r="AR14" s="98"/>
      <c r="AS14" s="99"/>
      <c r="AT14" s="98"/>
      <c r="AU14" s="98"/>
      <c r="AV14" s="98"/>
      <c r="AW14" s="99"/>
      <c r="AX14" s="98"/>
      <c r="AY14" s="98"/>
      <c r="AZ14" s="98"/>
      <c r="BA14" s="98"/>
      <c r="BB14" s="99"/>
      <c r="BC14" s="100"/>
      <c r="BD14" s="98"/>
      <c r="BE14" s="98"/>
      <c r="BF14" s="98"/>
    </row>
    <row r="15">
      <c r="A15" s="90" t="s">
        <v>287</v>
      </c>
      <c r="B15" s="91"/>
      <c r="C15" s="92">
        <v>45802.0</v>
      </c>
      <c r="D15" s="37" t="s">
        <v>280</v>
      </c>
      <c r="E15" s="37" t="s">
        <v>277</v>
      </c>
      <c r="F15" s="93"/>
      <c r="G15" s="13"/>
      <c r="J15" s="15"/>
      <c r="K15" s="13"/>
      <c r="O15" s="15"/>
      <c r="S15" s="15"/>
      <c r="T15" s="13"/>
      <c r="X15" s="15"/>
      <c r="AB15" s="15"/>
      <c r="AC15" s="13"/>
      <c r="AF15" s="15"/>
      <c r="AK15" s="15"/>
      <c r="AO15" s="15"/>
      <c r="AR15" s="98"/>
      <c r="AS15" s="99"/>
      <c r="AT15" s="98"/>
      <c r="AU15" s="98"/>
      <c r="AV15" s="98"/>
      <c r="AW15" s="99"/>
      <c r="AX15" s="98"/>
      <c r="AY15" s="98"/>
      <c r="AZ15" s="98"/>
      <c r="BA15" s="98"/>
      <c r="BB15" s="99"/>
      <c r="BC15" s="100"/>
      <c r="BD15" s="98"/>
      <c r="BE15" s="98"/>
      <c r="BF15" s="98"/>
    </row>
    <row r="16">
      <c r="A16" s="90" t="s">
        <v>288</v>
      </c>
      <c r="B16" s="91"/>
      <c r="C16" s="92">
        <v>45810.0</v>
      </c>
      <c r="D16" s="37" t="s">
        <v>280</v>
      </c>
      <c r="E16" s="37" t="s">
        <v>277</v>
      </c>
      <c r="F16" s="93"/>
      <c r="G16" s="13"/>
      <c r="J16" s="15"/>
      <c r="K16" s="13"/>
      <c r="O16" s="15"/>
      <c r="S16" s="15"/>
      <c r="T16" s="13"/>
      <c r="X16" s="15"/>
      <c r="AB16" s="15"/>
      <c r="AC16" s="13"/>
      <c r="AF16" s="15"/>
      <c r="AK16" s="15"/>
      <c r="AO16" s="15"/>
      <c r="AR16" s="98"/>
      <c r="AS16" s="99"/>
      <c r="AT16" s="98"/>
      <c r="AU16" s="98"/>
      <c r="AV16" s="98"/>
      <c r="AW16" s="99"/>
      <c r="AX16" s="98"/>
      <c r="AY16" s="98"/>
      <c r="AZ16" s="98"/>
      <c r="BA16" s="98"/>
      <c r="BB16" s="99"/>
      <c r="BC16" s="100"/>
      <c r="BD16" s="98"/>
      <c r="BE16" s="98"/>
      <c r="BF16" s="98"/>
    </row>
    <row r="17" collapsed="1">
      <c r="A17" s="90"/>
      <c r="B17" s="91"/>
      <c r="C17" s="92"/>
      <c r="D17" s="37"/>
      <c r="E17" s="37"/>
      <c r="F17" s="93"/>
      <c r="G17" s="13"/>
      <c r="J17" s="15"/>
      <c r="K17" s="13"/>
      <c r="O17" s="15"/>
      <c r="S17" s="15"/>
      <c r="T17" s="13"/>
      <c r="X17" s="15"/>
      <c r="AB17" s="15"/>
      <c r="AC17" s="13"/>
      <c r="AF17" s="15"/>
      <c r="AK17" s="15"/>
      <c r="AO17" s="15"/>
      <c r="AR17" s="98"/>
      <c r="AS17" s="99"/>
      <c r="AT17" s="98"/>
      <c r="AU17" s="98"/>
      <c r="AV17" s="98"/>
      <c r="AW17" s="99"/>
      <c r="AX17" s="98"/>
      <c r="AY17" s="98"/>
      <c r="AZ17" s="98"/>
      <c r="BA17" s="98"/>
      <c r="BB17" s="99"/>
      <c r="BC17" s="100"/>
      <c r="BD17" s="98"/>
      <c r="BE17" s="98"/>
      <c r="BF17" s="98"/>
    </row>
    <row r="18" hidden="1" outlineLevel="1">
      <c r="A18" s="101"/>
      <c r="C18" s="92"/>
      <c r="D18" s="69"/>
      <c r="E18" s="69"/>
      <c r="F18" s="28"/>
      <c r="G18" s="13"/>
      <c r="J18" s="15"/>
      <c r="K18" s="13"/>
      <c r="O18" s="15"/>
      <c r="S18" s="15"/>
      <c r="T18" s="13"/>
      <c r="X18" s="15"/>
      <c r="AB18" s="15"/>
      <c r="AC18" s="13"/>
      <c r="AF18" s="15"/>
      <c r="AK18" s="15"/>
      <c r="AO18" s="15"/>
      <c r="AR18" s="28"/>
      <c r="AS18" s="29"/>
      <c r="AT18" s="28"/>
      <c r="AU18" s="28"/>
      <c r="AV18" s="28"/>
      <c r="AW18" s="29"/>
      <c r="AX18" s="28"/>
      <c r="AY18" s="28"/>
      <c r="AZ18" s="28"/>
      <c r="BA18" s="28"/>
      <c r="BB18" s="29"/>
      <c r="BC18" s="30"/>
      <c r="BD18" s="28"/>
      <c r="BE18" s="28"/>
      <c r="BF18" s="28"/>
    </row>
    <row r="19" hidden="1" outlineLevel="1">
      <c r="A19" s="101"/>
      <c r="C19" s="92"/>
      <c r="D19" s="69"/>
      <c r="E19" s="69"/>
      <c r="F19" s="28"/>
      <c r="G19" s="13"/>
      <c r="J19" s="15"/>
      <c r="K19" s="13"/>
      <c r="O19" s="15"/>
      <c r="S19" s="15"/>
      <c r="T19" s="13"/>
      <c r="X19" s="15"/>
      <c r="AB19" s="15"/>
      <c r="AC19" s="13"/>
      <c r="AF19" s="15"/>
      <c r="AK19" s="15"/>
      <c r="AO19" s="15"/>
      <c r="AR19" s="28"/>
      <c r="AS19" s="29"/>
      <c r="AT19" s="28"/>
      <c r="AU19" s="28"/>
      <c r="AV19" s="28"/>
      <c r="AW19" s="29"/>
      <c r="AX19" s="28"/>
      <c r="AY19" s="28"/>
      <c r="AZ19" s="28"/>
      <c r="BA19" s="28"/>
      <c r="BB19" s="29"/>
      <c r="BC19" s="30"/>
      <c r="BD19" s="28"/>
      <c r="BE19" s="28"/>
      <c r="BF19" s="28"/>
    </row>
    <row r="20" hidden="1" outlineLevel="1">
      <c r="A20" s="101"/>
      <c r="C20" s="92"/>
      <c r="D20" s="69"/>
      <c r="E20" s="69"/>
      <c r="F20" s="28"/>
      <c r="G20" s="13"/>
      <c r="J20" s="15"/>
      <c r="K20" s="13"/>
      <c r="O20" s="15"/>
      <c r="S20" s="15"/>
      <c r="T20" s="13"/>
      <c r="X20" s="15"/>
      <c r="AB20" s="15"/>
      <c r="AC20" s="13"/>
      <c r="AF20" s="15"/>
      <c r="AK20" s="15"/>
      <c r="AO20" s="15"/>
      <c r="AR20" s="28"/>
      <c r="AS20" s="29"/>
      <c r="AT20" s="28"/>
      <c r="AU20" s="28"/>
      <c r="AV20" s="28"/>
      <c r="AW20" s="29"/>
      <c r="AX20" s="28"/>
      <c r="AY20" s="28"/>
      <c r="AZ20" s="28"/>
      <c r="BA20" s="28"/>
      <c r="BB20" s="29"/>
      <c r="BC20" s="30"/>
      <c r="BD20" s="28"/>
      <c r="BE20" s="28"/>
      <c r="BF20" s="28"/>
    </row>
    <row r="21" hidden="1" outlineLevel="1">
      <c r="A21" s="101"/>
      <c r="C21" s="92"/>
      <c r="D21" s="69"/>
      <c r="E21" s="69"/>
      <c r="F21" s="28"/>
      <c r="G21" s="13"/>
      <c r="J21" s="15"/>
      <c r="K21" s="13"/>
      <c r="O21" s="15"/>
      <c r="S21" s="15"/>
      <c r="T21" s="13"/>
      <c r="X21" s="15"/>
      <c r="AB21" s="15"/>
      <c r="AC21" s="13"/>
      <c r="AF21" s="15"/>
      <c r="AK21" s="15"/>
      <c r="AO21" s="15"/>
      <c r="AR21" s="28"/>
      <c r="AS21" s="29"/>
      <c r="AT21" s="28"/>
      <c r="AU21" s="28"/>
      <c r="AV21" s="28"/>
      <c r="AW21" s="29"/>
      <c r="AX21" s="28"/>
      <c r="AY21" s="28"/>
      <c r="AZ21" s="28"/>
      <c r="BA21" s="28"/>
      <c r="BB21" s="29"/>
      <c r="BC21" s="30"/>
      <c r="BD21" s="28"/>
      <c r="BE21" s="28"/>
      <c r="BF21" s="28"/>
    </row>
    <row r="22" hidden="1" outlineLevel="1">
      <c r="A22" s="101"/>
      <c r="C22" s="102"/>
      <c r="D22" s="69"/>
      <c r="E22" s="69"/>
      <c r="F22" s="28"/>
      <c r="G22" s="13"/>
      <c r="J22" s="15"/>
      <c r="K22" s="13"/>
      <c r="O22" s="15"/>
      <c r="S22" s="15"/>
      <c r="T22" s="13"/>
      <c r="X22" s="15"/>
      <c r="AB22" s="15"/>
      <c r="AC22" s="13"/>
      <c r="AF22" s="15"/>
      <c r="AK22" s="15"/>
      <c r="AO22" s="15"/>
      <c r="AR22" s="28"/>
      <c r="AS22" s="29"/>
      <c r="AT22" s="28"/>
      <c r="AU22" s="28"/>
      <c r="AV22" s="28"/>
      <c r="AW22" s="29"/>
      <c r="AX22" s="28"/>
      <c r="AY22" s="28"/>
      <c r="AZ22" s="28"/>
      <c r="BA22" s="28"/>
      <c r="BB22" s="29"/>
      <c r="BC22" s="30"/>
      <c r="BD22" s="28"/>
      <c r="BE22" s="28"/>
      <c r="BF22" s="28"/>
    </row>
    <row r="23" hidden="1" outlineLevel="1">
      <c r="A23" s="101"/>
      <c r="C23" s="102"/>
      <c r="D23" s="69"/>
      <c r="E23" s="69"/>
      <c r="F23" s="28"/>
      <c r="G23" s="13"/>
      <c r="J23" s="15"/>
      <c r="K23" s="13"/>
      <c r="O23" s="15"/>
      <c r="S23" s="15"/>
      <c r="T23" s="13"/>
      <c r="X23" s="15"/>
      <c r="AB23" s="15"/>
      <c r="AC23" s="13"/>
      <c r="AF23" s="15"/>
      <c r="AK23" s="15"/>
      <c r="AO23" s="15"/>
      <c r="AR23" s="28"/>
      <c r="AS23" s="29"/>
      <c r="AT23" s="28"/>
      <c r="AU23" s="28"/>
      <c r="AV23" s="28"/>
      <c r="AW23" s="29"/>
      <c r="AX23" s="28"/>
      <c r="AY23" s="28"/>
      <c r="AZ23" s="28"/>
      <c r="BA23" s="28"/>
      <c r="BB23" s="29"/>
      <c r="BC23" s="30"/>
      <c r="BD23" s="28"/>
      <c r="BE23" s="28"/>
      <c r="BF23" s="28"/>
    </row>
    <row r="24" hidden="1" outlineLevel="1">
      <c r="A24" s="101"/>
      <c r="C24" s="102"/>
      <c r="D24" s="69"/>
      <c r="E24" s="69"/>
      <c r="F24" s="28"/>
      <c r="G24" s="13"/>
      <c r="J24" s="15"/>
      <c r="K24" s="13"/>
      <c r="O24" s="15"/>
      <c r="S24" s="15"/>
      <c r="T24" s="13"/>
      <c r="X24" s="15"/>
      <c r="AB24" s="15"/>
      <c r="AC24" s="13"/>
      <c r="AF24" s="15"/>
      <c r="AK24" s="15"/>
      <c r="AO24" s="15"/>
      <c r="AR24" s="28"/>
      <c r="AS24" s="29"/>
      <c r="AT24" s="28"/>
      <c r="AU24" s="28"/>
      <c r="AV24" s="28"/>
      <c r="AW24" s="29"/>
      <c r="AX24" s="28"/>
      <c r="AY24" s="28"/>
      <c r="AZ24" s="28"/>
      <c r="BA24" s="28"/>
      <c r="BB24" s="29"/>
      <c r="BC24" s="30"/>
      <c r="BD24" s="28"/>
      <c r="BE24" s="28"/>
      <c r="BF24" s="28"/>
    </row>
    <row r="25" hidden="1" outlineLevel="1">
      <c r="A25" s="101"/>
      <c r="C25" s="102"/>
      <c r="D25" s="69"/>
      <c r="E25" s="69"/>
      <c r="F25" s="28"/>
      <c r="G25" s="13"/>
      <c r="J25" s="15"/>
      <c r="K25" s="13"/>
      <c r="O25" s="15"/>
      <c r="S25" s="15"/>
      <c r="T25" s="13"/>
      <c r="X25" s="15"/>
      <c r="AB25" s="15"/>
      <c r="AC25" s="13"/>
      <c r="AF25" s="15"/>
      <c r="AK25" s="15"/>
      <c r="AO25" s="15"/>
      <c r="AR25" s="28"/>
      <c r="AS25" s="29"/>
      <c r="AT25" s="28"/>
      <c r="AU25" s="28"/>
      <c r="AV25" s="28"/>
      <c r="AW25" s="29"/>
      <c r="AX25" s="28"/>
      <c r="AY25" s="28"/>
      <c r="AZ25" s="28"/>
      <c r="BA25" s="28"/>
      <c r="BB25" s="29"/>
      <c r="BC25" s="30"/>
      <c r="BD25" s="28"/>
      <c r="BE25" s="28"/>
      <c r="BF25" s="28"/>
    </row>
    <row r="26" hidden="1" outlineLevel="1">
      <c r="A26" s="69"/>
      <c r="C26" s="102"/>
      <c r="D26" s="69"/>
      <c r="E26" s="69"/>
      <c r="F26" s="28"/>
      <c r="G26" s="13"/>
      <c r="J26" s="15"/>
      <c r="K26" s="13"/>
      <c r="O26" s="15"/>
      <c r="S26" s="15"/>
      <c r="T26" s="13"/>
      <c r="X26" s="15"/>
      <c r="AB26" s="15"/>
      <c r="AC26" s="13"/>
      <c r="AF26" s="15"/>
      <c r="AK26" s="15"/>
      <c r="AO26" s="15"/>
      <c r="AR26" s="28"/>
      <c r="AS26" s="29"/>
      <c r="AT26" s="28"/>
      <c r="AU26" s="28"/>
      <c r="AV26" s="28"/>
      <c r="AW26" s="29"/>
      <c r="AX26" s="28"/>
      <c r="AY26" s="28"/>
      <c r="AZ26" s="28"/>
      <c r="BA26" s="28"/>
      <c r="BB26" s="29"/>
      <c r="BC26" s="30"/>
      <c r="BD26" s="28"/>
      <c r="BE26" s="28"/>
      <c r="BF26" s="28"/>
    </row>
    <row r="27" hidden="1" outlineLevel="1">
      <c r="A27" s="69"/>
      <c r="C27" s="102"/>
      <c r="D27" s="69"/>
      <c r="E27" s="69"/>
      <c r="F27" s="28"/>
      <c r="G27" s="13"/>
      <c r="J27" s="15"/>
      <c r="K27" s="13"/>
      <c r="O27" s="15"/>
      <c r="S27" s="15"/>
      <c r="T27" s="13"/>
      <c r="X27" s="15"/>
      <c r="AB27" s="15"/>
      <c r="AC27" s="13"/>
      <c r="AF27" s="15"/>
      <c r="AK27" s="15"/>
      <c r="AO27" s="15"/>
      <c r="AR27" s="28"/>
      <c r="AS27" s="29"/>
      <c r="AT27" s="28"/>
      <c r="AU27" s="28"/>
      <c r="AV27" s="28"/>
      <c r="AW27" s="29"/>
      <c r="AX27" s="28"/>
      <c r="AY27" s="28"/>
      <c r="AZ27" s="28"/>
      <c r="BA27" s="28"/>
      <c r="BB27" s="29"/>
      <c r="BC27" s="30"/>
      <c r="BD27" s="28"/>
      <c r="BE27" s="28"/>
      <c r="BF27" s="28"/>
    </row>
    <row r="28" hidden="1" outlineLevel="1">
      <c r="A28" s="69"/>
      <c r="C28" s="102"/>
      <c r="D28" s="69"/>
      <c r="E28" s="69"/>
      <c r="F28" s="28"/>
      <c r="G28" s="13"/>
      <c r="J28" s="15"/>
      <c r="K28" s="13"/>
      <c r="O28" s="15"/>
      <c r="S28" s="15"/>
      <c r="T28" s="13"/>
      <c r="X28" s="15"/>
      <c r="AB28" s="15"/>
      <c r="AC28" s="13"/>
      <c r="AF28" s="15"/>
      <c r="AK28" s="15"/>
      <c r="AO28" s="15"/>
      <c r="AR28" s="28"/>
      <c r="AS28" s="29"/>
      <c r="AT28" s="28"/>
      <c r="AU28" s="28"/>
      <c r="AV28" s="28"/>
      <c r="AW28" s="29"/>
      <c r="AX28" s="28"/>
      <c r="AY28" s="28"/>
      <c r="AZ28" s="28"/>
      <c r="BA28" s="28"/>
      <c r="BB28" s="29"/>
      <c r="BC28" s="30"/>
      <c r="BD28" s="28"/>
      <c r="BE28" s="28"/>
      <c r="BF28" s="28"/>
    </row>
    <row r="29" hidden="1" outlineLevel="1">
      <c r="A29" s="69"/>
      <c r="C29" s="102"/>
      <c r="D29" s="69"/>
      <c r="E29" s="69"/>
      <c r="F29" s="28"/>
      <c r="G29" s="13"/>
      <c r="J29" s="15"/>
      <c r="K29" s="13"/>
      <c r="O29" s="15"/>
      <c r="S29" s="15"/>
      <c r="T29" s="13"/>
      <c r="X29" s="15"/>
      <c r="AB29" s="15"/>
      <c r="AC29" s="13"/>
      <c r="AF29" s="15"/>
      <c r="AK29" s="15"/>
      <c r="AO29" s="15"/>
      <c r="AR29" s="28"/>
      <c r="AS29" s="29"/>
      <c r="AT29" s="28"/>
      <c r="AU29" s="28"/>
      <c r="AV29" s="28"/>
      <c r="AW29" s="29"/>
      <c r="AX29" s="28"/>
      <c r="AY29" s="28"/>
      <c r="AZ29" s="28"/>
      <c r="BA29" s="28"/>
      <c r="BB29" s="29"/>
      <c r="BC29" s="30"/>
      <c r="BD29" s="28"/>
      <c r="BE29" s="28"/>
      <c r="BF29" s="28"/>
    </row>
    <row r="30" hidden="1" outlineLevel="1">
      <c r="A30" s="69"/>
      <c r="C30" s="102"/>
      <c r="D30" s="69"/>
      <c r="E30" s="69"/>
      <c r="F30" s="28"/>
      <c r="G30" s="13"/>
      <c r="J30" s="15"/>
      <c r="K30" s="13"/>
      <c r="O30" s="15"/>
      <c r="S30" s="15"/>
      <c r="T30" s="13"/>
      <c r="X30" s="15"/>
      <c r="AB30" s="15"/>
      <c r="AC30" s="13"/>
      <c r="AF30" s="15"/>
      <c r="AK30" s="15"/>
      <c r="AO30" s="15"/>
      <c r="AR30" s="28"/>
      <c r="AS30" s="29"/>
      <c r="AT30" s="28"/>
      <c r="AU30" s="28"/>
      <c r="AV30" s="28"/>
      <c r="AW30" s="29"/>
      <c r="AX30" s="28"/>
      <c r="AY30" s="28"/>
      <c r="AZ30" s="28"/>
      <c r="BA30" s="28"/>
      <c r="BB30" s="29"/>
      <c r="BC30" s="30"/>
      <c r="BD30" s="28"/>
      <c r="BE30" s="28"/>
      <c r="BF30" s="28"/>
    </row>
    <row r="31" hidden="1" outlineLevel="1">
      <c r="A31" s="69"/>
      <c r="C31" s="102"/>
      <c r="D31" s="69"/>
      <c r="E31" s="69"/>
      <c r="F31" s="28"/>
      <c r="G31" s="13"/>
      <c r="J31" s="15"/>
      <c r="K31" s="13"/>
      <c r="O31" s="15"/>
      <c r="S31" s="15"/>
      <c r="T31" s="13"/>
      <c r="X31" s="15"/>
      <c r="AB31" s="15"/>
      <c r="AC31" s="13"/>
      <c r="AF31" s="15"/>
      <c r="AK31" s="15"/>
      <c r="AO31" s="15"/>
      <c r="AR31" s="28"/>
      <c r="AS31" s="29"/>
      <c r="AT31" s="28"/>
      <c r="AU31" s="28"/>
      <c r="AV31" s="28"/>
      <c r="AW31" s="29"/>
      <c r="AX31" s="28"/>
      <c r="AY31" s="28"/>
      <c r="AZ31" s="28"/>
      <c r="BA31" s="28"/>
      <c r="BB31" s="29"/>
      <c r="BC31" s="30"/>
      <c r="BD31" s="28"/>
      <c r="BE31" s="28"/>
      <c r="BF31" s="28"/>
    </row>
    <row r="32" hidden="1" outlineLevel="1">
      <c r="A32" s="69"/>
      <c r="C32" s="102"/>
      <c r="D32" s="69"/>
      <c r="E32" s="69"/>
      <c r="F32" s="28"/>
      <c r="G32" s="13"/>
      <c r="J32" s="15"/>
      <c r="K32" s="13"/>
      <c r="O32" s="15"/>
      <c r="S32" s="15"/>
      <c r="T32" s="13"/>
      <c r="X32" s="15"/>
      <c r="AB32" s="15"/>
      <c r="AC32" s="13"/>
      <c r="AF32" s="15"/>
      <c r="AK32" s="15"/>
      <c r="AO32" s="15"/>
      <c r="AR32" s="28"/>
      <c r="AS32" s="29"/>
      <c r="AT32" s="28"/>
      <c r="AU32" s="28"/>
      <c r="AV32" s="28"/>
      <c r="AW32" s="29"/>
      <c r="AX32" s="28"/>
      <c r="AY32" s="28"/>
      <c r="AZ32" s="28"/>
      <c r="BA32" s="28"/>
      <c r="BB32" s="29"/>
      <c r="BC32" s="30"/>
      <c r="BD32" s="28"/>
      <c r="BE32" s="28"/>
      <c r="BF32" s="28"/>
    </row>
    <row r="33" hidden="1" outlineLevel="1">
      <c r="A33" s="101"/>
      <c r="C33" s="102"/>
      <c r="D33" s="69"/>
      <c r="E33" s="69"/>
      <c r="F33" s="28"/>
      <c r="G33" s="13"/>
      <c r="J33" s="15"/>
      <c r="K33" s="13"/>
      <c r="O33" s="15"/>
      <c r="S33" s="15"/>
      <c r="T33" s="13"/>
      <c r="X33" s="15"/>
      <c r="AB33" s="15"/>
      <c r="AC33" s="13"/>
      <c r="AF33" s="15"/>
      <c r="AK33" s="15"/>
      <c r="AO33" s="15"/>
      <c r="AR33" s="28"/>
      <c r="AS33" s="29"/>
      <c r="AT33" s="28"/>
      <c r="AU33" s="28"/>
      <c r="AV33" s="28"/>
      <c r="AW33" s="29"/>
      <c r="AX33" s="28"/>
      <c r="AY33" s="28"/>
      <c r="AZ33" s="28"/>
      <c r="BA33" s="28"/>
      <c r="BB33" s="29"/>
      <c r="BC33" s="30"/>
      <c r="BD33" s="28"/>
      <c r="BE33" s="28"/>
      <c r="BF33" s="28"/>
    </row>
    <row r="34" hidden="1" outlineLevel="1">
      <c r="A34" s="101" t="s">
        <v>289</v>
      </c>
      <c r="C34" s="102"/>
      <c r="D34" s="69"/>
      <c r="E34" s="69"/>
      <c r="F34" s="28"/>
      <c r="G34" s="13"/>
      <c r="J34" s="15"/>
      <c r="K34" s="13"/>
      <c r="O34" s="15"/>
      <c r="S34" s="15"/>
      <c r="T34" s="13"/>
      <c r="X34" s="15"/>
      <c r="AB34" s="15"/>
      <c r="AC34" s="13"/>
      <c r="AF34" s="15"/>
      <c r="AK34" s="15"/>
      <c r="AO34" s="15"/>
      <c r="AR34" s="28"/>
      <c r="AS34" s="29"/>
      <c r="AT34" s="28"/>
      <c r="AU34" s="28"/>
      <c r="AV34" s="28"/>
      <c r="AW34" s="29"/>
      <c r="AX34" s="28"/>
      <c r="AY34" s="28"/>
      <c r="AZ34" s="28"/>
      <c r="BA34" s="28"/>
      <c r="BB34" s="29"/>
      <c r="BC34" s="30"/>
      <c r="BD34" s="28"/>
      <c r="BE34" s="28"/>
      <c r="BF34" s="28"/>
    </row>
    <row r="35" ht="47.25" customHeight="1">
      <c r="A35" s="103" t="s">
        <v>290</v>
      </c>
      <c r="G35" s="13"/>
      <c r="J35" s="15"/>
      <c r="K35" s="13"/>
      <c r="O35" s="15"/>
      <c r="S35" s="15"/>
      <c r="T35" s="13"/>
      <c r="X35" s="15"/>
      <c r="AB35" s="15"/>
      <c r="AC35" s="13"/>
      <c r="AF35" s="15"/>
      <c r="AK35" s="15"/>
      <c r="AO35" s="15"/>
      <c r="AR35" s="28"/>
      <c r="AS35" s="29"/>
      <c r="AT35" s="28"/>
      <c r="AU35" s="28"/>
      <c r="AV35" s="28"/>
      <c r="AW35" s="29"/>
      <c r="AX35" s="28"/>
      <c r="AY35" s="28"/>
      <c r="AZ35" s="28"/>
      <c r="BA35" s="28"/>
      <c r="BB35" s="29"/>
      <c r="BC35" s="30"/>
      <c r="BD35" s="28"/>
      <c r="BE35" s="28"/>
      <c r="BF35" s="28"/>
    </row>
    <row r="36" ht="15.75" customHeight="1">
      <c r="A36" s="104" t="s">
        <v>291</v>
      </c>
      <c r="B36" s="105"/>
      <c r="C36" s="105"/>
      <c r="D36" s="104"/>
      <c r="E36" s="104"/>
      <c r="F36" s="106"/>
      <c r="G36" s="13"/>
      <c r="J36" s="15"/>
      <c r="K36" s="13"/>
      <c r="O36" s="15"/>
      <c r="S36" s="15"/>
      <c r="T36" s="13"/>
      <c r="X36" s="15"/>
      <c r="AB36" s="15"/>
      <c r="AC36" s="13"/>
      <c r="AF36" s="15"/>
      <c r="AK36" s="15"/>
      <c r="AO36" s="15"/>
      <c r="AR36" s="28"/>
      <c r="AS36" s="29"/>
      <c r="AT36" s="28"/>
      <c r="AU36" s="28"/>
      <c r="AV36" s="28"/>
      <c r="AW36" s="29"/>
      <c r="AX36" s="28"/>
      <c r="AY36" s="28"/>
      <c r="AZ36" s="28"/>
      <c r="BA36" s="28"/>
      <c r="BB36" s="29"/>
      <c r="BC36" s="30"/>
      <c r="BD36" s="28"/>
      <c r="BE36" s="28"/>
      <c r="BF36" s="28"/>
    </row>
    <row r="37" ht="15.75" customHeight="1">
      <c r="A37" s="104" t="s">
        <v>12</v>
      </c>
      <c r="B37" s="105" t="s">
        <v>292</v>
      </c>
      <c r="C37" s="105" t="s">
        <v>293</v>
      </c>
      <c r="D37" s="104" t="s">
        <v>270</v>
      </c>
      <c r="E37" s="104" t="s">
        <v>271</v>
      </c>
      <c r="F37" s="106" t="s">
        <v>272</v>
      </c>
      <c r="G37" s="13"/>
      <c r="J37" s="15"/>
      <c r="K37" s="13"/>
      <c r="O37" s="15"/>
      <c r="S37" s="15"/>
      <c r="T37" s="13"/>
      <c r="X37" s="15"/>
      <c r="AB37" s="15"/>
      <c r="AC37" s="13"/>
      <c r="AF37" s="15"/>
      <c r="AK37" s="15"/>
      <c r="AO37" s="15"/>
      <c r="AR37" s="28"/>
      <c r="AS37" s="29"/>
      <c r="AT37" s="28"/>
      <c r="AU37" s="28"/>
      <c r="AV37" s="28"/>
      <c r="AW37" s="29"/>
      <c r="AX37" s="28"/>
      <c r="AY37" s="28"/>
      <c r="AZ37" s="28"/>
      <c r="BA37" s="28"/>
      <c r="BB37" s="29"/>
      <c r="BC37" s="30"/>
      <c r="BD37" s="28"/>
      <c r="BE37" s="28"/>
      <c r="BF37" s="28"/>
    </row>
    <row r="38">
      <c r="A38" s="107" t="s">
        <v>294</v>
      </c>
      <c r="G38" s="108"/>
      <c r="H38" s="98"/>
      <c r="I38" s="98"/>
      <c r="J38" s="99"/>
      <c r="K38" s="108"/>
      <c r="L38" s="98"/>
      <c r="M38" s="98"/>
      <c r="N38" s="98"/>
      <c r="O38" s="99"/>
      <c r="P38" s="108"/>
      <c r="Q38" s="98"/>
      <c r="R38" s="98"/>
      <c r="S38" s="99"/>
      <c r="T38" s="108"/>
      <c r="U38" s="98"/>
      <c r="V38" s="98"/>
      <c r="W38" s="98"/>
      <c r="X38" s="99"/>
      <c r="Y38" s="98"/>
      <c r="Z38" s="98"/>
      <c r="AA38" s="98"/>
      <c r="AB38" s="99"/>
      <c r="AC38" s="108"/>
      <c r="AD38" s="98"/>
      <c r="AE38" s="98"/>
      <c r="AF38" s="99"/>
      <c r="AG38" s="98"/>
      <c r="AH38" s="98"/>
      <c r="AI38" s="98"/>
      <c r="AJ38" s="98"/>
      <c r="AK38" s="99"/>
      <c r="AL38" s="98"/>
      <c r="AM38" s="98"/>
      <c r="AN38" s="98"/>
      <c r="AO38" s="99"/>
      <c r="AP38" s="98"/>
      <c r="AQ38" s="98"/>
      <c r="AR38" s="28"/>
      <c r="AS38" s="29"/>
      <c r="AT38" s="28"/>
      <c r="AU38" s="28"/>
      <c r="AV38" s="28"/>
      <c r="AW38" s="29"/>
      <c r="AX38" s="28"/>
      <c r="AY38" s="28"/>
      <c r="AZ38" s="28"/>
      <c r="BA38" s="28"/>
      <c r="BB38" s="29"/>
      <c r="BC38" s="30"/>
      <c r="BD38" s="28"/>
      <c r="BE38" s="28"/>
      <c r="BF38" s="28"/>
    </row>
    <row r="39">
      <c r="A39" s="109" t="s">
        <v>295</v>
      </c>
      <c r="B39" s="110">
        <v>45668.0</v>
      </c>
      <c r="C39" s="111">
        <v>45675.0</v>
      </c>
      <c r="D39" s="69" t="s">
        <v>296</v>
      </c>
      <c r="E39" s="37" t="s">
        <v>297</v>
      </c>
      <c r="F39" s="112" t="s">
        <v>298</v>
      </c>
      <c r="G39" s="108"/>
      <c r="H39" s="98"/>
      <c r="I39" s="98"/>
      <c r="J39" s="99"/>
      <c r="K39" s="108"/>
      <c r="L39" s="98"/>
      <c r="M39" s="98"/>
      <c r="N39" s="98"/>
      <c r="O39" s="99"/>
      <c r="P39" s="108"/>
      <c r="Q39" s="98"/>
      <c r="R39" s="98"/>
      <c r="S39" s="99"/>
      <c r="T39" s="108"/>
      <c r="U39" s="98"/>
      <c r="V39" s="98"/>
      <c r="W39" s="98"/>
      <c r="X39" s="99"/>
      <c r="Y39" s="98"/>
      <c r="Z39" s="98"/>
      <c r="AA39" s="98"/>
      <c r="AB39" s="99"/>
      <c r="AC39" s="108"/>
      <c r="AD39" s="98"/>
      <c r="AE39" s="98"/>
      <c r="AF39" s="99"/>
      <c r="AG39" s="98"/>
      <c r="AH39" s="98"/>
      <c r="AI39" s="113"/>
      <c r="AJ39" s="113"/>
      <c r="AK39" s="99"/>
      <c r="AL39" s="98"/>
      <c r="AM39" s="98"/>
      <c r="AN39" s="98"/>
      <c r="AO39" s="99"/>
      <c r="AP39" s="98"/>
      <c r="AQ39" s="98"/>
      <c r="AR39" s="28"/>
      <c r="AS39" s="29"/>
      <c r="AT39" s="28"/>
      <c r="AU39" s="28"/>
      <c r="AV39" s="28"/>
      <c r="AW39" s="29"/>
      <c r="AX39" s="28"/>
      <c r="AY39" s="28"/>
      <c r="AZ39" s="28"/>
      <c r="BA39" s="28"/>
      <c r="BB39" s="29"/>
      <c r="BC39" s="30"/>
      <c r="BD39" s="28"/>
      <c r="BE39" s="28"/>
      <c r="BF39" s="28"/>
    </row>
    <row r="40">
      <c r="A40" s="109" t="s">
        <v>299</v>
      </c>
      <c r="B40" s="110">
        <v>45668.0</v>
      </c>
      <c r="C40" s="111">
        <v>45675.0</v>
      </c>
      <c r="D40" s="69" t="s">
        <v>296</v>
      </c>
      <c r="E40" s="37" t="s">
        <v>300</v>
      </c>
      <c r="F40" s="114"/>
      <c r="G40" s="108"/>
      <c r="H40" s="98"/>
      <c r="I40" s="98"/>
      <c r="J40" s="99"/>
      <c r="K40" s="108"/>
      <c r="L40" s="98"/>
      <c r="M40" s="98"/>
      <c r="N40" s="98"/>
      <c r="O40" s="99"/>
      <c r="P40" s="108"/>
      <c r="Q40" s="98"/>
      <c r="R40" s="98"/>
      <c r="S40" s="99"/>
      <c r="T40" s="108"/>
      <c r="U40" s="98"/>
      <c r="V40" s="98"/>
      <c r="W40" s="98"/>
      <c r="X40" s="99"/>
      <c r="Y40" s="98"/>
      <c r="Z40" s="98"/>
      <c r="AA40" s="98"/>
      <c r="AB40" s="99"/>
      <c r="AC40" s="108"/>
      <c r="AD40" s="98"/>
      <c r="AE40" s="98"/>
      <c r="AF40" s="99"/>
      <c r="AG40" s="98"/>
      <c r="AH40" s="98"/>
      <c r="AI40" s="113"/>
      <c r="AJ40" s="113"/>
      <c r="AK40" s="99"/>
      <c r="AL40" s="98"/>
      <c r="AM40" s="98"/>
      <c r="AN40" s="98"/>
      <c r="AO40" s="99"/>
      <c r="AP40" s="98"/>
      <c r="AQ40" s="98"/>
      <c r="AR40" s="28"/>
      <c r="AS40" s="29"/>
      <c r="AT40" s="28"/>
      <c r="AU40" s="28"/>
      <c r="AV40" s="28"/>
      <c r="AW40" s="29"/>
      <c r="AX40" s="28"/>
      <c r="AY40" s="28"/>
      <c r="AZ40" s="28"/>
      <c r="BA40" s="28"/>
      <c r="BB40" s="29"/>
      <c r="BC40" s="30"/>
      <c r="BD40" s="28"/>
      <c r="BE40" s="28"/>
      <c r="BF40" s="28"/>
    </row>
    <row r="41">
      <c r="A41" s="115" t="s">
        <v>301</v>
      </c>
      <c r="B41" s="116">
        <v>45676.0</v>
      </c>
      <c r="C41" s="117">
        <v>45689.0</v>
      </c>
      <c r="D41" s="69" t="s">
        <v>296</v>
      </c>
      <c r="E41" s="37" t="s">
        <v>300</v>
      </c>
      <c r="F41" s="114"/>
      <c r="G41" s="108"/>
      <c r="H41" s="98"/>
      <c r="I41" s="98"/>
      <c r="J41" s="99"/>
      <c r="K41" s="108"/>
      <c r="L41" s="98"/>
      <c r="M41" s="98"/>
      <c r="N41" s="98"/>
      <c r="O41" s="99"/>
      <c r="P41" s="108"/>
      <c r="Q41" s="98"/>
      <c r="R41" s="98"/>
      <c r="S41" s="99"/>
      <c r="T41" s="108"/>
      <c r="U41" s="98"/>
      <c r="V41" s="98"/>
      <c r="W41" s="98"/>
      <c r="X41" s="99"/>
      <c r="Y41" s="98"/>
      <c r="Z41" s="98"/>
      <c r="AA41" s="98"/>
      <c r="AB41" s="99"/>
      <c r="AC41" s="108"/>
      <c r="AD41" s="98"/>
      <c r="AE41" s="98"/>
      <c r="AF41" s="99"/>
      <c r="AG41" s="98"/>
      <c r="AH41" s="98"/>
      <c r="AI41" s="98"/>
      <c r="AJ41" s="113"/>
      <c r="AK41" s="99"/>
      <c r="AL41" s="98"/>
      <c r="AM41" s="98"/>
      <c r="AN41" s="98"/>
      <c r="AO41" s="99"/>
      <c r="AP41" s="98"/>
      <c r="AQ41" s="98"/>
      <c r="AR41" s="28"/>
      <c r="AS41" s="29"/>
      <c r="AT41" s="28"/>
      <c r="AU41" s="28"/>
      <c r="AV41" s="28"/>
      <c r="AW41" s="29"/>
      <c r="AX41" s="28"/>
      <c r="AY41" s="28"/>
      <c r="AZ41" s="28"/>
      <c r="BA41" s="28"/>
      <c r="BB41" s="29"/>
      <c r="BC41" s="30"/>
      <c r="BD41" s="28"/>
      <c r="BE41" s="28"/>
      <c r="BF41" s="28"/>
    </row>
    <row r="42">
      <c r="A42" s="118" t="s">
        <v>302</v>
      </c>
      <c r="B42" s="110">
        <v>45690.0</v>
      </c>
      <c r="C42" s="111">
        <v>45710.0</v>
      </c>
      <c r="D42" s="69" t="s">
        <v>296</v>
      </c>
      <c r="E42" s="37" t="s">
        <v>300</v>
      </c>
      <c r="F42" s="114"/>
      <c r="G42" s="108"/>
      <c r="H42" s="98"/>
      <c r="I42" s="98"/>
      <c r="J42" s="99"/>
      <c r="K42" s="108"/>
      <c r="L42" s="98"/>
      <c r="M42" s="98"/>
      <c r="N42" s="98"/>
      <c r="O42" s="99"/>
      <c r="P42" s="108"/>
      <c r="Q42" s="98"/>
      <c r="R42" s="98"/>
      <c r="S42" s="99"/>
      <c r="T42" s="108"/>
      <c r="U42" s="98"/>
      <c r="V42" s="98"/>
      <c r="W42" s="98"/>
      <c r="X42" s="99"/>
      <c r="Y42" s="98"/>
      <c r="Z42" s="98"/>
      <c r="AA42" s="98"/>
      <c r="AB42" s="99"/>
      <c r="AC42" s="108"/>
      <c r="AD42" s="98"/>
      <c r="AE42" s="98"/>
      <c r="AF42" s="99"/>
      <c r="AG42" s="98"/>
      <c r="AH42" s="98"/>
      <c r="AI42" s="98"/>
      <c r="AJ42" s="113"/>
      <c r="AK42" s="119"/>
      <c r="AL42" s="98"/>
      <c r="AM42" s="98"/>
      <c r="AN42" s="98"/>
      <c r="AO42" s="99"/>
      <c r="AP42" s="98"/>
      <c r="AQ42" s="98"/>
      <c r="AR42" s="28"/>
      <c r="AS42" s="29"/>
      <c r="AT42" s="28"/>
      <c r="AU42" s="28"/>
      <c r="AV42" s="28"/>
      <c r="AW42" s="29"/>
      <c r="AX42" s="28"/>
      <c r="AY42" s="28"/>
      <c r="AZ42" s="28"/>
      <c r="BA42" s="28"/>
      <c r="BB42" s="29"/>
      <c r="BC42" s="30"/>
      <c r="BD42" s="28"/>
      <c r="BE42" s="28"/>
      <c r="BF42" s="28"/>
    </row>
    <row r="43">
      <c r="A43" s="109" t="s">
        <v>303</v>
      </c>
      <c r="B43" s="110">
        <v>45690.0</v>
      </c>
      <c r="C43" s="111">
        <v>45710.0</v>
      </c>
      <c r="D43" s="69" t="s">
        <v>296</v>
      </c>
      <c r="E43" s="37" t="s">
        <v>277</v>
      </c>
      <c r="F43" s="114"/>
      <c r="G43" s="108"/>
      <c r="H43" s="98"/>
      <c r="I43" s="98"/>
      <c r="J43" s="99"/>
      <c r="K43" s="108"/>
      <c r="L43" s="98"/>
      <c r="M43" s="98"/>
      <c r="N43" s="98"/>
      <c r="O43" s="99"/>
      <c r="P43" s="108"/>
      <c r="Q43" s="98"/>
      <c r="R43" s="98"/>
      <c r="S43" s="99"/>
      <c r="T43" s="108"/>
      <c r="U43" s="98"/>
      <c r="V43" s="98"/>
      <c r="W43" s="98"/>
      <c r="X43" s="99"/>
      <c r="Y43" s="98"/>
      <c r="Z43" s="98"/>
      <c r="AA43" s="98"/>
      <c r="AB43" s="99"/>
      <c r="AC43" s="108"/>
      <c r="AD43" s="98"/>
      <c r="AE43" s="98"/>
      <c r="AF43" s="99"/>
      <c r="AG43" s="98"/>
      <c r="AH43" s="98"/>
      <c r="AI43" s="98"/>
      <c r="AJ43" s="98"/>
      <c r="AK43" s="119"/>
      <c r="AL43" s="113"/>
      <c r="AM43" s="113"/>
      <c r="AN43" s="113"/>
      <c r="AO43" s="99"/>
      <c r="AP43" s="98"/>
      <c r="AQ43" s="98"/>
      <c r="AR43" s="28"/>
      <c r="AS43" s="29"/>
      <c r="AT43" s="28"/>
      <c r="AU43" s="28"/>
      <c r="AV43" s="28"/>
      <c r="AW43" s="29"/>
      <c r="AX43" s="28"/>
      <c r="AY43" s="28"/>
      <c r="AZ43" s="28"/>
      <c r="BA43" s="28"/>
      <c r="BB43" s="29"/>
      <c r="BC43" s="30"/>
      <c r="BD43" s="28"/>
      <c r="BE43" s="28"/>
      <c r="BF43" s="28"/>
    </row>
    <row r="44">
      <c r="A44" s="109" t="s">
        <v>304</v>
      </c>
      <c r="B44" s="110">
        <v>45690.0</v>
      </c>
      <c r="C44" s="111">
        <v>45710.0</v>
      </c>
      <c r="D44" s="69" t="s">
        <v>296</v>
      </c>
      <c r="E44" s="37" t="s">
        <v>277</v>
      </c>
      <c r="F44" s="112"/>
      <c r="G44" s="108"/>
      <c r="H44" s="98"/>
      <c r="I44" s="98"/>
      <c r="J44" s="99"/>
      <c r="K44" s="108"/>
      <c r="L44" s="98"/>
      <c r="M44" s="98"/>
      <c r="N44" s="98"/>
      <c r="O44" s="99"/>
      <c r="P44" s="108"/>
      <c r="Q44" s="98"/>
      <c r="R44" s="98"/>
      <c r="S44" s="99"/>
      <c r="T44" s="108"/>
      <c r="U44" s="98"/>
      <c r="V44" s="98"/>
      <c r="W44" s="98"/>
      <c r="X44" s="99"/>
      <c r="Y44" s="98"/>
      <c r="Z44" s="98"/>
      <c r="AA44" s="98"/>
      <c r="AB44" s="99"/>
      <c r="AC44" s="108"/>
      <c r="AD44" s="98"/>
      <c r="AE44" s="98"/>
      <c r="AF44" s="99"/>
      <c r="AG44" s="98"/>
      <c r="AH44" s="98"/>
      <c r="AI44" s="98"/>
      <c r="AJ44" s="98"/>
      <c r="AK44" s="119"/>
      <c r="AL44" s="113"/>
      <c r="AM44" s="113"/>
      <c r="AN44" s="113"/>
      <c r="AO44" s="99"/>
      <c r="AP44" s="98"/>
      <c r="AQ44" s="98"/>
      <c r="AR44" s="28"/>
      <c r="AS44" s="29"/>
      <c r="AT44" s="28"/>
      <c r="AU44" s="28"/>
      <c r="AV44" s="28"/>
      <c r="AW44" s="29"/>
      <c r="AX44" s="28"/>
      <c r="AY44" s="28"/>
      <c r="AZ44" s="28"/>
      <c r="BA44" s="28"/>
      <c r="BB44" s="29"/>
      <c r="BC44" s="30"/>
      <c r="BD44" s="28"/>
      <c r="BE44" s="28"/>
      <c r="BF44" s="28"/>
    </row>
    <row r="45">
      <c r="A45" s="109" t="s">
        <v>305</v>
      </c>
      <c r="B45" s="111">
        <v>45711.0</v>
      </c>
      <c r="C45" s="111">
        <v>45714.0</v>
      </c>
      <c r="D45" s="69" t="s">
        <v>296</v>
      </c>
      <c r="E45" s="37" t="s">
        <v>277</v>
      </c>
      <c r="F45" s="112"/>
      <c r="G45" s="108"/>
      <c r="H45" s="98"/>
      <c r="I45" s="98"/>
      <c r="J45" s="99"/>
      <c r="K45" s="108"/>
      <c r="L45" s="98"/>
      <c r="M45" s="98"/>
      <c r="N45" s="98"/>
      <c r="O45" s="99"/>
      <c r="P45" s="108"/>
      <c r="Q45" s="98"/>
      <c r="R45" s="98"/>
      <c r="S45" s="99"/>
      <c r="T45" s="108"/>
      <c r="U45" s="98"/>
      <c r="V45" s="98"/>
      <c r="W45" s="98"/>
      <c r="X45" s="99"/>
      <c r="Y45" s="98"/>
      <c r="Z45" s="98"/>
      <c r="AA45" s="98"/>
      <c r="AB45" s="99"/>
      <c r="AC45" s="108"/>
      <c r="AD45" s="98"/>
      <c r="AE45" s="98"/>
      <c r="AF45" s="99"/>
      <c r="AG45" s="98"/>
      <c r="AH45" s="98"/>
      <c r="AI45" s="98"/>
      <c r="AJ45" s="98"/>
      <c r="AK45" s="99"/>
      <c r="AL45" s="98"/>
      <c r="AM45" s="113"/>
      <c r="AN45" s="113"/>
      <c r="AO45" s="99"/>
      <c r="AP45" s="98"/>
      <c r="AQ45" s="98"/>
      <c r="AR45" s="28"/>
      <c r="AS45" s="29"/>
      <c r="AT45" s="28"/>
      <c r="AU45" s="28"/>
      <c r="AV45" s="28"/>
      <c r="AW45" s="29"/>
      <c r="AX45" s="28"/>
      <c r="AY45" s="28"/>
      <c r="AZ45" s="28"/>
      <c r="BA45" s="28"/>
      <c r="BB45" s="29"/>
      <c r="BC45" s="30"/>
      <c r="BD45" s="28"/>
      <c r="BE45" s="28"/>
      <c r="BF45" s="28"/>
    </row>
    <row r="46">
      <c r="A46" s="109" t="s">
        <v>306</v>
      </c>
      <c r="B46" s="120"/>
      <c r="C46" s="120"/>
      <c r="D46" s="69" t="s">
        <v>296</v>
      </c>
      <c r="E46" s="37" t="s">
        <v>277</v>
      </c>
      <c r="F46" s="112"/>
      <c r="G46" s="108"/>
      <c r="H46" s="98"/>
      <c r="I46" s="98"/>
      <c r="J46" s="99"/>
      <c r="K46" s="108"/>
      <c r="L46" s="98"/>
      <c r="M46" s="98"/>
      <c r="N46" s="98"/>
      <c r="O46" s="99"/>
      <c r="P46" s="108"/>
      <c r="Q46" s="98"/>
      <c r="R46" s="98"/>
      <c r="S46" s="99"/>
      <c r="T46" s="108"/>
      <c r="U46" s="98"/>
      <c r="V46" s="98"/>
      <c r="W46" s="98"/>
      <c r="X46" s="99"/>
      <c r="Y46" s="98"/>
      <c r="Z46" s="98"/>
      <c r="AA46" s="98"/>
      <c r="AB46" s="99"/>
      <c r="AC46" s="108"/>
      <c r="AD46" s="98"/>
      <c r="AE46" s="98"/>
      <c r="AF46" s="99"/>
      <c r="AG46" s="98"/>
      <c r="AH46" s="98"/>
      <c r="AI46" s="98"/>
      <c r="AJ46" s="98"/>
      <c r="AK46" s="99"/>
      <c r="AL46" s="98"/>
      <c r="AM46" s="98"/>
      <c r="AN46" s="98"/>
      <c r="AO46" s="99"/>
      <c r="AP46" s="98"/>
      <c r="AQ46" s="98"/>
      <c r="AR46" s="28"/>
      <c r="AS46" s="29"/>
      <c r="AT46" s="28"/>
      <c r="AU46" s="28"/>
      <c r="AV46" s="28"/>
      <c r="AW46" s="29"/>
      <c r="AX46" s="28"/>
      <c r="AY46" s="28"/>
      <c r="AZ46" s="28"/>
      <c r="BA46" s="28"/>
      <c r="BB46" s="29"/>
      <c r="BC46" s="30"/>
      <c r="BD46" s="28"/>
      <c r="BE46" s="28"/>
      <c r="BF46" s="28"/>
    </row>
    <row r="47">
      <c r="A47" s="109" t="s">
        <v>307</v>
      </c>
      <c r="B47" s="111">
        <v>45714.0</v>
      </c>
      <c r="C47" s="111">
        <v>45717.0</v>
      </c>
      <c r="D47" s="69" t="s">
        <v>296</v>
      </c>
      <c r="E47" s="37" t="s">
        <v>277</v>
      </c>
      <c r="F47" s="112"/>
      <c r="G47" s="108"/>
      <c r="H47" s="98"/>
      <c r="I47" s="98"/>
      <c r="J47" s="99"/>
      <c r="K47" s="108"/>
      <c r="L47" s="98"/>
      <c r="M47" s="98"/>
      <c r="N47" s="98"/>
      <c r="O47" s="99"/>
      <c r="P47" s="108"/>
      <c r="Q47" s="98"/>
      <c r="R47" s="98"/>
      <c r="S47" s="99"/>
      <c r="T47" s="108"/>
      <c r="U47" s="98"/>
      <c r="V47" s="98"/>
      <c r="W47" s="98"/>
      <c r="X47" s="99"/>
      <c r="Y47" s="98"/>
      <c r="Z47" s="98"/>
      <c r="AA47" s="98"/>
      <c r="AB47" s="99"/>
      <c r="AC47" s="108"/>
      <c r="AD47" s="98"/>
      <c r="AE47" s="98"/>
      <c r="AF47" s="99"/>
      <c r="AG47" s="98"/>
      <c r="AH47" s="98"/>
      <c r="AI47" s="98"/>
      <c r="AJ47" s="98"/>
      <c r="AK47" s="99"/>
      <c r="AL47" s="98"/>
      <c r="AM47" s="98"/>
      <c r="AN47" s="98"/>
      <c r="AO47" s="119"/>
      <c r="AP47" s="98"/>
      <c r="AQ47" s="98"/>
      <c r="AR47" s="28"/>
      <c r="AS47" s="29"/>
      <c r="AT47" s="28"/>
      <c r="AU47" s="28"/>
      <c r="AV47" s="28"/>
      <c r="AW47" s="29"/>
      <c r="AX47" s="28"/>
      <c r="AY47" s="28"/>
      <c r="AZ47" s="28"/>
      <c r="BA47" s="28"/>
      <c r="BB47" s="29"/>
      <c r="BC47" s="30"/>
      <c r="BD47" s="28"/>
      <c r="BE47" s="28"/>
      <c r="BF47" s="28"/>
    </row>
    <row r="48">
      <c r="A48" s="109"/>
      <c r="B48" s="121"/>
      <c r="C48" s="121"/>
      <c r="D48" s="28"/>
      <c r="E48" s="122"/>
      <c r="F48" s="109"/>
      <c r="G48" s="108"/>
      <c r="H48" s="98"/>
      <c r="I48" s="98"/>
      <c r="J48" s="99"/>
      <c r="K48" s="108"/>
      <c r="L48" s="98"/>
      <c r="M48" s="98"/>
      <c r="N48" s="98"/>
      <c r="O48" s="99"/>
      <c r="P48" s="108"/>
      <c r="Q48" s="98"/>
      <c r="R48" s="98"/>
      <c r="S48" s="99"/>
      <c r="T48" s="108"/>
      <c r="U48" s="98"/>
      <c r="V48" s="98"/>
      <c r="W48" s="98"/>
      <c r="X48" s="99"/>
      <c r="Y48" s="98"/>
      <c r="Z48" s="98"/>
      <c r="AA48" s="98"/>
      <c r="AB48" s="99"/>
      <c r="AC48" s="108"/>
      <c r="AD48" s="98"/>
      <c r="AE48" s="98"/>
      <c r="AF48" s="99"/>
      <c r="AG48" s="98"/>
      <c r="AH48" s="98"/>
      <c r="AI48" s="98"/>
      <c r="AJ48" s="98"/>
      <c r="AK48" s="99"/>
      <c r="AL48" s="98"/>
      <c r="AM48" s="98"/>
      <c r="AN48" s="98"/>
      <c r="AO48" s="99"/>
      <c r="AP48" s="98"/>
      <c r="AQ48" s="98"/>
      <c r="AR48" s="28"/>
      <c r="AS48" s="29"/>
      <c r="AT48" s="28"/>
      <c r="AU48" s="28"/>
      <c r="AV48" s="28"/>
      <c r="AW48" s="29"/>
      <c r="AX48" s="28"/>
      <c r="AY48" s="28"/>
      <c r="AZ48" s="28"/>
      <c r="BA48" s="28"/>
      <c r="BB48" s="29"/>
      <c r="BC48" s="30"/>
      <c r="BD48" s="28"/>
      <c r="BE48" s="28"/>
      <c r="BF48" s="28"/>
    </row>
    <row r="49">
      <c r="A49" s="107" t="s">
        <v>308</v>
      </c>
      <c r="G49" s="108"/>
      <c r="H49" s="98"/>
      <c r="I49" s="98"/>
      <c r="J49" s="99"/>
      <c r="K49" s="108"/>
      <c r="L49" s="98"/>
      <c r="M49" s="98"/>
      <c r="N49" s="98"/>
      <c r="O49" s="99"/>
      <c r="P49" s="108"/>
      <c r="Q49" s="98"/>
      <c r="R49" s="98"/>
      <c r="S49" s="99"/>
      <c r="T49" s="108"/>
      <c r="U49" s="98"/>
      <c r="V49" s="98"/>
      <c r="W49" s="98"/>
      <c r="X49" s="99"/>
      <c r="Y49" s="98"/>
      <c r="Z49" s="98"/>
      <c r="AA49" s="98"/>
      <c r="AB49" s="99"/>
      <c r="AC49" s="108"/>
      <c r="AD49" s="98"/>
      <c r="AE49" s="98"/>
      <c r="AF49" s="99"/>
      <c r="AG49" s="98"/>
      <c r="AH49" s="98"/>
      <c r="AI49" s="98"/>
      <c r="AJ49" s="98"/>
      <c r="AK49" s="99"/>
      <c r="AL49" s="98"/>
      <c r="AM49" s="98"/>
      <c r="AN49" s="98"/>
      <c r="AO49" s="99"/>
      <c r="AP49" s="98"/>
      <c r="AQ49" s="98"/>
      <c r="AR49" s="28"/>
      <c r="AS49" s="29"/>
      <c r="AT49" s="28"/>
      <c r="AU49" s="28"/>
      <c r="AV49" s="28"/>
      <c r="AW49" s="29"/>
      <c r="AX49" s="28"/>
      <c r="AY49" s="28"/>
      <c r="AZ49" s="28"/>
      <c r="BA49" s="28"/>
      <c r="BB49" s="29"/>
      <c r="BC49" s="30"/>
      <c r="BD49" s="28"/>
      <c r="BE49" s="28"/>
      <c r="BF49" s="28"/>
    </row>
    <row r="50">
      <c r="A50" s="109" t="s">
        <v>309</v>
      </c>
      <c r="B50" s="123"/>
      <c r="C50" s="123"/>
      <c r="D50" s="98"/>
      <c r="E50" s="37" t="s">
        <v>297</v>
      </c>
      <c r="F50" s="114"/>
      <c r="G50" s="27"/>
      <c r="H50" s="28"/>
      <c r="I50" s="28"/>
      <c r="J50" s="29"/>
      <c r="K50" s="27"/>
      <c r="L50" s="28"/>
      <c r="M50" s="28"/>
      <c r="N50" s="28"/>
      <c r="O50" s="29"/>
      <c r="P50" s="27"/>
      <c r="Q50" s="28"/>
      <c r="R50" s="28"/>
      <c r="S50" s="29"/>
      <c r="T50" s="27"/>
      <c r="U50" s="28"/>
      <c r="V50" s="28"/>
      <c r="W50" s="28"/>
      <c r="X50" s="29"/>
      <c r="Y50" s="28"/>
      <c r="Z50" s="28"/>
      <c r="AA50" s="28"/>
      <c r="AB50" s="29"/>
      <c r="AC50" s="27"/>
      <c r="AD50" s="28"/>
      <c r="AE50" s="28"/>
      <c r="AF50" s="29"/>
      <c r="AG50" s="28"/>
      <c r="AH50" s="28"/>
      <c r="AI50" s="124"/>
      <c r="AJ50" s="28"/>
      <c r="AK50" s="29"/>
      <c r="AL50" s="28"/>
      <c r="AM50" s="28"/>
      <c r="AN50" s="28"/>
      <c r="AO50" s="29"/>
      <c r="AP50" s="28"/>
      <c r="AQ50" s="28"/>
      <c r="AR50" s="28"/>
      <c r="AS50" s="29"/>
      <c r="AT50" s="28"/>
      <c r="AU50" s="28"/>
      <c r="AV50" s="28"/>
      <c r="AW50" s="29"/>
      <c r="AX50" s="28"/>
      <c r="AY50" s="28"/>
      <c r="AZ50" s="28"/>
      <c r="BA50" s="28"/>
      <c r="BB50" s="29"/>
      <c r="BC50" s="30"/>
      <c r="BD50" s="28"/>
      <c r="BE50" s="28"/>
      <c r="BF50" s="28"/>
    </row>
    <row r="51">
      <c r="A51" s="109" t="s">
        <v>310</v>
      </c>
      <c r="B51" s="123"/>
      <c r="C51" s="123"/>
      <c r="D51" s="98"/>
      <c r="E51" s="37" t="s">
        <v>277</v>
      </c>
      <c r="F51" s="114"/>
      <c r="G51" s="27"/>
      <c r="H51" s="28"/>
      <c r="I51" s="28"/>
      <c r="J51" s="29"/>
      <c r="K51" s="27"/>
      <c r="L51" s="28"/>
      <c r="M51" s="28"/>
      <c r="N51" s="28"/>
      <c r="O51" s="29"/>
      <c r="P51" s="27"/>
      <c r="Q51" s="28"/>
      <c r="R51" s="28"/>
      <c r="S51" s="29"/>
      <c r="T51" s="27"/>
      <c r="U51" s="28"/>
      <c r="V51" s="28"/>
      <c r="W51" s="28"/>
      <c r="X51" s="29"/>
      <c r="Y51" s="28"/>
      <c r="Z51" s="28"/>
      <c r="AA51" s="28"/>
      <c r="AB51" s="29"/>
      <c r="AC51" s="27"/>
      <c r="AD51" s="28"/>
      <c r="AE51" s="28"/>
      <c r="AF51" s="29"/>
      <c r="AG51" s="28"/>
      <c r="AH51" s="28"/>
      <c r="AI51" s="124"/>
      <c r="AJ51" s="124"/>
      <c r="AK51" s="125"/>
      <c r="AL51" s="28"/>
      <c r="AM51" s="28"/>
      <c r="AN51" s="28"/>
      <c r="AO51" s="29"/>
      <c r="AP51" s="28"/>
      <c r="AQ51" s="28"/>
      <c r="AR51" s="28"/>
      <c r="AS51" s="29"/>
      <c r="AT51" s="28"/>
      <c r="AU51" s="28"/>
      <c r="AV51" s="28"/>
      <c r="AW51" s="29"/>
      <c r="AX51" s="28"/>
      <c r="AY51" s="28"/>
      <c r="AZ51" s="28"/>
      <c r="BA51" s="28"/>
      <c r="BB51" s="29"/>
      <c r="BC51" s="30"/>
      <c r="BD51" s="28"/>
      <c r="BE51" s="28"/>
      <c r="BF51" s="28"/>
    </row>
    <row r="52">
      <c r="A52" s="109" t="s">
        <v>311</v>
      </c>
      <c r="B52" s="123"/>
      <c r="C52" s="123"/>
      <c r="D52" s="28"/>
      <c r="E52" s="37" t="s">
        <v>297</v>
      </c>
      <c r="F52" s="112"/>
      <c r="G52" s="27"/>
      <c r="H52" s="28"/>
      <c r="I52" s="28"/>
      <c r="J52" s="29"/>
      <c r="K52" s="27"/>
      <c r="L52" s="28"/>
      <c r="M52" s="28"/>
      <c r="N52" s="28"/>
      <c r="O52" s="29"/>
      <c r="P52" s="27"/>
      <c r="Q52" s="28"/>
      <c r="R52" s="28"/>
      <c r="S52" s="29"/>
      <c r="T52" s="27"/>
      <c r="U52" s="28"/>
      <c r="V52" s="28"/>
      <c r="W52" s="28"/>
      <c r="X52" s="29"/>
      <c r="Y52" s="28"/>
      <c r="Z52" s="28"/>
      <c r="AA52" s="28"/>
      <c r="AB52" s="29"/>
      <c r="AC52" s="27"/>
      <c r="AD52" s="28"/>
      <c r="AE52" s="28"/>
      <c r="AF52" s="29"/>
      <c r="AG52" s="28"/>
      <c r="AH52" s="28"/>
      <c r="AI52" s="124"/>
      <c r="AJ52" s="28"/>
      <c r="AK52" s="29"/>
      <c r="AL52" s="28"/>
      <c r="AM52" s="28"/>
      <c r="AN52" s="28"/>
      <c r="AO52" s="29"/>
      <c r="AP52" s="28"/>
      <c r="AQ52" s="28"/>
      <c r="AR52" s="28"/>
      <c r="AS52" s="126"/>
      <c r="AT52" s="28"/>
      <c r="AU52" s="28"/>
      <c r="AV52" s="28"/>
      <c r="AW52" s="29"/>
      <c r="AX52" s="28"/>
      <c r="AY52" s="28"/>
      <c r="AZ52" s="28"/>
      <c r="BA52" s="28"/>
      <c r="BB52" s="29"/>
      <c r="BC52" s="30"/>
      <c r="BD52" s="28"/>
      <c r="BE52" s="28"/>
      <c r="BF52" s="28"/>
    </row>
    <row r="53">
      <c r="A53" s="109" t="s">
        <v>312</v>
      </c>
      <c r="B53" s="120"/>
      <c r="C53" s="120"/>
      <c r="D53" s="98"/>
      <c r="E53" s="37" t="s">
        <v>277</v>
      </c>
      <c r="F53" s="112"/>
      <c r="G53" s="27"/>
      <c r="H53" s="28"/>
      <c r="I53" s="28"/>
      <c r="J53" s="29"/>
      <c r="K53" s="27"/>
      <c r="L53" s="28"/>
      <c r="M53" s="28"/>
      <c r="N53" s="28"/>
      <c r="O53" s="29"/>
      <c r="P53" s="27"/>
      <c r="Q53" s="28"/>
      <c r="R53" s="28"/>
      <c r="S53" s="29"/>
      <c r="T53" s="27"/>
      <c r="U53" s="28"/>
      <c r="V53" s="28"/>
      <c r="W53" s="28"/>
      <c r="X53" s="29"/>
      <c r="Y53" s="28"/>
      <c r="Z53" s="28"/>
      <c r="AA53" s="28"/>
      <c r="AB53" s="29"/>
      <c r="AC53" s="27"/>
      <c r="AD53" s="28"/>
      <c r="AE53" s="28"/>
      <c r="AF53" s="29"/>
      <c r="AG53" s="28"/>
      <c r="AH53" s="28"/>
      <c r="AI53" s="28"/>
      <c r="AJ53" s="124"/>
      <c r="AK53" s="29"/>
      <c r="AL53" s="28"/>
      <c r="AM53" s="28"/>
      <c r="AN53" s="28"/>
      <c r="AO53" s="29"/>
      <c r="AP53" s="28"/>
      <c r="AQ53" s="28"/>
      <c r="AR53" s="28"/>
      <c r="AS53" s="29"/>
      <c r="AT53" s="28"/>
      <c r="AU53" s="28"/>
      <c r="AV53" s="28"/>
      <c r="AW53" s="29"/>
      <c r="AX53" s="28"/>
      <c r="AY53" s="28"/>
      <c r="AZ53" s="28"/>
      <c r="BA53" s="28"/>
      <c r="BB53" s="29"/>
      <c r="BC53" s="30"/>
      <c r="BD53" s="28"/>
      <c r="BE53" s="28"/>
      <c r="BF53" s="28"/>
    </row>
    <row r="54">
      <c r="A54" s="109" t="s">
        <v>313</v>
      </c>
      <c r="B54" s="123"/>
      <c r="C54" s="120"/>
      <c r="D54" s="28"/>
      <c r="E54" s="37" t="s">
        <v>277</v>
      </c>
      <c r="F54" s="114"/>
      <c r="G54" s="27"/>
      <c r="H54" s="28"/>
      <c r="I54" s="28"/>
      <c r="J54" s="29"/>
      <c r="K54" s="27"/>
      <c r="L54" s="28"/>
      <c r="M54" s="28"/>
      <c r="N54" s="28"/>
      <c r="O54" s="29"/>
      <c r="P54" s="27"/>
      <c r="Q54" s="28"/>
      <c r="R54" s="28"/>
      <c r="S54" s="29"/>
      <c r="T54" s="27"/>
      <c r="U54" s="28"/>
      <c r="V54" s="28"/>
      <c r="W54" s="28"/>
      <c r="X54" s="29"/>
      <c r="Y54" s="28"/>
      <c r="Z54" s="28"/>
      <c r="AA54" s="28"/>
      <c r="AB54" s="29"/>
      <c r="AC54" s="27"/>
      <c r="AD54" s="28"/>
      <c r="AE54" s="28"/>
      <c r="AF54" s="29"/>
      <c r="AG54" s="28"/>
      <c r="AH54" s="28"/>
      <c r="AI54" s="28"/>
      <c r="AJ54" s="28"/>
      <c r="AK54" s="126"/>
      <c r="AL54" s="124"/>
      <c r="AM54" s="28"/>
      <c r="AN54" s="28"/>
      <c r="AO54" s="29"/>
      <c r="AP54" s="28"/>
      <c r="AQ54" s="28"/>
      <c r="AR54" s="28"/>
      <c r="AS54" s="29"/>
      <c r="AT54" s="28"/>
      <c r="AU54" s="28"/>
      <c r="AV54" s="28"/>
      <c r="AW54" s="29"/>
      <c r="AX54" s="28"/>
      <c r="AY54" s="28"/>
      <c r="AZ54" s="28"/>
      <c r="BA54" s="28"/>
      <c r="BB54" s="29"/>
      <c r="BC54" s="30"/>
      <c r="BD54" s="28"/>
      <c r="BE54" s="28"/>
      <c r="BF54" s="28"/>
    </row>
    <row r="55">
      <c r="A55" s="109" t="s">
        <v>314</v>
      </c>
      <c r="B55" s="123"/>
      <c r="C55" s="120"/>
      <c r="D55" s="28"/>
      <c r="E55" s="37" t="s">
        <v>277</v>
      </c>
      <c r="F55" s="112"/>
      <c r="G55" s="27"/>
      <c r="H55" s="28"/>
      <c r="I55" s="28"/>
      <c r="J55" s="29"/>
      <c r="K55" s="27"/>
      <c r="L55" s="28"/>
      <c r="M55" s="28"/>
      <c r="N55" s="28"/>
      <c r="O55" s="29"/>
      <c r="P55" s="27"/>
      <c r="Q55" s="28"/>
      <c r="R55" s="28"/>
      <c r="S55" s="29"/>
      <c r="T55" s="27"/>
      <c r="U55" s="28"/>
      <c r="V55" s="28"/>
      <c r="W55" s="28"/>
      <c r="X55" s="29"/>
      <c r="Y55" s="28"/>
      <c r="Z55" s="28"/>
      <c r="AA55" s="28"/>
      <c r="AB55" s="29"/>
      <c r="AC55" s="27"/>
      <c r="AD55" s="28"/>
      <c r="AE55" s="28"/>
      <c r="AF55" s="29"/>
      <c r="AG55" s="28"/>
      <c r="AH55" s="28"/>
      <c r="AI55" s="28"/>
      <c r="AJ55" s="28"/>
      <c r="AK55" s="29"/>
      <c r="AL55" s="124"/>
      <c r="AM55" s="124"/>
      <c r="AN55" s="28"/>
      <c r="AO55" s="29"/>
      <c r="AP55" s="28"/>
      <c r="AQ55" s="28"/>
      <c r="AR55" s="28"/>
      <c r="AS55" s="29"/>
      <c r="AT55" s="28"/>
      <c r="AU55" s="28"/>
      <c r="AV55" s="28"/>
      <c r="AW55" s="29"/>
      <c r="AX55" s="28"/>
      <c r="AY55" s="28"/>
      <c r="AZ55" s="28"/>
      <c r="BA55" s="28"/>
      <c r="BB55" s="29"/>
      <c r="BC55" s="30"/>
      <c r="BD55" s="28"/>
      <c r="BE55" s="28"/>
      <c r="BF55" s="28"/>
    </row>
    <row r="56">
      <c r="A56" s="26" t="s">
        <v>315</v>
      </c>
      <c r="B56" s="123"/>
      <c r="C56" s="123"/>
      <c r="D56" s="98"/>
      <c r="E56" s="37" t="s">
        <v>277</v>
      </c>
      <c r="F56" s="114"/>
      <c r="G56" s="27"/>
      <c r="H56" s="28"/>
      <c r="I56" s="28"/>
      <c r="J56" s="29"/>
      <c r="K56" s="27"/>
      <c r="L56" s="28"/>
      <c r="M56" s="28"/>
      <c r="N56" s="28"/>
      <c r="O56" s="29"/>
      <c r="P56" s="27"/>
      <c r="Q56" s="28"/>
      <c r="R56" s="28"/>
      <c r="S56" s="29"/>
      <c r="T56" s="27"/>
      <c r="U56" s="28"/>
      <c r="V56" s="28"/>
      <c r="W56" s="28"/>
      <c r="X56" s="29"/>
      <c r="Y56" s="28"/>
      <c r="Z56" s="28"/>
      <c r="AA56" s="28"/>
      <c r="AB56" s="29"/>
      <c r="AC56" s="27"/>
      <c r="AD56" s="28"/>
      <c r="AE56" s="28"/>
      <c r="AF56" s="29"/>
      <c r="AG56" s="28"/>
      <c r="AH56" s="28"/>
      <c r="AI56" s="28"/>
      <c r="AJ56" s="28"/>
      <c r="AK56" s="127"/>
      <c r="AL56" s="28"/>
      <c r="AM56" s="28"/>
      <c r="AN56" s="28"/>
      <c r="AO56" s="29"/>
      <c r="AP56" s="28"/>
      <c r="AQ56" s="28"/>
      <c r="AR56" s="28"/>
      <c r="AS56" s="29"/>
      <c r="AT56" s="28"/>
      <c r="AU56" s="28"/>
      <c r="AV56" s="28"/>
      <c r="AW56" s="29"/>
      <c r="AX56" s="28"/>
      <c r="AY56" s="28"/>
      <c r="AZ56" s="28"/>
      <c r="BA56" s="28"/>
      <c r="BB56" s="29"/>
      <c r="BC56" s="30"/>
      <c r="BD56" s="28"/>
      <c r="BE56" s="28"/>
      <c r="BF56" s="28"/>
    </row>
    <row r="57">
      <c r="A57" s="109" t="s">
        <v>316</v>
      </c>
      <c r="B57" s="123"/>
      <c r="C57" s="123"/>
      <c r="D57" s="98"/>
      <c r="E57" s="37" t="s">
        <v>277</v>
      </c>
      <c r="F57" s="114"/>
      <c r="G57" s="27"/>
      <c r="H57" s="28"/>
      <c r="I57" s="28"/>
      <c r="J57" s="29"/>
      <c r="K57" s="27"/>
      <c r="L57" s="28"/>
      <c r="M57" s="28"/>
      <c r="N57" s="28"/>
      <c r="O57" s="29"/>
      <c r="P57" s="27"/>
      <c r="Q57" s="28"/>
      <c r="R57" s="28"/>
      <c r="S57" s="29"/>
      <c r="T57" s="27"/>
      <c r="U57" s="28"/>
      <c r="V57" s="28"/>
      <c r="W57" s="28"/>
      <c r="X57" s="29"/>
      <c r="Y57" s="28"/>
      <c r="Z57" s="28"/>
      <c r="AA57" s="28"/>
      <c r="AB57" s="29"/>
      <c r="AC57" s="27"/>
      <c r="AD57" s="28"/>
      <c r="AE57" s="28"/>
      <c r="AF57" s="29"/>
      <c r="AG57" s="28"/>
      <c r="AH57" s="28"/>
      <c r="AI57" s="28"/>
      <c r="AJ57" s="28"/>
      <c r="AK57" s="29"/>
      <c r="AL57" s="124"/>
      <c r="AM57" s="124"/>
      <c r="AN57" s="28"/>
      <c r="AO57" s="29"/>
      <c r="AP57" s="28"/>
      <c r="AQ57" s="28"/>
      <c r="AR57" s="28"/>
      <c r="AS57" s="29"/>
      <c r="AT57" s="28"/>
      <c r="AU57" s="28"/>
      <c r="AV57" s="28"/>
      <c r="AW57" s="29"/>
      <c r="AX57" s="28"/>
      <c r="AY57" s="28"/>
      <c r="AZ57" s="28"/>
      <c r="BA57" s="28"/>
      <c r="BB57" s="29"/>
      <c r="BC57" s="30"/>
      <c r="BD57" s="28"/>
      <c r="BE57" s="28"/>
      <c r="BF57" s="28"/>
    </row>
    <row r="58">
      <c r="A58" s="109" t="s">
        <v>317</v>
      </c>
      <c r="B58" s="123"/>
      <c r="C58" s="123"/>
      <c r="D58" s="28"/>
      <c r="E58" s="37" t="s">
        <v>277</v>
      </c>
      <c r="F58" s="114"/>
      <c r="G58" s="27"/>
      <c r="H58" s="28"/>
      <c r="I58" s="28"/>
      <c r="J58" s="29"/>
      <c r="K58" s="27"/>
      <c r="L58" s="28"/>
      <c r="M58" s="28"/>
      <c r="N58" s="28"/>
      <c r="O58" s="29"/>
      <c r="P58" s="27"/>
      <c r="Q58" s="28"/>
      <c r="R58" s="28"/>
      <c r="S58" s="29"/>
      <c r="T58" s="27"/>
      <c r="U58" s="28"/>
      <c r="V58" s="28"/>
      <c r="W58" s="28"/>
      <c r="X58" s="29"/>
      <c r="Y58" s="28"/>
      <c r="Z58" s="28"/>
      <c r="AA58" s="28"/>
      <c r="AB58" s="29"/>
      <c r="AC58" s="27"/>
      <c r="AD58" s="28"/>
      <c r="AE58" s="28"/>
      <c r="AF58" s="29"/>
      <c r="AG58" s="28"/>
      <c r="AH58" s="28"/>
      <c r="AI58" s="28"/>
      <c r="AJ58" s="28"/>
      <c r="AK58" s="29"/>
      <c r="AL58" s="28"/>
      <c r="AM58" s="124"/>
      <c r="AO58" s="29"/>
      <c r="AP58" s="28"/>
      <c r="AQ58" s="28"/>
      <c r="AR58" s="28"/>
      <c r="AS58" s="29"/>
      <c r="AT58" s="28"/>
      <c r="AU58" s="28"/>
      <c r="AV58" s="28"/>
      <c r="AW58" s="29"/>
      <c r="AX58" s="28"/>
      <c r="AY58" s="28"/>
      <c r="AZ58" s="28"/>
      <c r="BA58" s="28"/>
      <c r="BB58" s="29"/>
      <c r="BC58" s="30"/>
      <c r="BD58" s="28"/>
      <c r="BE58" s="28"/>
      <c r="BF58" s="28"/>
    </row>
    <row r="59">
      <c r="A59" s="128" t="s">
        <v>318</v>
      </c>
      <c r="B59" s="123"/>
      <c r="C59" s="129"/>
      <c r="D59" s="98"/>
      <c r="E59" s="37" t="s">
        <v>277</v>
      </c>
      <c r="F59" s="114"/>
      <c r="G59" s="27"/>
      <c r="H59" s="28"/>
      <c r="I59" s="28"/>
      <c r="J59" s="29"/>
      <c r="K59" s="27"/>
      <c r="L59" s="28"/>
      <c r="M59" s="28"/>
      <c r="N59" s="28"/>
      <c r="O59" s="29"/>
      <c r="P59" s="27"/>
      <c r="Q59" s="28"/>
      <c r="R59" s="28"/>
      <c r="S59" s="29"/>
      <c r="T59" s="27"/>
      <c r="U59" s="28"/>
      <c r="V59" s="28"/>
      <c r="W59" s="28"/>
      <c r="X59" s="29"/>
      <c r="Y59" s="28"/>
      <c r="Z59" s="28"/>
      <c r="AA59" s="28"/>
      <c r="AB59" s="29"/>
      <c r="AC59" s="27"/>
      <c r="AD59" s="28"/>
      <c r="AE59" s="28"/>
      <c r="AF59" s="29"/>
      <c r="AG59" s="28"/>
      <c r="AH59" s="28"/>
      <c r="AI59" s="28"/>
      <c r="AJ59" s="28"/>
      <c r="AK59" s="29"/>
      <c r="AL59" s="28"/>
      <c r="AM59" s="124"/>
      <c r="AO59" s="29"/>
      <c r="AP59" s="28"/>
      <c r="AQ59" s="28"/>
      <c r="AR59" s="28"/>
      <c r="AS59" s="29"/>
      <c r="AT59" s="28"/>
      <c r="AU59" s="28"/>
      <c r="AV59" s="28"/>
      <c r="AW59" s="29"/>
      <c r="AX59" s="28"/>
      <c r="AY59" s="28"/>
      <c r="AZ59" s="28"/>
      <c r="BA59" s="28"/>
      <c r="BB59" s="29"/>
      <c r="BC59" s="30"/>
      <c r="BD59" s="28"/>
      <c r="BE59" s="28"/>
      <c r="BF59" s="28"/>
    </row>
    <row r="60">
      <c r="A60" s="109" t="s">
        <v>319</v>
      </c>
      <c r="B60" s="123"/>
      <c r="C60" s="123"/>
      <c r="D60" s="28"/>
      <c r="E60" s="37" t="s">
        <v>277</v>
      </c>
      <c r="F60" s="112"/>
      <c r="G60" s="27"/>
      <c r="H60" s="28"/>
      <c r="I60" s="28"/>
      <c r="J60" s="29"/>
      <c r="K60" s="27"/>
      <c r="L60" s="28"/>
      <c r="M60" s="28"/>
      <c r="N60" s="28"/>
      <c r="O60" s="29"/>
      <c r="P60" s="27"/>
      <c r="Q60" s="28"/>
      <c r="R60" s="28"/>
      <c r="S60" s="29"/>
      <c r="T60" s="27"/>
      <c r="U60" s="28"/>
      <c r="V60" s="28"/>
      <c r="W60" s="28"/>
      <c r="X60" s="29"/>
      <c r="Y60" s="28"/>
      <c r="Z60" s="28"/>
      <c r="AA60" s="28"/>
      <c r="AB60" s="29"/>
      <c r="AC60" s="27"/>
      <c r="AD60" s="28"/>
      <c r="AE60" s="28"/>
      <c r="AF60" s="29"/>
      <c r="AG60" s="28"/>
      <c r="AH60" s="28"/>
      <c r="AI60" s="28"/>
      <c r="AJ60" s="28"/>
      <c r="AK60" s="29"/>
      <c r="AL60" s="28"/>
      <c r="AM60" s="124"/>
      <c r="AO60" s="29"/>
      <c r="AP60" s="28"/>
      <c r="AQ60" s="28"/>
      <c r="AR60" s="28"/>
      <c r="AS60" s="29"/>
      <c r="AT60" s="28"/>
      <c r="AU60" s="28"/>
      <c r="AV60" s="28"/>
      <c r="AW60" s="29"/>
      <c r="AX60" s="28"/>
      <c r="AY60" s="28"/>
      <c r="AZ60" s="28"/>
      <c r="BA60" s="28"/>
      <c r="BB60" s="29"/>
      <c r="BC60" s="30"/>
      <c r="BD60" s="28"/>
      <c r="BE60" s="28"/>
      <c r="BF60" s="28"/>
    </row>
    <row r="61">
      <c r="A61" s="109" t="s">
        <v>320</v>
      </c>
      <c r="B61" s="123"/>
      <c r="C61" s="123"/>
      <c r="D61" s="98"/>
      <c r="E61" s="37" t="s">
        <v>277</v>
      </c>
      <c r="F61" s="112"/>
      <c r="G61" s="27"/>
      <c r="H61" s="28"/>
      <c r="I61" s="28"/>
      <c r="J61" s="29"/>
      <c r="K61" s="27"/>
      <c r="L61" s="28"/>
      <c r="M61" s="28"/>
      <c r="N61" s="28"/>
      <c r="O61" s="29"/>
      <c r="P61" s="27"/>
      <c r="Q61" s="28"/>
      <c r="R61" s="28"/>
      <c r="S61" s="29"/>
      <c r="T61" s="27"/>
      <c r="U61" s="28"/>
      <c r="V61" s="28"/>
      <c r="W61" s="28"/>
      <c r="X61" s="29"/>
      <c r="Y61" s="28"/>
      <c r="Z61" s="28"/>
      <c r="AA61" s="28"/>
      <c r="AB61" s="29"/>
      <c r="AC61" s="27"/>
      <c r="AD61" s="28"/>
      <c r="AE61" s="28"/>
      <c r="AF61" s="29"/>
      <c r="AG61" s="28"/>
      <c r="AH61" s="28"/>
      <c r="AI61" s="28"/>
      <c r="AJ61" s="28"/>
      <c r="AK61" s="29"/>
      <c r="AL61" s="28"/>
      <c r="AM61" s="124"/>
      <c r="AN61" s="28"/>
      <c r="AO61" s="29"/>
      <c r="AP61" s="28"/>
      <c r="AQ61" s="28"/>
      <c r="AR61" s="28"/>
      <c r="AS61" s="29"/>
      <c r="AT61" s="28"/>
      <c r="AU61" s="28"/>
      <c r="AV61" s="28"/>
      <c r="AW61" s="29"/>
      <c r="AX61" s="28"/>
      <c r="AY61" s="28"/>
      <c r="AZ61" s="28"/>
      <c r="BA61" s="28"/>
      <c r="BB61" s="29"/>
      <c r="BC61" s="30"/>
      <c r="BD61" s="28"/>
      <c r="BE61" s="28"/>
      <c r="BF61" s="28"/>
    </row>
    <row r="62">
      <c r="A62" s="109" t="s">
        <v>321</v>
      </c>
      <c r="B62" s="123"/>
      <c r="C62" s="120"/>
      <c r="D62" s="98"/>
      <c r="E62" s="37" t="s">
        <v>277</v>
      </c>
      <c r="F62" s="112"/>
      <c r="G62" s="27"/>
      <c r="H62" s="28"/>
      <c r="I62" s="28"/>
      <c r="J62" s="29"/>
      <c r="K62" s="27"/>
      <c r="L62" s="28"/>
      <c r="M62" s="28"/>
      <c r="N62" s="28"/>
      <c r="O62" s="29"/>
      <c r="P62" s="27"/>
      <c r="Q62" s="28"/>
      <c r="R62" s="28"/>
      <c r="S62" s="29"/>
      <c r="T62" s="27"/>
      <c r="U62" s="28"/>
      <c r="V62" s="28"/>
      <c r="W62" s="28"/>
      <c r="X62" s="29"/>
      <c r="Y62" s="28"/>
      <c r="Z62" s="28"/>
      <c r="AA62" s="28"/>
      <c r="AB62" s="29"/>
      <c r="AC62" s="27"/>
      <c r="AD62" s="28"/>
      <c r="AE62" s="28"/>
      <c r="AF62" s="29"/>
      <c r="AG62" s="28"/>
      <c r="AH62" s="28"/>
      <c r="AI62" s="28"/>
      <c r="AJ62" s="28"/>
      <c r="AK62" s="29"/>
      <c r="AL62" s="28"/>
      <c r="AM62" s="124"/>
      <c r="AO62" s="29"/>
      <c r="AP62" s="28"/>
      <c r="AQ62" s="28"/>
      <c r="AR62" s="28"/>
      <c r="AS62" s="29"/>
      <c r="AT62" s="28"/>
      <c r="AU62" s="28"/>
      <c r="AV62" s="28"/>
      <c r="AW62" s="29"/>
      <c r="AX62" s="28"/>
      <c r="AY62" s="28"/>
      <c r="AZ62" s="28"/>
      <c r="BA62" s="28"/>
      <c r="BB62" s="29"/>
      <c r="BC62" s="30"/>
      <c r="BD62" s="28"/>
      <c r="BE62" s="28"/>
      <c r="BF62" s="28"/>
    </row>
    <row r="63">
      <c r="A63" s="128" t="s">
        <v>322</v>
      </c>
      <c r="B63" s="130"/>
      <c r="C63" s="130"/>
      <c r="D63" s="28"/>
      <c r="E63" s="37" t="s">
        <v>277</v>
      </c>
      <c r="F63" s="1"/>
      <c r="G63" s="27"/>
      <c r="H63" s="28"/>
      <c r="I63" s="28"/>
      <c r="J63" s="29"/>
      <c r="K63" s="27"/>
      <c r="L63" s="28"/>
      <c r="M63" s="28"/>
      <c r="N63" s="28"/>
      <c r="O63" s="29"/>
      <c r="P63" s="27"/>
      <c r="Q63" s="28"/>
      <c r="R63" s="28"/>
      <c r="S63" s="29"/>
      <c r="T63" s="27"/>
      <c r="U63" s="28"/>
      <c r="V63" s="28"/>
      <c r="W63" s="28"/>
      <c r="X63" s="29"/>
      <c r="Y63" s="28"/>
      <c r="Z63" s="28"/>
      <c r="AA63" s="28"/>
      <c r="AB63" s="29"/>
      <c r="AC63" s="27"/>
      <c r="AD63" s="28"/>
      <c r="AE63" s="28"/>
      <c r="AF63" s="29"/>
      <c r="AG63" s="28"/>
      <c r="AH63" s="28"/>
      <c r="AI63" s="28"/>
      <c r="AJ63" s="28"/>
      <c r="AK63" s="29"/>
      <c r="AL63" s="28"/>
      <c r="AM63" s="124"/>
      <c r="AN63" s="28"/>
      <c r="AO63" s="29"/>
      <c r="AP63" s="28"/>
      <c r="AQ63" s="28"/>
      <c r="AR63" s="28"/>
      <c r="AS63" s="29"/>
      <c r="AT63" s="28"/>
      <c r="AU63" s="28"/>
      <c r="AV63" s="28"/>
      <c r="AW63" s="29"/>
      <c r="AX63" s="28"/>
      <c r="AY63" s="28"/>
      <c r="AZ63" s="28"/>
      <c r="BA63" s="28"/>
      <c r="BB63" s="29"/>
      <c r="BC63" s="30"/>
      <c r="BD63" s="28"/>
      <c r="BE63" s="28"/>
      <c r="BF63" s="28"/>
    </row>
    <row r="64">
      <c r="A64" s="131"/>
      <c r="B64" s="132"/>
      <c r="C64" s="132"/>
      <c r="D64" s="28"/>
      <c r="E64" s="122"/>
      <c r="F64" s="131"/>
      <c r="G64" s="27"/>
      <c r="H64" s="28"/>
      <c r="I64" s="28"/>
      <c r="J64" s="29"/>
      <c r="K64" s="27"/>
      <c r="L64" s="28"/>
      <c r="M64" s="28"/>
      <c r="N64" s="28"/>
      <c r="O64" s="29"/>
      <c r="P64" s="27"/>
      <c r="Q64" s="28"/>
      <c r="R64" s="28"/>
      <c r="S64" s="29"/>
      <c r="T64" s="27"/>
      <c r="U64" s="28"/>
      <c r="V64" s="28"/>
      <c r="W64" s="28"/>
      <c r="X64" s="29"/>
      <c r="Y64" s="28"/>
      <c r="Z64" s="28"/>
      <c r="AA64" s="28"/>
      <c r="AB64" s="29"/>
      <c r="AC64" s="27"/>
      <c r="AD64" s="28"/>
      <c r="AE64" s="28"/>
      <c r="AF64" s="29"/>
      <c r="AG64" s="28"/>
      <c r="AH64" s="28"/>
      <c r="AI64" s="28"/>
      <c r="AJ64" s="28"/>
      <c r="AK64" s="29"/>
      <c r="AL64" s="28"/>
      <c r="AM64" s="28"/>
      <c r="AN64" s="28"/>
      <c r="AO64" s="29"/>
      <c r="AP64" s="28"/>
      <c r="AQ64" s="28"/>
      <c r="AR64" s="28"/>
      <c r="AS64" s="29"/>
      <c r="AT64" s="28"/>
      <c r="AU64" s="28"/>
      <c r="AV64" s="28"/>
      <c r="AW64" s="29"/>
      <c r="AX64" s="28"/>
      <c r="AY64" s="28"/>
      <c r="AZ64" s="28"/>
      <c r="BA64" s="28"/>
      <c r="BB64" s="29"/>
      <c r="BC64" s="30"/>
      <c r="BD64" s="28"/>
      <c r="BE64" s="28"/>
      <c r="BF64" s="28"/>
    </row>
    <row r="65">
      <c r="A65" s="133" t="s">
        <v>323</v>
      </c>
      <c r="G65" s="27"/>
      <c r="H65" s="28"/>
      <c r="I65" s="28"/>
      <c r="J65" s="29"/>
      <c r="K65" s="27"/>
      <c r="L65" s="28"/>
      <c r="M65" s="28"/>
      <c r="N65" s="28"/>
      <c r="O65" s="29"/>
      <c r="P65" s="27"/>
      <c r="Q65" s="28"/>
      <c r="R65" s="28"/>
      <c r="S65" s="29"/>
      <c r="T65" s="27"/>
      <c r="U65" s="28"/>
      <c r="V65" s="28"/>
      <c r="W65" s="28"/>
      <c r="X65" s="29"/>
      <c r="Y65" s="28"/>
      <c r="Z65" s="28"/>
      <c r="AA65" s="28"/>
      <c r="AB65" s="29"/>
      <c r="AC65" s="27"/>
      <c r="AD65" s="28"/>
      <c r="AE65" s="28"/>
      <c r="AF65" s="29"/>
      <c r="AG65" s="28"/>
      <c r="AH65" s="28"/>
      <c r="AI65" s="28"/>
      <c r="AJ65" s="28"/>
      <c r="AK65" s="29"/>
      <c r="AL65" s="28"/>
      <c r="AM65" s="28"/>
      <c r="AN65" s="28"/>
      <c r="AO65" s="29"/>
      <c r="AP65" s="28"/>
      <c r="AQ65" s="28"/>
      <c r="AR65" s="28"/>
      <c r="AS65" s="29"/>
      <c r="AT65" s="28"/>
      <c r="AU65" s="28"/>
      <c r="AV65" s="28"/>
      <c r="AW65" s="29"/>
      <c r="AX65" s="28"/>
      <c r="AY65" s="28"/>
      <c r="AZ65" s="28"/>
      <c r="BA65" s="28"/>
      <c r="BB65" s="29"/>
      <c r="BC65" s="30"/>
      <c r="BD65" s="28"/>
      <c r="BE65" s="28"/>
      <c r="BF65" s="28"/>
    </row>
    <row r="66">
      <c r="A66" s="109" t="s">
        <v>324</v>
      </c>
      <c r="B66" s="123"/>
      <c r="C66" s="120"/>
      <c r="D66" s="98"/>
      <c r="E66" s="37" t="s">
        <v>277</v>
      </c>
      <c r="F66" s="114"/>
      <c r="G66" s="27"/>
      <c r="H66" s="28"/>
      <c r="I66" s="28"/>
      <c r="J66" s="29"/>
      <c r="K66" s="27"/>
      <c r="L66" s="28"/>
      <c r="M66" s="28"/>
      <c r="N66" s="28"/>
      <c r="O66" s="29"/>
      <c r="P66" s="27"/>
      <c r="Q66" s="28"/>
      <c r="R66" s="28"/>
      <c r="S66" s="29"/>
      <c r="T66" s="27"/>
      <c r="U66" s="28"/>
      <c r="V66" s="28"/>
      <c r="W66" s="28"/>
      <c r="X66" s="29"/>
      <c r="Y66" s="28"/>
      <c r="Z66" s="28"/>
      <c r="AA66" s="28"/>
      <c r="AB66" s="29"/>
      <c r="AC66" s="27"/>
      <c r="AD66" s="28"/>
      <c r="AE66" s="28"/>
      <c r="AF66" s="29"/>
      <c r="AG66" s="28"/>
      <c r="AH66" s="28"/>
      <c r="AI66" s="28"/>
      <c r="AJ66" s="124"/>
      <c r="AK66" s="29"/>
      <c r="AL66" s="28"/>
      <c r="AM66" s="28"/>
      <c r="AN66" s="28"/>
      <c r="AO66" s="29"/>
      <c r="AP66" s="28"/>
      <c r="AQ66" s="28"/>
      <c r="AR66" s="28"/>
      <c r="AS66" s="29"/>
      <c r="AT66" s="28"/>
      <c r="AU66" s="28"/>
      <c r="AV66" s="28"/>
      <c r="AW66" s="29"/>
      <c r="AX66" s="28"/>
      <c r="AY66" s="28"/>
      <c r="AZ66" s="28"/>
      <c r="BA66" s="28"/>
      <c r="BB66" s="29"/>
      <c r="BC66" s="30"/>
      <c r="BD66" s="28"/>
      <c r="BE66" s="28"/>
      <c r="BF66" s="28"/>
    </row>
    <row r="67">
      <c r="A67" s="109" t="s">
        <v>325</v>
      </c>
      <c r="B67" s="129"/>
      <c r="C67" s="123"/>
      <c r="D67" s="28"/>
      <c r="E67" s="37" t="s">
        <v>277</v>
      </c>
      <c r="F67" s="114"/>
      <c r="G67" s="27"/>
      <c r="H67" s="28"/>
      <c r="I67" s="28"/>
      <c r="J67" s="29"/>
      <c r="K67" s="27"/>
      <c r="L67" s="28"/>
      <c r="M67" s="28"/>
      <c r="N67" s="28"/>
      <c r="O67" s="29"/>
      <c r="P67" s="27"/>
      <c r="Q67" s="28"/>
      <c r="R67" s="28"/>
      <c r="S67" s="29"/>
      <c r="T67" s="27"/>
      <c r="U67" s="28"/>
      <c r="V67" s="28"/>
      <c r="W67" s="28"/>
      <c r="X67" s="29"/>
      <c r="Y67" s="28"/>
      <c r="Z67" s="28"/>
      <c r="AA67" s="28"/>
      <c r="AB67" s="29"/>
      <c r="AC67" s="27"/>
      <c r="AD67" s="28"/>
      <c r="AE67" s="28"/>
      <c r="AF67" s="29"/>
      <c r="AG67" s="28"/>
      <c r="AH67" s="28"/>
      <c r="AI67" s="28"/>
      <c r="AJ67" s="124"/>
      <c r="AK67" s="126"/>
      <c r="AL67" s="28"/>
      <c r="AM67" s="28"/>
      <c r="AN67" s="28"/>
      <c r="AO67" s="29"/>
      <c r="AP67" s="28"/>
      <c r="AQ67" s="28"/>
      <c r="AR67" s="28"/>
      <c r="AS67" s="29"/>
      <c r="AT67" s="28"/>
      <c r="AU67" s="28"/>
      <c r="AV67" s="28"/>
      <c r="AW67" s="29"/>
      <c r="AX67" s="28"/>
      <c r="AY67" s="28"/>
      <c r="AZ67" s="28"/>
      <c r="BA67" s="28"/>
      <c r="BB67" s="29"/>
      <c r="BC67" s="30"/>
      <c r="BD67" s="28"/>
      <c r="BE67" s="28"/>
      <c r="BF67" s="28"/>
    </row>
    <row r="68">
      <c r="A68" s="118" t="s">
        <v>326</v>
      </c>
      <c r="B68" s="129"/>
      <c r="C68" s="123"/>
      <c r="D68" s="98"/>
      <c r="E68" s="37" t="s">
        <v>277</v>
      </c>
      <c r="F68" s="114"/>
      <c r="G68" s="27"/>
      <c r="H68" s="28"/>
      <c r="I68" s="28"/>
      <c r="J68" s="29"/>
      <c r="K68" s="27"/>
      <c r="L68" s="28"/>
      <c r="M68" s="28"/>
      <c r="N68" s="28"/>
      <c r="O68" s="29"/>
      <c r="P68" s="27"/>
      <c r="Q68" s="28"/>
      <c r="R68" s="28"/>
      <c r="S68" s="29"/>
      <c r="T68" s="27"/>
      <c r="U68" s="28"/>
      <c r="V68" s="28"/>
      <c r="W68" s="28"/>
      <c r="X68" s="29"/>
      <c r="Y68" s="28"/>
      <c r="Z68" s="28"/>
      <c r="AA68" s="28"/>
      <c r="AB68" s="29"/>
      <c r="AC68" s="27"/>
      <c r="AD68" s="28"/>
      <c r="AE68" s="28"/>
      <c r="AF68" s="29"/>
      <c r="AG68" s="28"/>
      <c r="AH68" s="28"/>
      <c r="AI68" s="28"/>
      <c r="AJ68" s="124"/>
      <c r="AK68" s="126"/>
      <c r="AL68" s="28"/>
      <c r="AM68" s="28"/>
      <c r="AN68" s="28"/>
      <c r="AO68" s="29"/>
      <c r="AP68" s="28"/>
      <c r="AQ68" s="28"/>
      <c r="AR68" s="28"/>
      <c r="AS68" s="29"/>
      <c r="AT68" s="28"/>
      <c r="AU68" s="28"/>
      <c r="AV68" s="28"/>
      <c r="AW68" s="29"/>
      <c r="AX68" s="28"/>
      <c r="AY68" s="28"/>
      <c r="AZ68" s="28"/>
      <c r="BA68" s="28"/>
      <c r="BB68" s="29"/>
      <c r="BC68" s="30"/>
      <c r="BD68" s="28"/>
      <c r="BE68" s="28"/>
      <c r="BF68" s="28"/>
    </row>
    <row r="69">
      <c r="A69" s="26" t="s">
        <v>327</v>
      </c>
      <c r="B69" s="129"/>
      <c r="C69" s="123"/>
      <c r="D69" s="28"/>
      <c r="E69" s="37" t="s">
        <v>277</v>
      </c>
      <c r="F69" s="114"/>
      <c r="G69" s="27"/>
      <c r="H69" s="28"/>
      <c r="I69" s="28"/>
      <c r="J69" s="29"/>
      <c r="K69" s="27"/>
      <c r="L69" s="28"/>
      <c r="M69" s="28"/>
      <c r="N69" s="28"/>
      <c r="O69" s="29"/>
      <c r="P69" s="27"/>
      <c r="Q69" s="28"/>
      <c r="R69" s="28"/>
      <c r="S69" s="29"/>
      <c r="T69" s="27"/>
      <c r="U69" s="28"/>
      <c r="V69" s="28"/>
      <c r="W69" s="28"/>
      <c r="X69" s="29"/>
      <c r="Y69" s="28"/>
      <c r="Z69" s="28"/>
      <c r="AA69" s="28"/>
      <c r="AB69" s="29"/>
      <c r="AC69" s="27"/>
      <c r="AD69" s="28"/>
      <c r="AE69" s="28"/>
      <c r="AF69" s="29"/>
      <c r="AG69" s="28"/>
      <c r="AH69" s="28"/>
      <c r="AI69" s="28"/>
      <c r="AJ69" s="124"/>
      <c r="AK69" s="29"/>
      <c r="AL69" s="28"/>
      <c r="AM69" s="28"/>
      <c r="AN69" s="28"/>
      <c r="AO69" s="29"/>
      <c r="AP69" s="28"/>
      <c r="AQ69" s="28"/>
      <c r="AR69" s="28"/>
      <c r="AS69" s="29"/>
      <c r="AT69" s="28"/>
      <c r="AU69" s="28"/>
      <c r="AV69" s="28"/>
      <c r="AW69" s="29"/>
      <c r="AX69" s="28"/>
      <c r="AY69" s="28"/>
      <c r="AZ69" s="28"/>
      <c r="BA69" s="28"/>
      <c r="BB69" s="29"/>
      <c r="BC69" s="30"/>
      <c r="BD69" s="28"/>
      <c r="BE69" s="28"/>
      <c r="BF69" s="28"/>
    </row>
    <row r="70">
      <c r="A70" s="26" t="s">
        <v>328</v>
      </c>
      <c r="B70" s="129"/>
      <c r="C70" s="123"/>
      <c r="D70" s="28"/>
      <c r="E70" s="37" t="s">
        <v>277</v>
      </c>
      <c r="F70" s="114"/>
      <c r="G70" s="27"/>
      <c r="H70" s="28"/>
      <c r="I70" s="28"/>
      <c r="J70" s="29"/>
      <c r="K70" s="27"/>
      <c r="L70" s="28"/>
      <c r="M70" s="28"/>
      <c r="N70" s="28"/>
      <c r="O70" s="29"/>
      <c r="P70" s="27"/>
      <c r="Q70" s="28"/>
      <c r="R70" s="28"/>
      <c r="S70" s="29"/>
      <c r="T70" s="27"/>
      <c r="U70" s="28"/>
      <c r="V70" s="28"/>
      <c r="W70" s="28"/>
      <c r="X70" s="29"/>
      <c r="Y70" s="28"/>
      <c r="Z70" s="28"/>
      <c r="AA70" s="28"/>
      <c r="AB70" s="29"/>
      <c r="AC70" s="27"/>
      <c r="AD70" s="28"/>
      <c r="AE70" s="28"/>
      <c r="AF70" s="29"/>
      <c r="AG70" s="28"/>
      <c r="AH70" s="28"/>
      <c r="AI70" s="28"/>
      <c r="AJ70" s="28"/>
      <c r="AK70" s="126"/>
      <c r="AL70" s="28"/>
      <c r="AM70" s="28"/>
      <c r="AN70" s="28"/>
      <c r="AO70" s="29"/>
      <c r="AP70" s="28"/>
      <c r="AQ70" s="28"/>
      <c r="AR70" s="28"/>
      <c r="AS70" s="29"/>
      <c r="AT70" s="28"/>
      <c r="AU70" s="28"/>
      <c r="AV70" s="28"/>
      <c r="AW70" s="29"/>
      <c r="AX70" s="28"/>
      <c r="AY70" s="28"/>
      <c r="AZ70" s="28"/>
      <c r="BA70" s="28"/>
      <c r="BB70" s="29"/>
      <c r="BC70" s="30"/>
      <c r="BD70" s="28"/>
      <c r="BE70" s="28"/>
      <c r="BF70" s="28"/>
    </row>
    <row r="71">
      <c r="A71" s="26" t="s">
        <v>329</v>
      </c>
      <c r="B71" s="129"/>
      <c r="C71" s="123"/>
      <c r="D71" s="28"/>
      <c r="E71" s="37" t="s">
        <v>277</v>
      </c>
      <c r="F71" s="114"/>
      <c r="G71" s="27"/>
      <c r="H71" s="28"/>
      <c r="I71" s="28"/>
      <c r="J71" s="29"/>
      <c r="K71" s="27"/>
      <c r="L71" s="28"/>
      <c r="M71" s="28"/>
      <c r="N71" s="28"/>
      <c r="O71" s="29"/>
      <c r="P71" s="27"/>
      <c r="Q71" s="28"/>
      <c r="R71" s="28"/>
      <c r="S71" s="29"/>
      <c r="T71" s="27"/>
      <c r="U71" s="28"/>
      <c r="V71" s="28"/>
      <c r="W71" s="28"/>
      <c r="X71" s="29"/>
      <c r="Y71" s="28"/>
      <c r="Z71" s="28"/>
      <c r="AA71" s="28"/>
      <c r="AB71" s="29"/>
      <c r="AC71" s="27"/>
      <c r="AD71" s="28"/>
      <c r="AE71" s="28"/>
      <c r="AF71" s="29"/>
      <c r="AG71" s="28"/>
      <c r="AH71" s="28"/>
      <c r="AI71" s="28"/>
      <c r="AJ71" s="28"/>
      <c r="AK71" s="29"/>
      <c r="AL71" s="124"/>
      <c r="AM71" s="28"/>
      <c r="AN71" s="28"/>
      <c r="AO71" s="29"/>
      <c r="AP71" s="28"/>
      <c r="AQ71" s="28"/>
      <c r="AR71" s="28"/>
      <c r="AS71" s="29"/>
      <c r="AT71" s="28"/>
      <c r="AU71" s="28"/>
      <c r="AV71" s="28"/>
      <c r="AW71" s="29"/>
      <c r="AX71" s="28"/>
      <c r="AY71" s="28"/>
      <c r="AZ71" s="28"/>
      <c r="BA71" s="28"/>
      <c r="BB71" s="29"/>
      <c r="BC71" s="30"/>
      <c r="BD71" s="28"/>
      <c r="BE71" s="28"/>
      <c r="BF71" s="28"/>
    </row>
    <row r="72">
      <c r="A72" s="26" t="s">
        <v>330</v>
      </c>
      <c r="B72" s="129"/>
      <c r="C72" s="123"/>
      <c r="D72" s="28"/>
      <c r="E72" s="37" t="s">
        <v>277</v>
      </c>
      <c r="F72" s="114"/>
      <c r="G72" s="27"/>
      <c r="H72" s="28"/>
      <c r="I72" s="28"/>
      <c r="J72" s="29"/>
      <c r="K72" s="27"/>
      <c r="L72" s="28"/>
      <c r="M72" s="28"/>
      <c r="N72" s="28"/>
      <c r="O72" s="29"/>
      <c r="P72" s="27"/>
      <c r="Q72" s="28"/>
      <c r="R72" s="28"/>
      <c r="S72" s="29"/>
      <c r="T72" s="27"/>
      <c r="U72" s="28"/>
      <c r="V72" s="28"/>
      <c r="W72" s="28"/>
      <c r="X72" s="29"/>
      <c r="Y72" s="28"/>
      <c r="Z72" s="28"/>
      <c r="AA72" s="28"/>
      <c r="AB72" s="29"/>
      <c r="AC72" s="27"/>
      <c r="AD72" s="28"/>
      <c r="AE72" s="28"/>
      <c r="AF72" s="29"/>
      <c r="AG72" s="28"/>
      <c r="AH72" s="28"/>
      <c r="AI72" s="28"/>
      <c r="AJ72" s="28"/>
      <c r="AK72" s="126"/>
      <c r="AL72" s="28"/>
      <c r="AM72" s="28"/>
      <c r="AN72" s="28"/>
      <c r="AO72" s="29"/>
      <c r="AP72" s="28"/>
      <c r="AQ72" s="28"/>
      <c r="AR72" s="28"/>
      <c r="AS72" s="29"/>
      <c r="AT72" s="28"/>
      <c r="AU72" s="28"/>
      <c r="AV72" s="28"/>
      <c r="AW72" s="29"/>
      <c r="AX72" s="28"/>
      <c r="AY72" s="28"/>
      <c r="AZ72" s="28"/>
      <c r="BA72" s="28"/>
      <c r="BB72" s="29"/>
      <c r="BC72" s="30"/>
      <c r="BD72" s="28"/>
      <c r="BE72" s="28"/>
      <c r="BF72" s="28"/>
    </row>
    <row r="73">
      <c r="A73" s="26" t="s">
        <v>331</v>
      </c>
      <c r="B73" s="129"/>
      <c r="C73" s="123"/>
      <c r="D73" s="28"/>
      <c r="E73" s="37" t="s">
        <v>277</v>
      </c>
      <c r="F73" s="114"/>
      <c r="G73" s="27"/>
      <c r="H73" s="28"/>
      <c r="I73" s="28"/>
      <c r="J73" s="29"/>
      <c r="K73" s="27"/>
      <c r="L73" s="28"/>
      <c r="M73" s="28"/>
      <c r="N73" s="28"/>
      <c r="O73" s="29"/>
      <c r="P73" s="27"/>
      <c r="Q73" s="28"/>
      <c r="R73" s="28"/>
      <c r="S73" s="29"/>
      <c r="T73" s="27"/>
      <c r="U73" s="28"/>
      <c r="V73" s="28"/>
      <c r="W73" s="28"/>
      <c r="X73" s="29"/>
      <c r="Y73" s="28"/>
      <c r="Z73" s="28"/>
      <c r="AA73" s="28"/>
      <c r="AB73" s="29"/>
      <c r="AC73" s="27"/>
      <c r="AD73" s="28"/>
      <c r="AE73" s="28"/>
      <c r="AF73" s="29"/>
      <c r="AG73" s="28"/>
      <c r="AH73" s="28"/>
      <c r="AI73" s="28"/>
      <c r="AJ73" s="28"/>
      <c r="AK73" s="29"/>
      <c r="AL73" s="124"/>
      <c r="AM73" s="28"/>
      <c r="AN73" s="28"/>
      <c r="AO73" s="29"/>
      <c r="AP73" s="28"/>
      <c r="AQ73" s="28"/>
      <c r="AR73" s="28"/>
      <c r="AS73" s="29"/>
      <c r="AT73" s="28"/>
      <c r="AU73" s="28"/>
      <c r="AV73" s="28"/>
      <c r="AW73" s="29"/>
      <c r="AX73" s="28"/>
      <c r="AY73" s="28"/>
      <c r="AZ73" s="28"/>
      <c r="BA73" s="28"/>
      <c r="BB73" s="29"/>
      <c r="BC73" s="30"/>
      <c r="BD73" s="28"/>
      <c r="BE73" s="28"/>
      <c r="BF73" s="28"/>
    </row>
    <row r="74">
      <c r="A74" s="26" t="s">
        <v>332</v>
      </c>
      <c r="B74" s="129"/>
      <c r="C74" s="123"/>
      <c r="D74" s="28"/>
      <c r="E74" s="37" t="s">
        <v>277</v>
      </c>
      <c r="F74" s="114"/>
      <c r="G74" s="27"/>
      <c r="H74" s="28"/>
      <c r="I74" s="28"/>
      <c r="J74" s="29"/>
      <c r="K74" s="27"/>
      <c r="L74" s="28"/>
      <c r="M74" s="28"/>
      <c r="N74" s="28"/>
      <c r="O74" s="29"/>
      <c r="P74" s="27"/>
      <c r="Q74" s="28"/>
      <c r="R74" s="28"/>
      <c r="S74" s="29"/>
      <c r="T74" s="27"/>
      <c r="U74" s="28"/>
      <c r="V74" s="28"/>
      <c r="W74" s="28"/>
      <c r="X74" s="29"/>
      <c r="Y74" s="28"/>
      <c r="Z74" s="28"/>
      <c r="AA74" s="28"/>
      <c r="AB74" s="29"/>
      <c r="AC74" s="27"/>
      <c r="AD74" s="28"/>
      <c r="AE74" s="28"/>
      <c r="AF74" s="29"/>
      <c r="AG74" s="28"/>
      <c r="AH74" s="28"/>
      <c r="AI74" s="28"/>
      <c r="AJ74" s="124"/>
      <c r="AK74" s="29"/>
      <c r="AL74" s="28"/>
      <c r="AM74" s="28"/>
      <c r="AN74" s="28"/>
      <c r="AO74" s="29"/>
      <c r="AP74" s="28"/>
      <c r="AQ74" s="28"/>
      <c r="AR74" s="28"/>
      <c r="AS74" s="29"/>
      <c r="AT74" s="28"/>
      <c r="AU74" s="28"/>
      <c r="AV74" s="28"/>
      <c r="AW74" s="29"/>
      <c r="AX74" s="28"/>
      <c r="AY74" s="28"/>
      <c r="AZ74" s="28"/>
      <c r="BA74" s="28"/>
      <c r="BB74" s="29"/>
      <c r="BC74" s="30"/>
      <c r="BD74" s="28"/>
      <c r="BE74" s="28"/>
      <c r="BF74" s="28"/>
    </row>
    <row r="75">
      <c r="A75" s="26" t="s">
        <v>333</v>
      </c>
      <c r="B75" s="129"/>
      <c r="C75" s="123"/>
      <c r="D75" s="28"/>
      <c r="E75" s="37" t="s">
        <v>277</v>
      </c>
      <c r="F75" s="114"/>
      <c r="G75" s="27"/>
      <c r="H75" s="28"/>
      <c r="I75" s="28"/>
      <c r="J75" s="29"/>
      <c r="K75" s="27"/>
      <c r="L75" s="28"/>
      <c r="M75" s="28"/>
      <c r="N75" s="28"/>
      <c r="O75" s="29"/>
      <c r="P75" s="27"/>
      <c r="Q75" s="28"/>
      <c r="R75" s="28"/>
      <c r="S75" s="29"/>
      <c r="T75" s="27"/>
      <c r="U75" s="28"/>
      <c r="V75" s="28"/>
      <c r="W75" s="28"/>
      <c r="X75" s="29"/>
      <c r="Y75" s="28"/>
      <c r="Z75" s="28"/>
      <c r="AA75" s="28"/>
      <c r="AB75" s="29"/>
      <c r="AC75" s="27"/>
      <c r="AD75" s="28"/>
      <c r="AE75" s="28"/>
      <c r="AF75" s="29"/>
      <c r="AG75" s="28"/>
      <c r="AH75" s="28"/>
      <c r="AI75" s="28"/>
      <c r="AJ75" s="28"/>
      <c r="AK75" s="126"/>
      <c r="AL75" s="28"/>
      <c r="AM75" s="28"/>
      <c r="AN75" s="28"/>
      <c r="AO75" s="29"/>
      <c r="AP75" s="28"/>
      <c r="AQ75" s="28"/>
      <c r="AR75" s="28"/>
      <c r="AS75" s="29"/>
      <c r="AT75" s="28"/>
      <c r="AU75" s="28"/>
      <c r="AV75" s="28"/>
      <c r="AW75" s="29"/>
      <c r="AX75" s="28"/>
      <c r="AY75" s="28"/>
      <c r="AZ75" s="28"/>
      <c r="BA75" s="28"/>
      <c r="BB75" s="29"/>
      <c r="BC75" s="30"/>
      <c r="BD75" s="28"/>
      <c r="BE75" s="28"/>
      <c r="BF75" s="28"/>
    </row>
    <row r="76">
      <c r="A76" s="26" t="s">
        <v>334</v>
      </c>
      <c r="B76" s="129"/>
      <c r="C76" s="123"/>
      <c r="D76" s="28"/>
      <c r="E76" s="37" t="s">
        <v>277</v>
      </c>
      <c r="F76" s="114"/>
      <c r="G76" s="27"/>
      <c r="H76" s="28"/>
      <c r="I76" s="28"/>
      <c r="J76" s="29"/>
      <c r="K76" s="27"/>
      <c r="L76" s="28"/>
      <c r="M76" s="28"/>
      <c r="N76" s="28"/>
      <c r="O76" s="29"/>
      <c r="P76" s="27"/>
      <c r="Q76" s="28"/>
      <c r="R76" s="28"/>
      <c r="S76" s="29"/>
      <c r="T76" s="27"/>
      <c r="U76" s="28"/>
      <c r="V76" s="28"/>
      <c r="W76" s="28"/>
      <c r="X76" s="29"/>
      <c r="Y76" s="28"/>
      <c r="Z76" s="28"/>
      <c r="AA76" s="28"/>
      <c r="AB76" s="29"/>
      <c r="AC76" s="27"/>
      <c r="AD76" s="28"/>
      <c r="AE76" s="28"/>
      <c r="AF76" s="29"/>
      <c r="AG76" s="28"/>
      <c r="AH76" s="28"/>
      <c r="AI76" s="28"/>
      <c r="AJ76" s="28"/>
      <c r="AK76" s="29"/>
      <c r="AL76" s="124"/>
      <c r="AM76" s="28"/>
      <c r="AN76" s="28"/>
      <c r="AO76" s="29"/>
      <c r="AP76" s="28"/>
      <c r="AQ76" s="28"/>
      <c r="AR76" s="28"/>
      <c r="AS76" s="29"/>
      <c r="AT76" s="28"/>
      <c r="AU76" s="28"/>
      <c r="AV76" s="28"/>
      <c r="AW76" s="29"/>
      <c r="AX76" s="28"/>
      <c r="AY76" s="28"/>
      <c r="AZ76" s="28"/>
      <c r="BA76" s="28"/>
      <c r="BB76" s="29"/>
      <c r="BC76" s="30"/>
      <c r="BD76" s="28"/>
      <c r="BE76" s="28"/>
      <c r="BF76" s="28"/>
    </row>
    <row r="77">
      <c r="A77" s="109" t="s">
        <v>335</v>
      </c>
      <c r="B77" s="129"/>
      <c r="C77" s="123"/>
      <c r="D77" s="28"/>
      <c r="E77" s="37" t="s">
        <v>277</v>
      </c>
      <c r="F77" s="114"/>
      <c r="G77" s="27"/>
      <c r="H77" s="28"/>
      <c r="I77" s="28"/>
      <c r="J77" s="29"/>
      <c r="K77" s="27"/>
      <c r="L77" s="28"/>
      <c r="M77" s="28"/>
      <c r="N77" s="28"/>
      <c r="O77" s="29"/>
      <c r="P77" s="27"/>
      <c r="Q77" s="28"/>
      <c r="R77" s="28"/>
      <c r="S77" s="29"/>
      <c r="T77" s="27"/>
      <c r="U77" s="28"/>
      <c r="V77" s="28"/>
      <c r="W77" s="28"/>
      <c r="X77" s="29"/>
      <c r="Y77" s="28"/>
      <c r="Z77" s="28"/>
      <c r="AA77" s="28"/>
      <c r="AB77" s="29"/>
      <c r="AC77" s="27"/>
      <c r="AD77" s="28"/>
      <c r="AE77" s="28"/>
      <c r="AF77" s="29"/>
      <c r="AG77" s="28"/>
      <c r="AH77" s="28"/>
      <c r="AI77" s="28"/>
      <c r="AJ77" s="28"/>
      <c r="AK77" s="29"/>
      <c r="AL77" s="124"/>
      <c r="AM77" s="124"/>
      <c r="AN77" s="28"/>
      <c r="AO77" s="29"/>
      <c r="AP77" s="28"/>
      <c r="AQ77" s="28"/>
      <c r="AR77" s="28"/>
      <c r="AS77" s="29"/>
      <c r="AT77" s="28"/>
      <c r="AU77" s="28"/>
      <c r="AV77" s="28"/>
      <c r="AW77" s="29"/>
      <c r="AX77" s="28"/>
      <c r="AY77" s="28"/>
      <c r="AZ77" s="28"/>
      <c r="BA77" s="28"/>
      <c r="BB77" s="29"/>
      <c r="BC77" s="30"/>
      <c r="BD77" s="28"/>
      <c r="BE77" s="28"/>
      <c r="BF77" s="28"/>
    </row>
    <row r="78">
      <c r="A78" s="109" t="s">
        <v>336</v>
      </c>
      <c r="B78" s="129"/>
      <c r="C78" s="123"/>
      <c r="D78" s="98"/>
      <c r="E78" s="37" t="s">
        <v>277</v>
      </c>
      <c r="F78" s="114"/>
      <c r="G78" s="27"/>
      <c r="H78" s="28"/>
      <c r="I78" s="28"/>
      <c r="J78" s="29"/>
      <c r="K78" s="27"/>
      <c r="L78" s="28"/>
      <c r="M78" s="28"/>
      <c r="N78" s="28"/>
      <c r="O78" s="29"/>
      <c r="P78" s="27"/>
      <c r="Q78" s="28"/>
      <c r="R78" s="28"/>
      <c r="S78" s="29"/>
      <c r="T78" s="27"/>
      <c r="U78" s="28"/>
      <c r="V78" s="28"/>
      <c r="W78" s="28"/>
      <c r="X78" s="29"/>
      <c r="Y78" s="28"/>
      <c r="Z78" s="28"/>
      <c r="AA78" s="28"/>
      <c r="AB78" s="29"/>
      <c r="AC78" s="27"/>
      <c r="AD78" s="28"/>
      <c r="AE78" s="28"/>
      <c r="AF78" s="29"/>
      <c r="AG78" s="28"/>
      <c r="AH78" s="28"/>
      <c r="AI78" s="28"/>
      <c r="AJ78" s="28"/>
      <c r="AK78" s="29"/>
      <c r="AL78" s="124"/>
      <c r="AM78" s="124"/>
      <c r="AN78" s="28"/>
      <c r="AO78" s="29"/>
      <c r="AP78" s="28"/>
      <c r="AQ78" s="28"/>
      <c r="AR78" s="28"/>
      <c r="AS78" s="29"/>
      <c r="AT78" s="28"/>
      <c r="AU78" s="28"/>
      <c r="AV78" s="28"/>
      <c r="AW78" s="29"/>
      <c r="AX78" s="28"/>
      <c r="AY78" s="28"/>
      <c r="AZ78" s="28"/>
      <c r="BA78" s="28"/>
      <c r="BB78" s="29"/>
      <c r="BC78" s="30"/>
      <c r="BD78" s="28"/>
      <c r="BE78" s="28"/>
      <c r="BF78" s="28"/>
    </row>
    <row r="79">
      <c r="A79" s="109" t="s">
        <v>337</v>
      </c>
      <c r="B79" s="129"/>
      <c r="C79" s="123"/>
      <c r="D79" s="28"/>
      <c r="E79" s="37" t="s">
        <v>277</v>
      </c>
      <c r="F79" s="114"/>
      <c r="G79" s="27"/>
      <c r="H79" s="28"/>
      <c r="I79" s="28"/>
      <c r="J79" s="29"/>
      <c r="K79" s="27"/>
      <c r="L79" s="28"/>
      <c r="M79" s="28"/>
      <c r="N79" s="28"/>
      <c r="O79" s="29"/>
      <c r="P79" s="27"/>
      <c r="Q79" s="28"/>
      <c r="R79" s="28"/>
      <c r="S79" s="29"/>
      <c r="T79" s="27"/>
      <c r="U79" s="28"/>
      <c r="V79" s="28"/>
      <c r="W79" s="28"/>
      <c r="X79" s="29"/>
      <c r="Y79" s="28"/>
      <c r="Z79" s="28"/>
      <c r="AA79" s="28"/>
      <c r="AB79" s="29"/>
      <c r="AC79" s="27"/>
      <c r="AD79" s="28"/>
      <c r="AE79" s="28"/>
      <c r="AF79" s="29"/>
      <c r="AG79" s="28"/>
      <c r="AH79" s="28"/>
      <c r="AI79" s="28"/>
      <c r="AJ79" s="28"/>
      <c r="AK79" s="29"/>
      <c r="AL79" s="124"/>
      <c r="AM79" s="124"/>
      <c r="AN79" s="28"/>
      <c r="AO79" s="29"/>
      <c r="AP79" s="28"/>
      <c r="AQ79" s="28"/>
      <c r="AR79" s="28"/>
      <c r="AS79" s="29"/>
      <c r="AT79" s="28"/>
      <c r="AU79" s="28"/>
      <c r="AV79" s="28"/>
      <c r="AW79" s="29"/>
      <c r="AX79" s="28"/>
      <c r="AY79" s="28"/>
      <c r="AZ79" s="28"/>
      <c r="BA79" s="28"/>
      <c r="BB79" s="29"/>
      <c r="BC79" s="30"/>
      <c r="BD79" s="28"/>
      <c r="BE79" s="28"/>
      <c r="BF79" s="28"/>
    </row>
    <row r="80">
      <c r="A80" s="109" t="s">
        <v>338</v>
      </c>
      <c r="B80" s="129"/>
      <c r="C80" s="123"/>
      <c r="D80" s="98"/>
      <c r="E80" s="37" t="s">
        <v>277</v>
      </c>
      <c r="F80" s="114"/>
      <c r="G80" s="27"/>
      <c r="H80" s="28"/>
      <c r="I80" s="28"/>
      <c r="J80" s="29"/>
      <c r="K80" s="27"/>
      <c r="L80" s="28"/>
      <c r="M80" s="28"/>
      <c r="N80" s="28"/>
      <c r="O80" s="29"/>
      <c r="P80" s="27"/>
      <c r="Q80" s="28"/>
      <c r="R80" s="28"/>
      <c r="S80" s="29"/>
      <c r="T80" s="27"/>
      <c r="U80" s="28"/>
      <c r="V80" s="28"/>
      <c r="W80" s="28"/>
      <c r="X80" s="29"/>
      <c r="Y80" s="28"/>
      <c r="Z80" s="28"/>
      <c r="AA80" s="28"/>
      <c r="AB80" s="29"/>
      <c r="AC80" s="27"/>
      <c r="AD80" s="28"/>
      <c r="AE80" s="28"/>
      <c r="AF80" s="29"/>
      <c r="AG80" s="28"/>
      <c r="AH80" s="28"/>
      <c r="AI80" s="28"/>
      <c r="AJ80" s="28"/>
      <c r="AK80" s="29"/>
      <c r="AL80" s="28"/>
      <c r="AM80" s="28"/>
      <c r="AN80" s="124"/>
      <c r="AO80" s="126"/>
      <c r="AP80" s="28"/>
      <c r="AQ80" s="28"/>
      <c r="AR80" s="28"/>
      <c r="AS80" s="29"/>
      <c r="AT80" s="28"/>
      <c r="AU80" s="28"/>
      <c r="AV80" s="28"/>
      <c r="AW80" s="29"/>
      <c r="AX80" s="28"/>
      <c r="AY80" s="28"/>
      <c r="AZ80" s="28"/>
      <c r="BA80" s="28"/>
      <c r="BB80" s="29"/>
      <c r="BC80" s="30"/>
      <c r="BD80" s="28"/>
      <c r="BE80" s="28"/>
      <c r="BF80" s="28"/>
    </row>
    <row r="81">
      <c r="A81" s="109" t="s">
        <v>339</v>
      </c>
      <c r="B81" s="129"/>
      <c r="C81" s="123"/>
      <c r="D81" s="28"/>
      <c r="E81" s="37" t="s">
        <v>277</v>
      </c>
      <c r="F81" s="114"/>
      <c r="G81" s="27"/>
      <c r="H81" s="28"/>
      <c r="I81" s="28"/>
      <c r="J81" s="29"/>
      <c r="K81" s="27"/>
      <c r="L81" s="28"/>
      <c r="M81" s="28"/>
      <c r="N81" s="28"/>
      <c r="O81" s="29"/>
      <c r="P81" s="27"/>
      <c r="Q81" s="28"/>
      <c r="R81" s="28"/>
      <c r="S81" s="29"/>
      <c r="T81" s="27"/>
      <c r="U81" s="28"/>
      <c r="V81" s="28"/>
      <c r="W81" s="28"/>
      <c r="X81" s="29"/>
      <c r="Y81" s="28"/>
      <c r="Z81" s="28"/>
      <c r="AA81" s="28"/>
      <c r="AB81" s="29"/>
      <c r="AC81" s="27"/>
      <c r="AD81" s="28"/>
      <c r="AE81" s="28"/>
      <c r="AF81" s="29"/>
      <c r="AG81" s="28"/>
      <c r="AH81" s="28"/>
      <c r="AI81" s="28"/>
      <c r="AJ81" s="28"/>
      <c r="AK81" s="29"/>
      <c r="AL81" s="28"/>
      <c r="AM81" s="28"/>
      <c r="AN81" s="124"/>
      <c r="AO81" s="126"/>
      <c r="AP81" s="28"/>
      <c r="AQ81" s="28"/>
      <c r="AR81" s="28"/>
      <c r="AS81" s="29"/>
      <c r="AT81" s="28"/>
      <c r="AU81" s="28"/>
      <c r="AV81" s="28"/>
      <c r="AW81" s="29"/>
      <c r="AX81" s="28"/>
      <c r="AY81" s="28"/>
      <c r="AZ81" s="28"/>
      <c r="BA81" s="28"/>
      <c r="BB81" s="29"/>
      <c r="BC81" s="30"/>
      <c r="BD81" s="28"/>
      <c r="BE81" s="28"/>
      <c r="BF81" s="28"/>
    </row>
    <row r="82">
      <c r="A82" s="109" t="s">
        <v>340</v>
      </c>
      <c r="B82" s="129"/>
      <c r="C82" s="123"/>
      <c r="D82" s="98"/>
      <c r="E82" s="37" t="s">
        <v>277</v>
      </c>
      <c r="F82" s="114"/>
      <c r="G82" s="27"/>
      <c r="H82" s="28"/>
      <c r="I82" s="28"/>
      <c r="J82" s="29"/>
      <c r="K82" s="27"/>
      <c r="L82" s="28"/>
      <c r="M82" s="28"/>
      <c r="N82" s="28"/>
      <c r="O82" s="29"/>
      <c r="P82" s="27"/>
      <c r="Q82" s="28"/>
      <c r="R82" s="28"/>
      <c r="S82" s="29"/>
      <c r="T82" s="27"/>
      <c r="U82" s="28"/>
      <c r="V82" s="28"/>
      <c r="W82" s="28"/>
      <c r="X82" s="29"/>
      <c r="Y82" s="28"/>
      <c r="Z82" s="28"/>
      <c r="AA82" s="28"/>
      <c r="AB82" s="29"/>
      <c r="AC82" s="27"/>
      <c r="AD82" s="28"/>
      <c r="AE82" s="28"/>
      <c r="AF82" s="29"/>
      <c r="AG82" s="28"/>
      <c r="AH82" s="28"/>
      <c r="AI82" s="28"/>
      <c r="AJ82" s="28"/>
      <c r="AK82" s="29"/>
      <c r="AL82" s="28"/>
      <c r="AM82" s="28"/>
      <c r="AN82" s="124"/>
      <c r="AO82" s="126"/>
      <c r="AP82" s="28"/>
      <c r="AQ82" s="28"/>
      <c r="AR82" s="28"/>
      <c r="AS82" s="29"/>
      <c r="AT82" s="28"/>
      <c r="AU82" s="28"/>
      <c r="AV82" s="28"/>
      <c r="AW82" s="29"/>
      <c r="AX82" s="28"/>
      <c r="AY82" s="28"/>
      <c r="AZ82" s="28"/>
      <c r="BA82" s="28"/>
      <c r="BB82" s="29"/>
      <c r="BC82" s="30"/>
      <c r="BD82" s="28"/>
      <c r="BE82" s="28"/>
      <c r="BF82" s="28"/>
    </row>
    <row r="83">
      <c r="A83" s="109" t="s">
        <v>341</v>
      </c>
      <c r="B83" s="129"/>
      <c r="C83" s="123"/>
      <c r="D83" s="28"/>
      <c r="E83" s="37" t="s">
        <v>277</v>
      </c>
      <c r="F83" s="114"/>
      <c r="G83" s="27"/>
      <c r="H83" s="28"/>
      <c r="I83" s="28"/>
      <c r="J83" s="29"/>
      <c r="K83" s="27"/>
      <c r="L83" s="28"/>
      <c r="M83" s="28"/>
      <c r="N83" s="28"/>
      <c r="O83" s="29"/>
      <c r="P83" s="27"/>
      <c r="Q83" s="28"/>
      <c r="R83" s="28"/>
      <c r="S83" s="29"/>
      <c r="T83" s="27"/>
      <c r="U83" s="28"/>
      <c r="V83" s="28"/>
      <c r="W83" s="28"/>
      <c r="X83" s="29"/>
      <c r="Y83" s="28"/>
      <c r="Z83" s="28"/>
      <c r="AA83" s="28"/>
      <c r="AB83" s="29"/>
      <c r="AC83" s="27"/>
      <c r="AD83" s="28"/>
      <c r="AE83" s="28"/>
      <c r="AF83" s="29"/>
      <c r="AG83" s="28"/>
      <c r="AH83" s="28"/>
      <c r="AI83" s="28"/>
      <c r="AJ83" s="28"/>
      <c r="AK83" s="29"/>
      <c r="AL83" s="28"/>
      <c r="AM83" s="28"/>
      <c r="AN83" s="124"/>
      <c r="AO83" s="126"/>
      <c r="AP83" s="28"/>
      <c r="AQ83" s="28"/>
      <c r="AR83" s="28"/>
      <c r="AS83" s="29"/>
      <c r="AT83" s="28"/>
      <c r="AU83" s="28"/>
      <c r="AV83" s="28"/>
      <c r="AW83" s="29"/>
      <c r="AX83" s="28"/>
      <c r="AY83" s="28"/>
      <c r="AZ83" s="28"/>
      <c r="BA83" s="28"/>
      <c r="BB83" s="29"/>
      <c r="BC83" s="30"/>
      <c r="BD83" s="28"/>
      <c r="BE83" s="28"/>
      <c r="BF83" s="28"/>
    </row>
    <row r="84">
      <c r="A84" s="115"/>
      <c r="B84" s="132"/>
      <c r="C84" s="132"/>
      <c r="D84" s="28"/>
      <c r="E84" s="122"/>
      <c r="F84" s="115"/>
      <c r="G84" s="27"/>
      <c r="H84" s="28"/>
      <c r="I84" s="28"/>
      <c r="J84" s="29"/>
      <c r="K84" s="27"/>
      <c r="L84" s="28"/>
      <c r="M84" s="28"/>
      <c r="N84" s="28"/>
      <c r="O84" s="29"/>
      <c r="P84" s="27"/>
      <c r="Q84" s="28"/>
      <c r="R84" s="28"/>
      <c r="S84" s="29"/>
      <c r="T84" s="27"/>
      <c r="U84" s="28"/>
      <c r="V84" s="28"/>
      <c r="W84" s="28"/>
      <c r="X84" s="29"/>
      <c r="Y84" s="28"/>
      <c r="Z84" s="28"/>
      <c r="AA84" s="28"/>
      <c r="AB84" s="29"/>
      <c r="AC84" s="27"/>
      <c r="AD84" s="28"/>
      <c r="AE84" s="28"/>
      <c r="AF84" s="29"/>
      <c r="AG84" s="28"/>
      <c r="AH84" s="28"/>
      <c r="AI84" s="28"/>
      <c r="AJ84" s="28"/>
      <c r="AK84" s="29"/>
      <c r="AL84" s="28"/>
      <c r="AM84" s="28"/>
      <c r="AN84" s="28"/>
      <c r="AO84" s="29"/>
      <c r="AP84" s="28"/>
      <c r="AQ84" s="28"/>
      <c r="AR84" s="28"/>
      <c r="AS84" s="29"/>
      <c r="AT84" s="28"/>
      <c r="AU84" s="28"/>
      <c r="AV84" s="28"/>
      <c r="AW84" s="29"/>
      <c r="AX84" s="28"/>
      <c r="AY84" s="28"/>
      <c r="AZ84" s="28"/>
      <c r="BA84" s="28"/>
      <c r="BB84" s="29"/>
      <c r="BC84" s="30"/>
      <c r="BD84" s="28"/>
      <c r="BE84" s="28"/>
      <c r="BF84" s="28"/>
    </row>
    <row r="85">
      <c r="A85" s="107" t="s">
        <v>342</v>
      </c>
      <c r="G85" s="27"/>
      <c r="H85" s="28"/>
      <c r="I85" s="28"/>
      <c r="J85" s="29"/>
      <c r="K85" s="27"/>
      <c r="L85" s="28"/>
      <c r="M85" s="28"/>
      <c r="N85" s="28"/>
      <c r="O85" s="29"/>
      <c r="P85" s="27"/>
      <c r="Q85" s="28"/>
      <c r="R85" s="28"/>
      <c r="S85" s="29"/>
      <c r="T85" s="27"/>
      <c r="U85" s="28"/>
      <c r="V85" s="28"/>
      <c r="W85" s="28"/>
      <c r="X85" s="29"/>
      <c r="Y85" s="28"/>
      <c r="Z85" s="28"/>
      <c r="AA85" s="28"/>
      <c r="AB85" s="29"/>
      <c r="AC85" s="27"/>
      <c r="AD85" s="28"/>
      <c r="AE85" s="28"/>
      <c r="AF85" s="29"/>
      <c r="AG85" s="28"/>
      <c r="AH85" s="28"/>
      <c r="AI85" s="28"/>
      <c r="AJ85" s="28"/>
      <c r="AK85" s="29"/>
      <c r="AL85" s="28"/>
      <c r="AM85" s="28"/>
      <c r="AN85" s="28"/>
      <c r="AO85" s="29"/>
      <c r="AP85" s="28"/>
      <c r="AQ85" s="28"/>
      <c r="AR85" s="28"/>
      <c r="AS85" s="29"/>
      <c r="AT85" s="28"/>
      <c r="AU85" s="28"/>
      <c r="AV85" s="28"/>
      <c r="AW85" s="29"/>
      <c r="AX85" s="28"/>
      <c r="AY85" s="28"/>
      <c r="AZ85" s="28"/>
      <c r="BA85" s="28"/>
      <c r="BB85" s="29"/>
      <c r="BC85" s="30"/>
      <c r="BD85" s="28"/>
      <c r="BE85" s="28"/>
      <c r="BF85" s="28"/>
    </row>
    <row r="86">
      <c r="A86" s="109" t="s">
        <v>343</v>
      </c>
      <c r="B86" s="134"/>
      <c r="C86" s="120"/>
      <c r="D86" s="98"/>
      <c r="E86" s="37" t="s">
        <v>277</v>
      </c>
      <c r="F86" s="114"/>
      <c r="G86" s="27"/>
      <c r="H86" s="28"/>
      <c r="I86" s="28"/>
      <c r="J86" s="29"/>
      <c r="K86" s="27"/>
      <c r="L86" s="28"/>
      <c r="M86" s="28"/>
      <c r="N86" s="28"/>
      <c r="O86" s="29"/>
      <c r="P86" s="27"/>
      <c r="Q86" s="28"/>
      <c r="R86" s="28"/>
      <c r="S86" s="29"/>
      <c r="T86" s="27"/>
      <c r="U86" s="28"/>
      <c r="V86" s="28"/>
      <c r="W86" s="28"/>
      <c r="X86" s="29"/>
      <c r="Y86" s="28"/>
      <c r="Z86" s="28"/>
      <c r="AA86" s="28"/>
      <c r="AB86" s="29"/>
      <c r="AC86" s="27"/>
      <c r="AD86" s="28"/>
      <c r="AE86" s="28"/>
      <c r="AF86" s="29"/>
      <c r="AG86" s="28"/>
      <c r="AH86" s="28"/>
      <c r="AI86" s="28"/>
      <c r="AJ86" s="124"/>
      <c r="AK86" s="29"/>
      <c r="AL86" s="28"/>
      <c r="AM86" s="28"/>
      <c r="AN86" s="28"/>
      <c r="AO86" s="29"/>
      <c r="AP86" s="28"/>
      <c r="AQ86" s="28"/>
      <c r="AR86" s="28"/>
      <c r="AS86" s="29"/>
      <c r="AT86" s="28"/>
      <c r="AU86" s="28"/>
      <c r="AV86" s="28"/>
      <c r="AW86" s="29"/>
      <c r="AX86" s="28"/>
      <c r="AY86" s="28"/>
      <c r="AZ86" s="28"/>
      <c r="BA86" s="28"/>
      <c r="BB86" s="29"/>
      <c r="BC86" s="30"/>
      <c r="BD86" s="28"/>
      <c r="BE86" s="28"/>
      <c r="BF86" s="28"/>
    </row>
    <row r="87">
      <c r="A87" s="109" t="s">
        <v>153</v>
      </c>
      <c r="B87" s="129"/>
      <c r="C87" s="123"/>
      <c r="D87" s="28"/>
      <c r="E87" s="37" t="s">
        <v>277</v>
      </c>
      <c r="F87" s="114"/>
      <c r="G87" s="27"/>
      <c r="H87" s="28"/>
      <c r="I87" s="28"/>
      <c r="J87" s="29"/>
      <c r="K87" s="27"/>
      <c r="L87" s="28"/>
      <c r="M87" s="28"/>
      <c r="N87" s="28"/>
      <c r="O87" s="29"/>
      <c r="P87" s="27"/>
      <c r="Q87" s="28"/>
      <c r="R87" s="28"/>
      <c r="S87" s="29"/>
      <c r="T87" s="27"/>
      <c r="U87" s="28"/>
      <c r="V87" s="28"/>
      <c r="W87" s="28"/>
      <c r="X87" s="29"/>
      <c r="Y87" s="28"/>
      <c r="Z87" s="28"/>
      <c r="AA87" s="28"/>
      <c r="AB87" s="29"/>
      <c r="AC87" s="27"/>
      <c r="AD87" s="28"/>
      <c r="AE87" s="28"/>
      <c r="AF87" s="29"/>
      <c r="AG87" s="28"/>
      <c r="AH87" s="28"/>
      <c r="AI87" s="28"/>
      <c r="AJ87" s="124"/>
      <c r="AK87" s="29"/>
      <c r="AL87" s="28"/>
      <c r="AM87" s="28"/>
      <c r="AN87" s="28"/>
      <c r="AO87" s="29"/>
      <c r="AP87" s="28"/>
      <c r="AQ87" s="28"/>
      <c r="AR87" s="28"/>
      <c r="AS87" s="29"/>
      <c r="AT87" s="28"/>
      <c r="AU87" s="28"/>
      <c r="AV87" s="28"/>
      <c r="AW87" s="29"/>
      <c r="AX87" s="28"/>
      <c r="AY87" s="28"/>
      <c r="AZ87" s="28"/>
      <c r="BA87" s="28"/>
      <c r="BB87" s="29"/>
      <c r="BC87" s="30"/>
      <c r="BD87" s="28"/>
      <c r="BE87" s="28"/>
      <c r="BF87" s="28"/>
    </row>
    <row r="88">
      <c r="A88" s="109" t="s">
        <v>154</v>
      </c>
      <c r="B88" s="129"/>
      <c r="C88" s="123"/>
      <c r="D88" s="98"/>
      <c r="E88" s="37" t="s">
        <v>277</v>
      </c>
      <c r="F88" s="114"/>
      <c r="G88" s="27"/>
      <c r="H88" s="28"/>
      <c r="I88" s="28"/>
      <c r="J88" s="29"/>
      <c r="K88" s="27"/>
      <c r="L88" s="28"/>
      <c r="M88" s="28"/>
      <c r="N88" s="28"/>
      <c r="O88" s="29"/>
      <c r="P88" s="27"/>
      <c r="Q88" s="28"/>
      <c r="R88" s="28"/>
      <c r="S88" s="29"/>
      <c r="T88" s="27"/>
      <c r="U88" s="28"/>
      <c r="V88" s="28"/>
      <c r="W88" s="28"/>
      <c r="X88" s="29"/>
      <c r="Y88" s="28"/>
      <c r="Z88" s="28"/>
      <c r="AA88" s="28"/>
      <c r="AB88" s="29"/>
      <c r="AC88" s="27"/>
      <c r="AD88" s="28"/>
      <c r="AE88" s="28"/>
      <c r="AF88" s="29"/>
      <c r="AG88" s="28"/>
      <c r="AH88" s="28"/>
      <c r="AI88" s="28"/>
      <c r="AJ88" s="124"/>
      <c r="AK88" s="126"/>
      <c r="AL88" s="28"/>
      <c r="AM88" s="28"/>
      <c r="AN88" s="28"/>
      <c r="AO88" s="29"/>
      <c r="AP88" s="28"/>
      <c r="AQ88" s="28"/>
      <c r="AR88" s="28"/>
      <c r="AS88" s="29"/>
      <c r="AT88" s="28"/>
      <c r="AU88" s="28"/>
      <c r="AV88" s="28"/>
      <c r="AW88" s="29"/>
      <c r="AX88" s="28"/>
      <c r="AY88" s="28"/>
      <c r="AZ88" s="28"/>
      <c r="BA88" s="28"/>
      <c r="BB88" s="29"/>
      <c r="BC88" s="30"/>
      <c r="BD88" s="28"/>
      <c r="BE88" s="28"/>
      <c r="BF88" s="28"/>
    </row>
    <row r="89">
      <c r="A89" s="109" t="s">
        <v>344</v>
      </c>
      <c r="B89" s="129"/>
      <c r="C89" s="123"/>
      <c r="D89" s="98"/>
      <c r="E89" s="37" t="s">
        <v>277</v>
      </c>
      <c r="F89" s="114"/>
      <c r="G89" s="27"/>
      <c r="H89" s="28"/>
      <c r="I89" s="28"/>
      <c r="J89" s="29"/>
      <c r="K89" s="27"/>
      <c r="L89" s="28"/>
      <c r="M89" s="28"/>
      <c r="N89" s="28"/>
      <c r="O89" s="29"/>
      <c r="P89" s="27"/>
      <c r="Q89" s="28"/>
      <c r="R89" s="28"/>
      <c r="S89" s="29"/>
      <c r="T89" s="27"/>
      <c r="U89" s="28"/>
      <c r="V89" s="28"/>
      <c r="W89" s="28"/>
      <c r="X89" s="29"/>
      <c r="Y89" s="28"/>
      <c r="Z89" s="28"/>
      <c r="AA89" s="28"/>
      <c r="AB89" s="29"/>
      <c r="AC89" s="27"/>
      <c r="AD89" s="28"/>
      <c r="AE89" s="28"/>
      <c r="AF89" s="29"/>
      <c r="AG89" s="28"/>
      <c r="AH89" s="28"/>
      <c r="AI89" s="28"/>
      <c r="AJ89" s="28"/>
      <c r="AK89" s="126"/>
      <c r="AL89" s="124"/>
      <c r="AM89" s="28"/>
      <c r="AN89" s="28"/>
      <c r="AO89" s="29"/>
      <c r="AP89" s="28"/>
      <c r="AQ89" s="28"/>
      <c r="AR89" s="28"/>
      <c r="AS89" s="29"/>
      <c r="AT89" s="28"/>
      <c r="AU89" s="28"/>
      <c r="AV89" s="28"/>
      <c r="AW89" s="29"/>
      <c r="AX89" s="28"/>
      <c r="AY89" s="28"/>
      <c r="AZ89" s="28"/>
      <c r="BA89" s="28"/>
      <c r="BB89" s="29"/>
      <c r="BC89" s="30"/>
      <c r="BD89" s="28"/>
      <c r="BE89" s="28"/>
      <c r="BF89" s="28"/>
    </row>
    <row r="90">
      <c r="A90" s="109" t="s">
        <v>345</v>
      </c>
      <c r="B90" s="129"/>
      <c r="C90" s="123"/>
      <c r="D90" s="28"/>
      <c r="E90" s="37" t="s">
        <v>277</v>
      </c>
      <c r="F90" s="114"/>
      <c r="G90" s="27"/>
      <c r="H90" s="28"/>
      <c r="I90" s="28"/>
      <c r="J90" s="29"/>
      <c r="K90" s="27"/>
      <c r="L90" s="28"/>
      <c r="M90" s="28"/>
      <c r="N90" s="28"/>
      <c r="O90" s="29"/>
      <c r="P90" s="27"/>
      <c r="Q90" s="28"/>
      <c r="R90" s="28"/>
      <c r="S90" s="29"/>
      <c r="T90" s="27"/>
      <c r="U90" s="28"/>
      <c r="V90" s="28"/>
      <c r="W90" s="28"/>
      <c r="X90" s="29"/>
      <c r="Y90" s="28"/>
      <c r="Z90" s="28"/>
      <c r="AA90" s="28"/>
      <c r="AB90" s="29"/>
      <c r="AC90" s="27"/>
      <c r="AD90" s="28"/>
      <c r="AE90" s="28"/>
      <c r="AF90" s="29"/>
      <c r="AG90" s="28"/>
      <c r="AH90" s="28"/>
      <c r="AI90" s="28"/>
      <c r="AJ90" s="28"/>
      <c r="AK90" s="29"/>
      <c r="AL90" s="28"/>
      <c r="AM90" s="124"/>
      <c r="AN90" s="28"/>
      <c r="AO90" s="29"/>
      <c r="AP90" s="28"/>
      <c r="AQ90" s="28"/>
      <c r="AR90" s="28"/>
      <c r="AS90" s="29"/>
      <c r="AT90" s="28"/>
      <c r="AU90" s="28"/>
      <c r="AV90" s="28"/>
      <c r="AW90" s="29"/>
      <c r="AX90" s="28"/>
      <c r="AY90" s="28"/>
      <c r="AZ90" s="28"/>
      <c r="BA90" s="28"/>
      <c r="BB90" s="29"/>
      <c r="BC90" s="30"/>
      <c r="BD90" s="28"/>
      <c r="BE90" s="28"/>
      <c r="BF90" s="28"/>
    </row>
    <row r="91">
      <c r="A91" s="109" t="s">
        <v>346</v>
      </c>
      <c r="B91" s="129"/>
      <c r="C91" s="123"/>
      <c r="D91" s="98"/>
      <c r="E91" s="37" t="s">
        <v>277</v>
      </c>
      <c r="F91" s="114"/>
      <c r="G91" s="27"/>
      <c r="H91" s="28"/>
      <c r="I91" s="28"/>
      <c r="J91" s="29"/>
      <c r="K91" s="27"/>
      <c r="L91" s="28"/>
      <c r="M91" s="28"/>
      <c r="N91" s="28"/>
      <c r="O91" s="29"/>
      <c r="P91" s="27"/>
      <c r="Q91" s="28"/>
      <c r="R91" s="28"/>
      <c r="S91" s="29"/>
      <c r="T91" s="27"/>
      <c r="U91" s="28"/>
      <c r="V91" s="28"/>
      <c r="W91" s="28"/>
      <c r="X91" s="29"/>
      <c r="Y91" s="28"/>
      <c r="Z91" s="28"/>
      <c r="AA91" s="28"/>
      <c r="AB91" s="29"/>
      <c r="AC91" s="27"/>
      <c r="AD91" s="28"/>
      <c r="AE91" s="28"/>
      <c r="AF91" s="29"/>
      <c r="AG91" s="28"/>
      <c r="AH91" s="28"/>
      <c r="AI91" s="28"/>
      <c r="AJ91" s="28"/>
      <c r="AK91" s="29"/>
      <c r="AL91" s="28"/>
      <c r="AM91" s="124"/>
      <c r="AN91" s="28"/>
      <c r="AO91" s="29"/>
      <c r="AP91" s="28"/>
      <c r="AQ91" s="28"/>
      <c r="AR91" s="28"/>
      <c r="AS91" s="29"/>
      <c r="AT91" s="28"/>
      <c r="AU91" s="28"/>
      <c r="AV91" s="28"/>
      <c r="AW91" s="29"/>
      <c r="AX91" s="28"/>
      <c r="AY91" s="28"/>
      <c r="AZ91" s="28"/>
      <c r="BA91" s="28"/>
      <c r="BB91" s="29"/>
      <c r="BC91" s="30"/>
      <c r="BD91" s="28"/>
      <c r="BE91" s="28"/>
      <c r="BF91" s="28"/>
    </row>
    <row r="92">
      <c r="A92" s="109" t="s">
        <v>347</v>
      </c>
      <c r="B92" s="129"/>
      <c r="C92" s="123"/>
      <c r="D92" s="98"/>
      <c r="E92" s="37" t="s">
        <v>277</v>
      </c>
      <c r="F92" s="114"/>
      <c r="G92" s="27"/>
      <c r="H92" s="28"/>
      <c r="I92" s="28"/>
      <c r="J92" s="29"/>
      <c r="K92" s="27"/>
      <c r="L92" s="28"/>
      <c r="M92" s="28"/>
      <c r="N92" s="28"/>
      <c r="O92" s="29"/>
      <c r="P92" s="27"/>
      <c r="Q92" s="28"/>
      <c r="R92" s="28"/>
      <c r="S92" s="29"/>
      <c r="T92" s="27"/>
      <c r="U92" s="28"/>
      <c r="V92" s="28"/>
      <c r="W92" s="28"/>
      <c r="X92" s="29"/>
      <c r="Y92" s="28"/>
      <c r="Z92" s="28"/>
      <c r="AA92" s="28"/>
      <c r="AB92" s="29"/>
      <c r="AC92" s="27"/>
      <c r="AD92" s="28"/>
      <c r="AE92" s="28"/>
      <c r="AF92" s="29"/>
      <c r="AG92" s="28"/>
      <c r="AH92" s="28"/>
      <c r="AI92" s="28"/>
      <c r="AJ92" s="28"/>
      <c r="AK92" s="29"/>
      <c r="AL92" s="28"/>
      <c r="AM92" s="28"/>
      <c r="AN92" s="28"/>
      <c r="AO92" s="29"/>
      <c r="AP92" s="28"/>
      <c r="AQ92" s="28"/>
      <c r="AR92" s="28"/>
      <c r="AS92" s="29"/>
      <c r="AT92" s="28"/>
      <c r="AU92" s="28"/>
      <c r="AV92" s="28"/>
      <c r="AW92" s="29"/>
      <c r="AX92" s="28"/>
      <c r="AY92" s="28"/>
      <c r="AZ92" s="28"/>
      <c r="BA92" s="28"/>
      <c r="BB92" s="29"/>
      <c r="BC92" s="30"/>
      <c r="BD92" s="28"/>
      <c r="BE92" s="28"/>
      <c r="BF92" s="28"/>
    </row>
    <row r="93">
      <c r="A93" s="109" t="s">
        <v>348</v>
      </c>
      <c r="B93" s="129"/>
      <c r="C93" s="123"/>
      <c r="D93" s="28"/>
      <c r="E93" s="37" t="s">
        <v>277</v>
      </c>
      <c r="F93" s="114"/>
      <c r="G93" s="27"/>
      <c r="H93" s="28"/>
      <c r="I93" s="28"/>
      <c r="J93" s="29"/>
      <c r="K93" s="27"/>
      <c r="L93" s="28"/>
      <c r="M93" s="28"/>
      <c r="N93" s="28"/>
      <c r="O93" s="29"/>
      <c r="P93" s="27"/>
      <c r="Q93" s="28"/>
      <c r="R93" s="28"/>
      <c r="S93" s="29"/>
      <c r="T93" s="27"/>
      <c r="U93" s="28"/>
      <c r="V93" s="28"/>
      <c r="W93" s="28"/>
      <c r="X93" s="29"/>
      <c r="Y93" s="28"/>
      <c r="Z93" s="28"/>
      <c r="AA93" s="28"/>
      <c r="AB93" s="29"/>
      <c r="AC93" s="27"/>
      <c r="AD93" s="28"/>
      <c r="AE93" s="28"/>
      <c r="AF93" s="29"/>
      <c r="AG93" s="28"/>
      <c r="AH93" s="28"/>
      <c r="AI93" s="28"/>
      <c r="AJ93" s="124"/>
      <c r="AK93" s="126"/>
      <c r="AL93" s="28"/>
      <c r="AM93" s="28"/>
      <c r="AN93" s="28"/>
      <c r="AO93" s="29"/>
      <c r="AP93" s="28"/>
      <c r="AQ93" s="28"/>
      <c r="AR93" s="28"/>
      <c r="AS93" s="29"/>
      <c r="AT93" s="28"/>
      <c r="AU93" s="28"/>
      <c r="AV93" s="28"/>
      <c r="AW93" s="29"/>
      <c r="AX93" s="28"/>
      <c r="AY93" s="28"/>
      <c r="AZ93" s="28"/>
      <c r="BA93" s="28"/>
      <c r="BB93" s="29"/>
      <c r="BC93" s="30"/>
      <c r="BD93" s="28"/>
      <c r="BE93" s="28"/>
      <c r="BF93" s="28"/>
    </row>
    <row r="94">
      <c r="A94" s="115"/>
      <c r="B94" s="132"/>
      <c r="C94" s="132"/>
      <c r="D94" s="28"/>
      <c r="E94" s="122"/>
      <c r="F94" s="115"/>
      <c r="G94" s="27"/>
      <c r="H94" s="28"/>
      <c r="I94" s="28"/>
      <c r="J94" s="29"/>
      <c r="K94" s="27"/>
      <c r="L94" s="28"/>
      <c r="M94" s="28"/>
      <c r="N94" s="28"/>
      <c r="O94" s="29"/>
      <c r="P94" s="27"/>
      <c r="Q94" s="28"/>
      <c r="R94" s="28"/>
      <c r="S94" s="29"/>
      <c r="T94" s="27"/>
      <c r="U94" s="28"/>
      <c r="V94" s="28"/>
      <c r="W94" s="28"/>
      <c r="X94" s="29"/>
      <c r="Y94" s="28"/>
      <c r="Z94" s="28"/>
      <c r="AA94" s="28"/>
      <c r="AB94" s="29"/>
      <c r="AC94" s="27"/>
      <c r="AD94" s="28"/>
      <c r="AE94" s="28"/>
      <c r="AF94" s="29"/>
      <c r="AG94" s="28"/>
      <c r="AH94" s="28"/>
      <c r="AI94" s="28"/>
      <c r="AJ94" s="28"/>
      <c r="AK94" s="29"/>
      <c r="AL94" s="28"/>
      <c r="AM94" s="28"/>
      <c r="AN94" s="28"/>
      <c r="AO94" s="29"/>
      <c r="AP94" s="28"/>
      <c r="AQ94" s="28"/>
      <c r="AR94" s="28"/>
      <c r="AS94" s="29"/>
      <c r="AT94" s="28"/>
      <c r="AU94" s="28"/>
      <c r="AV94" s="28"/>
      <c r="AW94" s="29"/>
      <c r="AX94" s="28"/>
      <c r="AY94" s="28"/>
      <c r="AZ94" s="28"/>
      <c r="BA94" s="28"/>
      <c r="BB94" s="29"/>
      <c r="BC94" s="30"/>
      <c r="BD94" s="28"/>
      <c r="BE94" s="28"/>
      <c r="BF94" s="28"/>
    </row>
    <row r="95">
      <c r="A95" s="135" t="s">
        <v>349</v>
      </c>
      <c r="G95" s="27"/>
      <c r="H95" s="28"/>
      <c r="I95" s="28"/>
      <c r="J95" s="29"/>
      <c r="K95" s="27"/>
      <c r="L95" s="28"/>
      <c r="M95" s="28"/>
      <c r="N95" s="28"/>
      <c r="O95" s="29"/>
      <c r="P95" s="27"/>
      <c r="Q95" s="28"/>
      <c r="R95" s="28"/>
      <c r="S95" s="29"/>
      <c r="T95" s="27"/>
      <c r="U95" s="28"/>
      <c r="V95" s="28"/>
      <c r="W95" s="28"/>
      <c r="X95" s="29"/>
      <c r="Y95" s="28"/>
      <c r="Z95" s="28"/>
      <c r="AA95" s="28"/>
      <c r="AB95" s="29"/>
      <c r="AC95" s="27"/>
      <c r="AD95" s="28"/>
      <c r="AE95" s="28"/>
      <c r="AF95" s="29"/>
      <c r="AG95" s="28"/>
      <c r="AH95" s="28"/>
      <c r="AI95" s="28"/>
      <c r="AJ95" s="28"/>
      <c r="AK95" s="29"/>
      <c r="AL95" s="28"/>
      <c r="AM95" s="28"/>
      <c r="AN95" s="28"/>
      <c r="AO95" s="29"/>
      <c r="AP95" s="28"/>
      <c r="AQ95" s="28"/>
      <c r="AR95" s="28"/>
      <c r="AS95" s="29"/>
      <c r="AT95" s="28"/>
      <c r="AU95" s="28"/>
      <c r="AV95" s="28"/>
      <c r="AW95" s="29"/>
      <c r="AX95" s="28"/>
      <c r="AY95" s="28"/>
      <c r="AZ95" s="28"/>
      <c r="BA95" s="28"/>
      <c r="BB95" s="29"/>
      <c r="BC95" s="30"/>
      <c r="BD95" s="28"/>
      <c r="BE95" s="28"/>
      <c r="BF95" s="28"/>
    </row>
    <row r="96">
      <c r="A96" s="26" t="s">
        <v>350</v>
      </c>
      <c r="B96" s="120"/>
      <c r="C96" s="120"/>
      <c r="D96" s="98"/>
      <c r="E96" s="98" t="s">
        <v>277</v>
      </c>
      <c r="F96" s="114"/>
      <c r="G96" s="27"/>
      <c r="H96" s="28"/>
      <c r="I96" s="28"/>
      <c r="J96" s="29"/>
      <c r="K96" s="27"/>
      <c r="L96" s="28"/>
      <c r="M96" s="28"/>
      <c r="N96" s="28"/>
      <c r="O96" s="29"/>
      <c r="P96" s="27"/>
      <c r="Q96" s="28"/>
      <c r="R96" s="28"/>
      <c r="S96" s="29"/>
      <c r="T96" s="27"/>
      <c r="U96" s="28"/>
      <c r="V96" s="28"/>
      <c r="W96" s="28"/>
      <c r="X96" s="29"/>
      <c r="Y96" s="28"/>
      <c r="Z96" s="28"/>
      <c r="AA96" s="28"/>
      <c r="AB96" s="29"/>
      <c r="AC96" s="27"/>
      <c r="AD96" s="28"/>
      <c r="AE96" s="28"/>
      <c r="AF96" s="29"/>
      <c r="AG96" s="28"/>
      <c r="AH96" s="28"/>
      <c r="AI96" s="28"/>
      <c r="AJ96" s="124"/>
      <c r="AK96" s="29"/>
      <c r="AL96" s="28"/>
      <c r="AM96" s="28"/>
      <c r="AN96" s="28"/>
      <c r="AO96" s="29"/>
      <c r="AP96" s="28"/>
      <c r="AQ96" s="28"/>
      <c r="AR96" s="28"/>
      <c r="AS96" s="29"/>
      <c r="AT96" s="28"/>
      <c r="AU96" s="28"/>
      <c r="AV96" s="28"/>
      <c r="AW96" s="29"/>
      <c r="AX96" s="28"/>
      <c r="AY96" s="28"/>
      <c r="AZ96" s="28"/>
      <c r="BA96" s="28"/>
      <c r="BB96" s="29"/>
      <c r="BC96" s="30"/>
      <c r="BD96" s="28"/>
      <c r="BE96" s="28"/>
      <c r="BF96" s="28"/>
    </row>
    <row r="97">
      <c r="A97" s="26" t="s">
        <v>351</v>
      </c>
      <c r="B97" s="130"/>
      <c r="C97" s="123"/>
      <c r="D97" s="28"/>
      <c r="E97" s="98" t="s">
        <v>277</v>
      </c>
      <c r="F97" s="114"/>
      <c r="G97" s="27"/>
      <c r="H97" s="28"/>
      <c r="I97" s="28"/>
      <c r="J97" s="29"/>
      <c r="K97" s="27"/>
      <c r="L97" s="28"/>
      <c r="M97" s="28"/>
      <c r="N97" s="28"/>
      <c r="O97" s="29"/>
      <c r="P97" s="27"/>
      <c r="Q97" s="28"/>
      <c r="R97" s="28"/>
      <c r="S97" s="29"/>
      <c r="T97" s="27"/>
      <c r="U97" s="28"/>
      <c r="V97" s="28"/>
      <c r="W97" s="28"/>
      <c r="X97" s="29"/>
      <c r="Y97" s="28"/>
      <c r="Z97" s="28"/>
      <c r="AA97" s="28"/>
      <c r="AB97" s="29"/>
      <c r="AC97" s="27"/>
      <c r="AD97" s="28"/>
      <c r="AE97" s="28"/>
      <c r="AF97" s="29"/>
      <c r="AG97" s="28"/>
      <c r="AH97" s="28"/>
      <c r="AI97" s="28"/>
      <c r="AJ97" s="124"/>
      <c r="AK97" s="29"/>
      <c r="AL97" s="28"/>
      <c r="AM97" s="28"/>
      <c r="AN97" s="28"/>
      <c r="AO97" s="29"/>
      <c r="AP97" s="28"/>
      <c r="AQ97" s="28"/>
      <c r="AR97" s="28"/>
      <c r="AS97" s="29"/>
      <c r="AT97" s="28"/>
      <c r="AU97" s="28"/>
      <c r="AV97" s="28"/>
      <c r="AW97" s="29"/>
      <c r="AX97" s="28"/>
      <c r="AY97" s="28"/>
      <c r="AZ97" s="28"/>
      <c r="BA97" s="28"/>
      <c r="BB97" s="29"/>
      <c r="BC97" s="30"/>
      <c r="BD97" s="28"/>
      <c r="BE97" s="28"/>
      <c r="BF97" s="28"/>
    </row>
    <row r="98">
      <c r="A98" s="26" t="s">
        <v>352</v>
      </c>
      <c r="B98" s="130"/>
      <c r="C98" s="123"/>
      <c r="D98" s="28"/>
      <c r="E98" s="98" t="s">
        <v>277</v>
      </c>
      <c r="F98" s="114"/>
      <c r="G98" s="27"/>
      <c r="H98" s="28"/>
      <c r="I98" s="28"/>
      <c r="J98" s="29"/>
      <c r="K98" s="27"/>
      <c r="L98" s="28"/>
      <c r="M98" s="28"/>
      <c r="N98" s="28"/>
      <c r="O98" s="29"/>
      <c r="P98" s="27"/>
      <c r="Q98" s="28"/>
      <c r="R98" s="28"/>
      <c r="S98" s="29"/>
      <c r="T98" s="27"/>
      <c r="U98" s="28"/>
      <c r="V98" s="28"/>
      <c r="W98" s="28"/>
      <c r="X98" s="29"/>
      <c r="Y98" s="28"/>
      <c r="Z98" s="28"/>
      <c r="AA98" s="28"/>
      <c r="AB98" s="29"/>
      <c r="AC98" s="27"/>
      <c r="AD98" s="28"/>
      <c r="AE98" s="28"/>
      <c r="AF98" s="29"/>
      <c r="AG98" s="28"/>
      <c r="AH98" s="28"/>
      <c r="AI98" s="28"/>
      <c r="AJ98" s="124"/>
      <c r="AK98" s="29"/>
      <c r="AL98" s="28"/>
      <c r="AM98" s="28"/>
      <c r="AN98" s="28"/>
      <c r="AO98" s="29"/>
      <c r="AP98" s="28"/>
      <c r="AQ98" s="28"/>
      <c r="AR98" s="28"/>
      <c r="AS98" s="29"/>
      <c r="AT98" s="28"/>
      <c r="AU98" s="28"/>
      <c r="AV98" s="28"/>
      <c r="AW98" s="29"/>
      <c r="AX98" s="28"/>
      <c r="AY98" s="28"/>
      <c r="AZ98" s="28"/>
      <c r="BA98" s="28"/>
      <c r="BB98" s="29"/>
      <c r="BC98" s="30"/>
      <c r="BD98" s="28"/>
      <c r="BE98" s="28"/>
      <c r="BF98" s="28"/>
    </row>
    <row r="99">
      <c r="A99" s="26" t="s">
        <v>353</v>
      </c>
      <c r="B99" s="130"/>
      <c r="C99" s="123"/>
      <c r="D99" s="28"/>
      <c r="E99" s="98" t="s">
        <v>277</v>
      </c>
      <c r="F99" s="114"/>
      <c r="G99" s="27"/>
      <c r="H99" s="28"/>
      <c r="I99" s="28"/>
      <c r="J99" s="29"/>
      <c r="K99" s="27"/>
      <c r="L99" s="28"/>
      <c r="M99" s="28"/>
      <c r="N99" s="28"/>
      <c r="O99" s="29"/>
      <c r="P99" s="27"/>
      <c r="Q99" s="28"/>
      <c r="R99" s="28"/>
      <c r="S99" s="29"/>
      <c r="T99" s="27"/>
      <c r="U99" s="28"/>
      <c r="V99" s="28"/>
      <c r="W99" s="28"/>
      <c r="X99" s="29"/>
      <c r="Y99" s="28"/>
      <c r="Z99" s="28"/>
      <c r="AA99" s="28"/>
      <c r="AB99" s="29"/>
      <c r="AC99" s="27"/>
      <c r="AD99" s="28"/>
      <c r="AE99" s="28"/>
      <c r="AF99" s="29"/>
      <c r="AG99" s="28"/>
      <c r="AH99" s="28"/>
      <c r="AI99" s="28"/>
      <c r="AJ99" s="124"/>
      <c r="AK99" s="126"/>
      <c r="AL99" s="28"/>
      <c r="AM99" s="28"/>
      <c r="AN99" s="28"/>
      <c r="AO99" s="29"/>
      <c r="AP99" s="28"/>
      <c r="AQ99" s="28"/>
      <c r="AR99" s="28"/>
      <c r="AS99" s="29"/>
      <c r="AT99" s="28"/>
      <c r="AU99" s="28"/>
      <c r="AV99" s="28"/>
      <c r="AW99" s="29"/>
      <c r="AX99" s="28"/>
      <c r="AY99" s="28"/>
      <c r="AZ99" s="28"/>
      <c r="BA99" s="28"/>
      <c r="BB99" s="29"/>
      <c r="BC99" s="30"/>
      <c r="BD99" s="28"/>
      <c r="BE99" s="28"/>
      <c r="BF99" s="28"/>
    </row>
    <row r="100">
      <c r="A100" s="26" t="s">
        <v>354</v>
      </c>
      <c r="B100" s="123"/>
      <c r="C100" s="123"/>
      <c r="D100" s="28"/>
      <c r="E100" s="98" t="s">
        <v>277</v>
      </c>
      <c r="F100" s="114"/>
      <c r="G100" s="27"/>
      <c r="H100" s="28"/>
      <c r="I100" s="28"/>
      <c r="J100" s="29"/>
      <c r="K100" s="27"/>
      <c r="L100" s="28"/>
      <c r="M100" s="28"/>
      <c r="N100" s="28"/>
      <c r="O100" s="29"/>
      <c r="P100" s="27"/>
      <c r="Q100" s="28"/>
      <c r="R100" s="28"/>
      <c r="S100" s="29"/>
      <c r="T100" s="27"/>
      <c r="U100" s="28"/>
      <c r="V100" s="28"/>
      <c r="W100" s="28"/>
      <c r="X100" s="29"/>
      <c r="Y100" s="28"/>
      <c r="Z100" s="28"/>
      <c r="AA100" s="28"/>
      <c r="AB100" s="29"/>
      <c r="AC100" s="27"/>
      <c r="AD100" s="28"/>
      <c r="AE100" s="28"/>
      <c r="AF100" s="29"/>
      <c r="AG100" s="28"/>
      <c r="AH100" s="28"/>
      <c r="AI100" s="28"/>
      <c r="AJ100" s="28"/>
      <c r="AK100" s="126"/>
      <c r="AL100" s="28"/>
      <c r="AM100" s="28"/>
      <c r="AN100" s="28"/>
      <c r="AO100" s="29"/>
      <c r="AP100" s="28"/>
      <c r="AQ100" s="28"/>
      <c r="AR100" s="28"/>
      <c r="AS100" s="29"/>
      <c r="AT100" s="28"/>
      <c r="AU100" s="28"/>
      <c r="AV100" s="28"/>
      <c r="AW100" s="29"/>
      <c r="AX100" s="28"/>
      <c r="AY100" s="28"/>
      <c r="AZ100" s="28"/>
      <c r="BA100" s="28"/>
      <c r="BB100" s="29"/>
      <c r="BC100" s="30"/>
      <c r="BD100" s="28"/>
      <c r="BE100" s="28"/>
      <c r="BF100" s="28"/>
    </row>
    <row r="101">
      <c r="A101" s="26" t="s">
        <v>355</v>
      </c>
      <c r="B101" s="123"/>
      <c r="C101" s="123"/>
      <c r="D101" s="28"/>
      <c r="E101" s="98" t="s">
        <v>277</v>
      </c>
      <c r="F101" s="114"/>
      <c r="G101" s="27"/>
      <c r="H101" s="28"/>
      <c r="I101" s="28"/>
      <c r="J101" s="29"/>
      <c r="K101" s="27"/>
      <c r="L101" s="28"/>
      <c r="M101" s="28"/>
      <c r="N101" s="28"/>
      <c r="O101" s="29"/>
      <c r="P101" s="27"/>
      <c r="Q101" s="28"/>
      <c r="R101" s="28"/>
      <c r="S101" s="29"/>
      <c r="T101" s="27"/>
      <c r="U101" s="28"/>
      <c r="V101" s="28"/>
      <c r="W101" s="28"/>
      <c r="X101" s="29"/>
      <c r="Y101" s="28"/>
      <c r="Z101" s="28"/>
      <c r="AA101" s="28"/>
      <c r="AB101" s="29"/>
      <c r="AC101" s="27"/>
      <c r="AD101" s="28"/>
      <c r="AE101" s="28"/>
      <c r="AF101" s="29"/>
      <c r="AG101" s="28"/>
      <c r="AH101" s="28"/>
      <c r="AI101" s="28"/>
      <c r="AJ101" s="28"/>
      <c r="AK101" s="126"/>
      <c r="AL101" s="28"/>
      <c r="AM101" s="28"/>
      <c r="AN101" s="28"/>
      <c r="AO101" s="29"/>
      <c r="AP101" s="28"/>
      <c r="AQ101" s="28"/>
      <c r="AR101" s="28"/>
      <c r="AS101" s="29"/>
      <c r="AT101" s="28"/>
      <c r="AU101" s="28"/>
      <c r="AV101" s="28"/>
      <c r="AW101" s="29"/>
      <c r="AX101" s="28"/>
      <c r="AY101" s="28"/>
      <c r="AZ101" s="28"/>
      <c r="BA101" s="28"/>
      <c r="BB101" s="29"/>
      <c r="BC101" s="30"/>
      <c r="BD101" s="28"/>
      <c r="BE101" s="28"/>
      <c r="BF101" s="28"/>
    </row>
    <row r="102">
      <c r="A102" s="26" t="s">
        <v>356</v>
      </c>
      <c r="B102" s="123"/>
      <c r="C102" s="123"/>
      <c r="D102" s="28"/>
      <c r="E102" s="98" t="s">
        <v>277</v>
      </c>
      <c r="F102" s="114"/>
      <c r="G102" s="27"/>
      <c r="H102" s="28"/>
      <c r="I102" s="28"/>
      <c r="J102" s="29"/>
      <c r="K102" s="27"/>
      <c r="L102" s="28"/>
      <c r="M102" s="28"/>
      <c r="N102" s="28"/>
      <c r="O102" s="29"/>
      <c r="P102" s="27"/>
      <c r="Q102" s="28"/>
      <c r="R102" s="28"/>
      <c r="S102" s="29"/>
      <c r="T102" s="27"/>
      <c r="U102" s="28"/>
      <c r="V102" s="28"/>
      <c r="W102" s="28"/>
      <c r="X102" s="29"/>
      <c r="Y102" s="28"/>
      <c r="Z102" s="28"/>
      <c r="AA102" s="28"/>
      <c r="AB102" s="29"/>
      <c r="AC102" s="27"/>
      <c r="AD102" s="28"/>
      <c r="AE102" s="28"/>
      <c r="AF102" s="29"/>
      <c r="AG102" s="28"/>
      <c r="AH102" s="28"/>
      <c r="AI102" s="28"/>
      <c r="AJ102" s="28"/>
      <c r="AK102" s="126"/>
      <c r="AL102" s="124"/>
      <c r="AM102" s="28"/>
      <c r="AN102" s="28"/>
      <c r="AO102" s="29"/>
      <c r="AP102" s="28"/>
      <c r="AQ102" s="28"/>
      <c r="AR102" s="28"/>
      <c r="AS102" s="29"/>
      <c r="AT102" s="28"/>
      <c r="AU102" s="28"/>
      <c r="AV102" s="28"/>
      <c r="AW102" s="29"/>
      <c r="AX102" s="28"/>
      <c r="AY102" s="28"/>
      <c r="AZ102" s="28"/>
      <c r="BA102" s="28"/>
      <c r="BB102" s="29"/>
      <c r="BC102" s="30"/>
      <c r="BD102" s="28"/>
      <c r="BE102" s="28"/>
      <c r="BF102" s="28"/>
    </row>
    <row r="103">
      <c r="A103" s="26"/>
      <c r="B103" s="123"/>
      <c r="C103" s="123"/>
      <c r="D103" s="28"/>
      <c r="E103" s="98" t="s">
        <v>277</v>
      </c>
      <c r="F103" s="114"/>
      <c r="G103" s="27"/>
      <c r="H103" s="28"/>
      <c r="I103" s="28"/>
      <c r="J103" s="29"/>
      <c r="K103" s="27"/>
      <c r="L103" s="28"/>
      <c r="M103" s="28"/>
      <c r="N103" s="28"/>
      <c r="O103" s="29"/>
      <c r="P103" s="27"/>
      <c r="Q103" s="28"/>
      <c r="R103" s="28"/>
      <c r="S103" s="29"/>
      <c r="T103" s="27"/>
      <c r="U103" s="28"/>
      <c r="V103" s="28"/>
      <c r="W103" s="28"/>
      <c r="X103" s="29"/>
      <c r="Y103" s="28"/>
      <c r="Z103" s="28"/>
      <c r="AA103" s="28"/>
      <c r="AB103" s="29"/>
      <c r="AC103" s="27"/>
      <c r="AD103" s="28"/>
      <c r="AE103" s="28"/>
      <c r="AF103" s="29"/>
      <c r="AG103" s="28"/>
      <c r="AH103" s="28"/>
      <c r="AI103" s="28"/>
      <c r="AJ103" s="28"/>
      <c r="AK103" s="29"/>
      <c r="AL103" s="124"/>
      <c r="AM103" s="28"/>
      <c r="AN103" s="28"/>
      <c r="AO103" s="29"/>
      <c r="AP103" s="28"/>
      <c r="AQ103" s="28"/>
      <c r="AR103" s="28"/>
      <c r="AS103" s="29"/>
      <c r="AT103" s="28"/>
      <c r="AU103" s="28"/>
      <c r="AV103" s="28"/>
      <c r="AW103" s="29"/>
      <c r="AX103" s="28"/>
      <c r="AY103" s="28"/>
      <c r="AZ103" s="28"/>
      <c r="BA103" s="28"/>
      <c r="BB103" s="29"/>
      <c r="BC103" s="30"/>
      <c r="BD103" s="28"/>
      <c r="BE103" s="28"/>
      <c r="BF103" s="28"/>
    </row>
    <row r="104">
      <c r="A104" s="109"/>
      <c r="B104" s="129"/>
      <c r="C104" s="123"/>
      <c r="D104" s="98"/>
      <c r="E104" s="98" t="s">
        <v>277</v>
      </c>
      <c r="F104" s="114"/>
      <c r="G104" s="27"/>
      <c r="H104" s="28"/>
      <c r="I104" s="28"/>
      <c r="J104" s="29"/>
      <c r="K104" s="27"/>
      <c r="L104" s="28"/>
      <c r="M104" s="28"/>
      <c r="N104" s="28"/>
      <c r="O104" s="29"/>
      <c r="P104" s="27"/>
      <c r="Q104" s="28"/>
      <c r="R104" s="28"/>
      <c r="S104" s="29"/>
      <c r="T104" s="27"/>
      <c r="U104" s="28"/>
      <c r="V104" s="28"/>
      <c r="W104" s="28"/>
      <c r="X104" s="29"/>
      <c r="Y104" s="28"/>
      <c r="Z104" s="28"/>
      <c r="AA104" s="28"/>
      <c r="AB104" s="29"/>
      <c r="AC104" s="27"/>
      <c r="AD104" s="28"/>
      <c r="AE104" s="28"/>
      <c r="AF104" s="29"/>
      <c r="AG104" s="28"/>
      <c r="AH104" s="28"/>
      <c r="AI104" s="28"/>
      <c r="AJ104" s="28"/>
      <c r="AK104" s="29"/>
      <c r="AL104" s="28"/>
      <c r="AM104" s="28"/>
      <c r="AN104" s="28"/>
      <c r="AO104" s="29"/>
      <c r="AP104" s="28"/>
      <c r="AQ104" s="28"/>
      <c r="AR104" s="28"/>
      <c r="AS104" s="29"/>
      <c r="AT104" s="28"/>
      <c r="AU104" s="28"/>
      <c r="AV104" s="28"/>
      <c r="AW104" s="29"/>
      <c r="AX104" s="28"/>
      <c r="AY104" s="28"/>
      <c r="AZ104" s="28"/>
      <c r="BA104" s="28"/>
      <c r="BB104" s="29"/>
      <c r="BC104" s="30"/>
      <c r="BD104" s="28"/>
      <c r="BE104" s="28"/>
      <c r="BF104" s="28"/>
    </row>
    <row r="105">
      <c r="A105" s="109"/>
      <c r="B105" s="123"/>
      <c r="C105" s="123"/>
      <c r="D105" s="28"/>
      <c r="E105" s="37" t="s">
        <v>277</v>
      </c>
      <c r="F105" s="112"/>
      <c r="G105" s="27"/>
      <c r="H105" s="28"/>
      <c r="I105" s="28"/>
      <c r="J105" s="29"/>
      <c r="K105" s="27"/>
      <c r="L105" s="28"/>
      <c r="M105" s="28"/>
      <c r="N105" s="28"/>
      <c r="O105" s="29"/>
      <c r="P105" s="27"/>
      <c r="Q105" s="28"/>
      <c r="R105" s="28"/>
      <c r="S105" s="29"/>
      <c r="T105" s="27"/>
      <c r="U105" s="28"/>
      <c r="V105" s="28"/>
      <c r="W105" s="28"/>
      <c r="X105" s="29"/>
      <c r="Y105" s="28"/>
      <c r="Z105" s="28"/>
      <c r="AA105" s="28"/>
      <c r="AB105" s="29"/>
      <c r="AC105" s="27"/>
      <c r="AD105" s="28"/>
      <c r="AE105" s="28"/>
      <c r="AF105" s="29"/>
      <c r="AG105" s="28"/>
      <c r="AH105" s="28"/>
      <c r="AI105" s="28"/>
      <c r="AJ105" s="28"/>
      <c r="AK105" s="29"/>
      <c r="AL105" s="28"/>
      <c r="AM105" s="28"/>
      <c r="AN105" s="28"/>
      <c r="AO105" s="29"/>
      <c r="AP105" s="28"/>
      <c r="AQ105" s="28"/>
      <c r="AR105" s="28"/>
      <c r="AS105" s="29"/>
      <c r="AT105" s="28"/>
      <c r="AU105" s="28"/>
      <c r="AV105" s="28"/>
      <c r="AW105" s="29"/>
      <c r="AX105" s="28"/>
      <c r="AY105" s="28"/>
      <c r="AZ105" s="28"/>
      <c r="BA105" s="28"/>
      <c r="BB105" s="29"/>
      <c r="BC105" s="30"/>
      <c r="BD105" s="28"/>
      <c r="BE105" s="28"/>
      <c r="BF105" s="28"/>
    </row>
    <row r="106">
      <c r="A106" s="109"/>
      <c r="B106" s="129"/>
      <c r="C106" s="123"/>
      <c r="D106" s="28"/>
      <c r="E106" s="37" t="s">
        <v>277</v>
      </c>
      <c r="F106" s="114"/>
      <c r="G106" s="27"/>
      <c r="H106" s="28"/>
      <c r="I106" s="28"/>
      <c r="J106" s="29"/>
      <c r="K106" s="27"/>
      <c r="L106" s="28"/>
      <c r="M106" s="28"/>
      <c r="N106" s="28"/>
      <c r="O106" s="29"/>
      <c r="P106" s="27"/>
      <c r="Q106" s="28"/>
      <c r="R106" s="28"/>
      <c r="S106" s="29"/>
      <c r="T106" s="27"/>
      <c r="U106" s="28"/>
      <c r="V106" s="28"/>
      <c r="W106" s="28"/>
      <c r="X106" s="29"/>
      <c r="Y106" s="28"/>
      <c r="Z106" s="28"/>
      <c r="AA106" s="28"/>
      <c r="AB106" s="29"/>
      <c r="AC106" s="27"/>
      <c r="AD106" s="28"/>
      <c r="AE106" s="28"/>
      <c r="AF106" s="29"/>
      <c r="AG106" s="28"/>
      <c r="AH106" s="28"/>
      <c r="AI106" s="28"/>
      <c r="AJ106" s="28"/>
      <c r="AK106" s="29"/>
      <c r="AL106" s="28"/>
      <c r="AM106" s="28"/>
      <c r="AN106" s="28"/>
      <c r="AO106" s="29"/>
      <c r="AP106" s="28"/>
      <c r="AQ106" s="28"/>
      <c r="AR106" s="28"/>
      <c r="AS106" s="29"/>
      <c r="AT106" s="28"/>
      <c r="AU106" s="28"/>
      <c r="AV106" s="28"/>
      <c r="AW106" s="29"/>
      <c r="AX106" s="28"/>
      <c r="AY106" s="28"/>
      <c r="AZ106" s="28"/>
      <c r="BA106" s="28"/>
      <c r="BB106" s="29"/>
      <c r="BC106" s="30"/>
      <c r="BD106" s="28"/>
      <c r="BE106" s="28"/>
      <c r="BF106" s="28"/>
    </row>
    <row r="107">
      <c r="A107" s="109"/>
      <c r="B107" s="130"/>
      <c r="C107" s="130"/>
      <c r="D107" s="98"/>
      <c r="E107" s="37" t="s">
        <v>277</v>
      </c>
      <c r="F107" s="1"/>
      <c r="G107" s="27"/>
      <c r="H107" s="28"/>
      <c r="I107" s="28"/>
      <c r="J107" s="29"/>
      <c r="K107" s="27"/>
      <c r="L107" s="28"/>
      <c r="M107" s="28"/>
      <c r="N107" s="28"/>
      <c r="O107" s="29"/>
      <c r="P107" s="27"/>
      <c r="Q107" s="28"/>
      <c r="R107" s="28"/>
      <c r="S107" s="29"/>
      <c r="T107" s="27"/>
      <c r="U107" s="28"/>
      <c r="V107" s="28"/>
      <c r="W107" s="28"/>
      <c r="X107" s="29"/>
      <c r="Y107" s="28"/>
      <c r="Z107" s="28"/>
      <c r="AA107" s="28"/>
      <c r="AB107" s="29"/>
      <c r="AC107" s="27"/>
      <c r="AD107" s="28"/>
      <c r="AE107" s="28"/>
      <c r="AF107" s="29"/>
      <c r="AG107" s="28"/>
      <c r="AH107" s="28"/>
      <c r="AI107" s="28"/>
      <c r="AJ107" s="28"/>
      <c r="AK107" s="29"/>
      <c r="AL107" s="28"/>
      <c r="AM107" s="28"/>
      <c r="AN107" s="28"/>
      <c r="AO107" s="29"/>
      <c r="AP107" s="28"/>
      <c r="AQ107" s="28"/>
      <c r="AR107" s="28"/>
      <c r="AS107" s="29"/>
      <c r="AT107" s="28"/>
      <c r="AU107" s="28"/>
      <c r="AV107" s="28"/>
      <c r="AW107" s="29"/>
      <c r="AX107" s="28"/>
      <c r="AY107" s="28"/>
      <c r="AZ107" s="28"/>
      <c r="BA107" s="28"/>
      <c r="BB107" s="29"/>
      <c r="BC107" s="30"/>
      <c r="BD107" s="28"/>
      <c r="BE107" s="28"/>
      <c r="BF107" s="28"/>
    </row>
    <row r="108">
      <c r="A108" s="109"/>
      <c r="B108" s="123"/>
      <c r="C108" s="123"/>
      <c r="D108" s="28"/>
      <c r="E108" s="37" t="s">
        <v>277</v>
      </c>
      <c r="F108" s="114"/>
      <c r="G108" s="27"/>
      <c r="H108" s="28"/>
      <c r="I108" s="28"/>
      <c r="J108" s="29"/>
      <c r="K108" s="27"/>
      <c r="L108" s="28"/>
      <c r="M108" s="28"/>
      <c r="N108" s="28"/>
      <c r="O108" s="29"/>
      <c r="P108" s="27"/>
      <c r="Q108" s="28"/>
      <c r="R108" s="28"/>
      <c r="S108" s="29"/>
      <c r="T108" s="27"/>
      <c r="U108" s="28"/>
      <c r="V108" s="28"/>
      <c r="W108" s="28"/>
      <c r="X108" s="29"/>
      <c r="Y108" s="28"/>
      <c r="Z108" s="28"/>
      <c r="AA108" s="28"/>
      <c r="AB108" s="29"/>
      <c r="AC108" s="27"/>
      <c r="AD108" s="28"/>
      <c r="AE108" s="28"/>
      <c r="AF108" s="29"/>
      <c r="AG108" s="28"/>
      <c r="AH108" s="28"/>
      <c r="AI108" s="28"/>
      <c r="AJ108" s="28"/>
      <c r="AK108" s="29"/>
      <c r="AL108" s="28"/>
      <c r="AM108" s="28"/>
      <c r="AN108" s="28"/>
      <c r="AO108" s="29"/>
      <c r="AP108" s="28"/>
      <c r="AQ108" s="28"/>
      <c r="AR108" s="28"/>
      <c r="AS108" s="29"/>
      <c r="AT108" s="28"/>
      <c r="AU108" s="28"/>
      <c r="AV108" s="28"/>
      <c r="AW108" s="29"/>
      <c r="AX108" s="28"/>
      <c r="AY108" s="28"/>
      <c r="AZ108" s="28"/>
      <c r="BA108" s="28"/>
      <c r="BB108" s="29"/>
      <c r="BC108" s="30"/>
      <c r="BD108" s="28"/>
      <c r="BE108" s="28"/>
      <c r="BF108" s="28"/>
    </row>
    <row r="109">
      <c r="A109" s="109"/>
      <c r="B109" s="123"/>
      <c r="C109" s="123"/>
      <c r="D109" s="98"/>
      <c r="E109" s="37" t="s">
        <v>277</v>
      </c>
      <c r="F109" s="114"/>
      <c r="G109" s="27"/>
      <c r="H109" s="28"/>
      <c r="I109" s="28"/>
      <c r="J109" s="29"/>
      <c r="K109" s="27"/>
      <c r="L109" s="28"/>
      <c r="M109" s="28"/>
      <c r="N109" s="28"/>
      <c r="O109" s="29"/>
      <c r="P109" s="27"/>
      <c r="Q109" s="28"/>
      <c r="R109" s="28"/>
      <c r="S109" s="29"/>
      <c r="T109" s="27"/>
      <c r="U109" s="28"/>
      <c r="V109" s="28"/>
      <c r="W109" s="28"/>
      <c r="X109" s="29"/>
      <c r="Y109" s="28"/>
      <c r="Z109" s="28"/>
      <c r="AA109" s="28"/>
      <c r="AB109" s="29"/>
      <c r="AC109" s="27"/>
      <c r="AD109" s="28"/>
      <c r="AE109" s="28"/>
      <c r="AF109" s="29"/>
      <c r="AG109" s="28"/>
      <c r="AH109" s="28"/>
      <c r="AI109" s="28"/>
      <c r="AJ109" s="28"/>
      <c r="AK109" s="29"/>
      <c r="AL109" s="28"/>
      <c r="AM109" s="28"/>
      <c r="AN109" s="28"/>
      <c r="AO109" s="29"/>
      <c r="AP109" s="28"/>
      <c r="AQ109" s="28"/>
      <c r="AR109" s="28"/>
      <c r="AS109" s="29"/>
      <c r="AT109" s="28"/>
      <c r="AU109" s="28"/>
      <c r="AV109" s="28"/>
      <c r="AW109" s="29"/>
      <c r="AX109" s="28"/>
      <c r="AY109" s="28"/>
      <c r="AZ109" s="28"/>
      <c r="BA109" s="28"/>
      <c r="BB109" s="29"/>
      <c r="BC109" s="30"/>
      <c r="BD109" s="28"/>
      <c r="BE109" s="28"/>
      <c r="BF109" s="28"/>
    </row>
    <row r="110">
      <c r="A110" s="26" t="s">
        <v>357</v>
      </c>
      <c r="B110" s="123"/>
      <c r="C110" s="123"/>
      <c r="D110" s="98"/>
      <c r="E110" s="37" t="s">
        <v>277</v>
      </c>
      <c r="F110" s="114"/>
      <c r="G110" s="27"/>
      <c r="H110" s="28"/>
      <c r="I110" s="28"/>
      <c r="J110" s="29"/>
      <c r="K110" s="27"/>
      <c r="L110" s="28"/>
      <c r="M110" s="28"/>
      <c r="N110" s="28"/>
      <c r="O110" s="29"/>
      <c r="P110" s="27"/>
      <c r="Q110" s="28"/>
      <c r="R110" s="28"/>
      <c r="S110" s="29"/>
      <c r="T110" s="27"/>
      <c r="U110" s="28"/>
      <c r="V110" s="28"/>
      <c r="W110" s="28"/>
      <c r="X110" s="29"/>
      <c r="Y110" s="28"/>
      <c r="Z110" s="28"/>
      <c r="AA110" s="28"/>
      <c r="AB110" s="29"/>
      <c r="AC110" s="27"/>
      <c r="AD110" s="28"/>
      <c r="AE110" s="28"/>
      <c r="AF110" s="29"/>
      <c r="AG110" s="28"/>
      <c r="AH110" s="28"/>
      <c r="AI110" s="28"/>
      <c r="AJ110" s="28"/>
      <c r="AK110" s="29"/>
      <c r="AL110" s="28"/>
      <c r="AM110" s="28"/>
      <c r="AN110" s="124"/>
      <c r="AO110" s="29"/>
      <c r="AP110" s="28"/>
      <c r="AQ110" s="28"/>
      <c r="AR110" s="28"/>
      <c r="AS110" s="29"/>
      <c r="AT110" s="28"/>
      <c r="AU110" s="28"/>
      <c r="AV110" s="28"/>
      <c r="AW110" s="29"/>
      <c r="AX110" s="28"/>
      <c r="AY110" s="28"/>
      <c r="AZ110" s="28"/>
      <c r="BA110" s="28"/>
      <c r="BB110" s="29"/>
      <c r="BC110" s="30"/>
      <c r="BD110" s="28"/>
      <c r="BE110" s="28"/>
      <c r="BF110" s="28"/>
    </row>
    <row r="111">
      <c r="A111" s="109"/>
      <c r="B111" s="123"/>
      <c r="C111" s="123"/>
      <c r="D111" s="28"/>
      <c r="E111" s="37" t="s">
        <v>277</v>
      </c>
      <c r="F111" s="114"/>
      <c r="G111" s="27"/>
      <c r="H111" s="28"/>
      <c r="I111" s="28"/>
      <c r="J111" s="29"/>
      <c r="K111" s="27"/>
      <c r="L111" s="28"/>
      <c r="M111" s="28"/>
      <c r="N111" s="28"/>
      <c r="O111" s="29"/>
      <c r="P111" s="27"/>
      <c r="Q111" s="28"/>
      <c r="R111" s="28"/>
      <c r="S111" s="29"/>
      <c r="T111" s="27"/>
      <c r="U111" s="28"/>
      <c r="V111" s="28"/>
      <c r="W111" s="28"/>
      <c r="X111" s="29"/>
      <c r="Y111" s="28"/>
      <c r="Z111" s="28"/>
      <c r="AA111" s="28"/>
      <c r="AB111" s="29"/>
      <c r="AC111" s="27"/>
      <c r="AD111" s="28"/>
      <c r="AE111" s="28"/>
      <c r="AF111" s="29"/>
      <c r="AG111" s="28"/>
      <c r="AH111" s="28"/>
      <c r="AI111" s="28"/>
      <c r="AJ111" s="28"/>
      <c r="AK111" s="29"/>
      <c r="AL111" s="28"/>
      <c r="AM111" s="28"/>
      <c r="AN111" s="28"/>
      <c r="AO111" s="29"/>
      <c r="AP111" s="28"/>
      <c r="AQ111" s="28"/>
      <c r="AR111" s="28"/>
      <c r="AS111" s="29"/>
      <c r="AT111" s="28"/>
      <c r="AU111" s="28"/>
      <c r="AV111" s="28"/>
      <c r="AW111" s="29"/>
      <c r="AX111" s="28"/>
      <c r="AY111" s="28"/>
      <c r="AZ111" s="28"/>
      <c r="BA111" s="28"/>
      <c r="BB111" s="29"/>
      <c r="BC111" s="30"/>
      <c r="BD111" s="28"/>
      <c r="BE111" s="28"/>
      <c r="BF111" s="28"/>
    </row>
    <row r="112">
      <c r="A112" s="107" t="s">
        <v>358</v>
      </c>
      <c r="G112" s="27"/>
      <c r="H112" s="28"/>
      <c r="I112" s="28"/>
      <c r="J112" s="29"/>
      <c r="K112" s="27"/>
      <c r="L112" s="28"/>
      <c r="M112" s="28"/>
      <c r="N112" s="28"/>
      <c r="O112" s="29"/>
      <c r="P112" s="27"/>
      <c r="Q112" s="28"/>
      <c r="R112" s="28"/>
      <c r="S112" s="29"/>
      <c r="T112" s="27"/>
      <c r="U112" s="28"/>
      <c r="V112" s="28"/>
      <c r="W112" s="28"/>
      <c r="X112" s="29"/>
      <c r="Y112" s="28"/>
      <c r="Z112" s="28"/>
      <c r="AA112" s="28"/>
      <c r="AB112" s="29"/>
      <c r="AC112" s="27"/>
      <c r="AD112" s="28"/>
      <c r="AE112" s="28"/>
      <c r="AF112" s="29"/>
      <c r="AG112" s="28"/>
      <c r="AH112" s="28"/>
      <c r="AI112" s="28"/>
      <c r="AJ112" s="28"/>
      <c r="AK112" s="29"/>
      <c r="AL112" s="28"/>
      <c r="AM112" s="28"/>
      <c r="AN112" s="28"/>
      <c r="AO112" s="29"/>
      <c r="AP112" s="28"/>
      <c r="AQ112" s="28"/>
      <c r="AR112" s="28"/>
      <c r="AS112" s="29"/>
      <c r="AT112" s="28"/>
      <c r="AU112" s="28"/>
      <c r="AV112" s="28"/>
      <c r="AW112" s="29"/>
      <c r="AX112" s="28"/>
      <c r="AY112" s="28"/>
      <c r="AZ112" s="28"/>
      <c r="BA112" s="28"/>
      <c r="BB112" s="29"/>
      <c r="BC112" s="30"/>
      <c r="BD112" s="28"/>
      <c r="BE112" s="28"/>
      <c r="BF112" s="28"/>
    </row>
    <row r="113">
      <c r="A113" s="109" t="s">
        <v>359</v>
      </c>
      <c r="B113" s="120"/>
      <c r="C113" s="120"/>
      <c r="D113" s="98"/>
      <c r="E113" s="98" t="s">
        <v>277</v>
      </c>
      <c r="F113" s="114"/>
      <c r="G113" s="27"/>
      <c r="H113" s="136"/>
      <c r="I113" s="28"/>
      <c r="J113" s="29"/>
      <c r="K113" s="27"/>
      <c r="L113" s="28"/>
      <c r="M113" s="28"/>
      <c r="N113" s="28"/>
      <c r="O113" s="29"/>
      <c r="P113" s="27"/>
      <c r="Q113" s="28"/>
      <c r="R113" s="28"/>
      <c r="S113" s="29"/>
      <c r="T113" s="27"/>
      <c r="U113" s="28"/>
      <c r="V113" s="28"/>
      <c r="W113" s="28"/>
      <c r="X113" s="29"/>
      <c r="Y113" s="28"/>
      <c r="Z113" s="28"/>
      <c r="AA113" s="28"/>
      <c r="AB113" s="29"/>
      <c r="AC113" s="27"/>
      <c r="AD113" s="28"/>
      <c r="AE113" s="28"/>
      <c r="AF113" s="29"/>
      <c r="AG113" s="28"/>
      <c r="AH113" s="137"/>
      <c r="AI113" s="137"/>
      <c r="AJ113" s="28"/>
      <c r="AK113" s="29"/>
      <c r="AL113" s="28"/>
      <c r="AM113" s="28"/>
      <c r="AN113" s="28"/>
      <c r="AO113" s="29"/>
      <c r="AP113" s="28"/>
      <c r="AQ113" s="28"/>
      <c r="AR113" s="28"/>
      <c r="AS113" s="29"/>
      <c r="AT113" s="28"/>
      <c r="AU113" s="28"/>
      <c r="AV113" s="28"/>
      <c r="AW113" s="29"/>
      <c r="AX113" s="28"/>
      <c r="AY113" s="28"/>
      <c r="AZ113" s="28"/>
      <c r="BA113" s="28"/>
      <c r="BB113" s="29"/>
      <c r="BC113" s="30"/>
      <c r="BD113" s="28"/>
      <c r="BE113" s="28"/>
      <c r="BF113" s="28"/>
    </row>
    <row r="114">
      <c r="A114" s="109" t="s">
        <v>360</v>
      </c>
      <c r="B114" s="130"/>
      <c r="C114" s="123"/>
      <c r="D114" s="28"/>
      <c r="E114" s="98" t="s">
        <v>277</v>
      </c>
      <c r="F114" s="114"/>
      <c r="G114" s="27"/>
      <c r="H114" s="28"/>
      <c r="I114" s="136"/>
      <c r="J114" s="29"/>
      <c r="K114" s="27"/>
      <c r="L114" s="28"/>
      <c r="M114" s="28"/>
      <c r="N114" s="28"/>
      <c r="O114" s="29"/>
      <c r="P114" s="27"/>
      <c r="Q114" s="28"/>
      <c r="R114" s="28"/>
      <c r="S114" s="29"/>
      <c r="T114" s="27"/>
      <c r="U114" s="28"/>
      <c r="V114" s="28"/>
      <c r="W114" s="28"/>
      <c r="X114" s="29"/>
      <c r="Y114" s="28"/>
      <c r="Z114" s="28"/>
      <c r="AA114" s="28"/>
      <c r="AB114" s="29"/>
      <c r="AC114" s="27"/>
      <c r="AD114" s="28"/>
      <c r="AE114" s="28"/>
      <c r="AF114" s="29"/>
      <c r="AG114" s="28"/>
      <c r="AH114" s="28"/>
      <c r="AI114" s="28"/>
      <c r="AJ114" s="28"/>
      <c r="AK114" s="29"/>
      <c r="AL114" s="28"/>
      <c r="AM114" s="28"/>
      <c r="AN114" s="28"/>
      <c r="AO114" s="29"/>
      <c r="AP114" s="28"/>
      <c r="AQ114" s="28"/>
      <c r="AR114" s="28"/>
      <c r="AS114" s="29"/>
      <c r="AT114" s="28"/>
      <c r="AU114" s="28"/>
      <c r="AV114" s="28"/>
      <c r="AW114" s="29"/>
      <c r="AX114" s="28"/>
      <c r="AY114" s="28"/>
      <c r="AZ114" s="28"/>
      <c r="BA114" s="28"/>
      <c r="BB114" s="29"/>
      <c r="BC114" s="30"/>
      <c r="BD114" s="28"/>
      <c r="BE114" s="28"/>
      <c r="BF114" s="28"/>
    </row>
    <row r="115">
      <c r="A115" s="109" t="s">
        <v>361</v>
      </c>
      <c r="B115" s="123"/>
      <c r="C115" s="123"/>
      <c r="D115" s="28"/>
      <c r="E115" s="98" t="s">
        <v>277</v>
      </c>
      <c r="F115" s="114"/>
      <c r="G115" s="27"/>
      <c r="H115" s="28"/>
      <c r="I115" s="136"/>
      <c r="J115" s="29"/>
      <c r="K115" s="27"/>
      <c r="L115" s="28"/>
      <c r="M115" s="28"/>
      <c r="N115" s="28"/>
      <c r="O115" s="29"/>
      <c r="P115" s="27"/>
      <c r="Q115" s="28"/>
      <c r="R115" s="28"/>
      <c r="S115" s="29"/>
      <c r="T115" s="27"/>
      <c r="U115" s="28"/>
      <c r="V115" s="28"/>
      <c r="W115" s="28"/>
      <c r="X115" s="29"/>
      <c r="Y115" s="28"/>
      <c r="Z115" s="28"/>
      <c r="AA115" s="28"/>
      <c r="AB115" s="29"/>
      <c r="AC115" s="27"/>
      <c r="AD115" s="28"/>
      <c r="AE115" s="28"/>
      <c r="AF115" s="29"/>
      <c r="AG115" s="28"/>
      <c r="AH115" s="28"/>
      <c r="AI115" s="28"/>
      <c r="AJ115" s="28"/>
      <c r="AK115" s="29"/>
      <c r="AL115" s="28"/>
      <c r="AM115" s="28"/>
      <c r="AN115" s="28"/>
      <c r="AO115" s="29"/>
      <c r="AP115" s="28"/>
      <c r="AQ115" s="28"/>
      <c r="AR115" s="28"/>
      <c r="AS115" s="29"/>
      <c r="AT115" s="28"/>
      <c r="AU115" s="28"/>
      <c r="AV115" s="28"/>
      <c r="AW115" s="29"/>
      <c r="AX115" s="28"/>
      <c r="AY115" s="28"/>
      <c r="AZ115" s="28"/>
      <c r="BA115" s="28"/>
      <c r="BB115" s="29"/>
      <c r="BC115" s="30"/>
      <c r="BD115" s="28"/>
      <c r="BE115" s="28"/>
      <c r="BF115" s="28"/>
    </row>
    <row r="116">
      <c r="A116" s="109" t="s">
        <v>362</v>
      </c>
      <c r="B116" s="129"/>
      <c r="C116" s="123"/>
      <c r="D116" s="98"/>
      <c r="E116" s="98" t="s">
        <v>277</v>
      </c>
      <c r="F116" s="114"/>
      <c r="G116" s="27"/>
      <c r="H116" s="28"/>
      <c r="I116" s="28"/>
      <c r="J116" s="29"/>
      <c r="K116" s="27"/>
      <c r="L116" s="28"/>
      <c r="M116" s="28"/>
      <c r="N116" s="28"/>
      <c r="O116" s="29"/>
      <c r="P116" s="27"/>
      <c r="Q116" s="28"/>
      <c r="R116" s="28"/>
      <c r="S116" s="29"/>
      <c r="T116" s="27"/>
      <c r="U116" s="28"/>
      <c r="V116" s="28"/>
      <c r="W116" s="28"/>
      <c r="X116" s="29"/>
      <c r="Y116" s="28"/>
      <c r="Z116" s="28"/>
      <c r="AA116" s="28"/>
      <c r="AB116" s="29"/>
      <c r="AC116" s="27"/>
      <c r="AD116" s="28"/>
      <c r="AE116" s="28"/>
      <c r="AF116" s="29"/>
      <c r="AG116" s="28"/>
      <c r="AH116" s="28"/>
      <c r="AI116" s="28"/>
      <c r="AJ116" s="28"/>
      <c r="AK116" s="29"/>
      <c r="AL116" s="28"/>
      <c r="AM116" s="28"/>
      <c r="AN116" s="28"/>
      <c r="AO116" s="29"/>
      <c r="AP116" s="28"/>
      <c r="AQ116" s="28"/>
      <c r="AR116" s="28"/>
      <c r="AS116" s="29"/>
      <c r="AT116" s="28"/>
      <c r="AU116" s="28"/>
      <c r="AV116" s="28"/>
      <c r="AW116" s="29"/>
      <c r="AX116" s="28"/>
      <c r="AY116" s="28"/>
      <c r="AZ116" s="28"/>
      <c r="BA116" s="28"/>
      <c r="BB116" s="29"/>
      <c r="BC116" s="30"/>
      <c r="BD116" s="28"/>
      <c r="BE116" s="28"/>
      <c r="BF116" s="28"/>
    </row>
    <row r="117">
      <c r="A117" s="109" t="s">
        <v>363</v>
      </c>
      <c r="B117" s="123"/>
      <c r="C117" s="123"/>
      <c r="D117" s="28"/>
      <c r="E117" s="37" t="s">
        <v>277</v>
      </c>
      <c r="F117" s="112"/>
      <c r="G117" s="27"/>
      <c r="H117" s="28"/>
      <c r="I117" s="28"/>
      <c r="J117" s="29"/>
      <c r="K117" s="27"/>
      <c r="L117" s="28"/>
      <c r="M117" s="28"/>
      <c r="N117" s="28"/>
      <c r="O117" s="29"/>
      <c r="P117" s="27"/>
      <c r="Q117" s="28"/>
      <c r="R117" s="28"/>
      <c r="S117" s="29"/>
      <c r="T117" s="27"/>
      <c r="U117" s="28"/>
      <c r="V117" s="28"/>
      <c r="W117" s="28"/>
      <c r="X117" s="29"/>
      <c r="Y117" s="28"/>
      <c r="Z117" s="28"/>
      <c r="AA117" s="28"/>
      <c r="AB117" s="29"/>
      <c r="AC117" s="27"/>
      <c r="AD117" s="28"/>
      <c r="AE117" s="28"/>
      <c r="AF117" s="29"/>
      <c r="AG117" s="28"/>
      <c r="AH117" s="28"/>
      <c r="AI117" s="28"/>
      <c r="AJ117" s="28"/>
      <c r="AK117" s="29"/>
      <c r="AL117" s="28"/>
      <c r="AM117" s="28"/>
      <c r="AN117" s="28"/>
      <c r="AO117" s="29"/>
      <c r="AP117" s="28"/>
      <c r="AQ117" s="28"/>
      <c r="AR117" s="28"/>
      <c r="AS117" s="29"/>
      <c r="AT117" s="28"/>
      <c r="AU117" s="28"/>
      <c r="AV117" s="28"/>
      <c r="AW117" s="29"/>
      <c r="AX117" s="28"/>
      <c r="AY117" s="28"/>
      <c r="AZ117" s="28"/>
      <c r="BA117" s="28"/>
      <c r="BB117" s="29"/>
      <c r="BC117" s="30"/>
      <c r="BD117" s="28"/>
      <c r="BE117" s="28"/>
      <c r="BF117" s="28"/>
    </row>
    <row r="118">
      <c r="A118" s="109" t="s">
        <v>364</v>
      </c>
      <c r="B118" s="129"/>
      <c r="C118" s="123"/>
      <c r="D118" s="28"/>
      <c r="E118" s="37" t="s">
        <v>277</v>
      </c>
      <c r="F118" s="114"/>
      <c r="G118" s="27"/>
      <c r="H118" s="28"/>
      <c r="I118" s="28"/>
      <c r="J118" s="29"/>
      <c r="K118" s="27"/>
      <c r="L118" s="28"/>
      <c r="M118" s="28"/>
      <c r="N118" s="28"/>
      <c r="O118" s="29"/>
      <c r="P118" s="27"/>
      <c r="Q118" s="28"/>
      <c r="R118" s="28"/>
      <c r="S118" s="29"/>
      <c r="T118" s="27"/>
      <c r="U118" s="28"/>
      <c r="V118" s="28"/>
      <c r="W118" s="28"/>
      <c r="X118" s="29"/>
      <c r="Y118" s="28"/>
      <c r="Z118" s="28"/>
      <c r="AA118" s="28"/>
      <c r="AB118" s="29"/>
      <c r="AC118" s="27"/>
      <c r="AD118" s="28"/>
      <c r="AE118" s="28"/>
      <c r="AF118" s="29"/>
      <c r="AG118" s="28"/>
      <c r="AH118" s="28"/>
      <c r="AI118" s="28"/>
      <c r="AJ118" s="28"/>
      <c r="AK118" s="29"/>
      <c r="AL118" s="28"/>
      <c r="AM118" s="28"/>
      <c r="AN118" s="28"/>
      <c r="AO118" s="29"/>
      <c r="AP118" s="28"/>
      <c r="AQ118" s="28"/>
      <c r="AR118" s="28"/>
      <c r="AS118" s="29"/>
      <c r="AT118" s="28"/>
      <c r="AU118" s="28"/>
      <c r="AV118" s="28"/>
      <c r="AW118" s="29"/>
      <c r="AX118" s="28"/>
      <c r="AY118" s="28"/>
      <c r="AZ118" s="28"/>
      <c r="BA118" s="28"/>
      <c r="BB118" s="29"/>
      <c r="BC118" s="30"/>
      <c r="BD118" s="28"/>
      <c r="BE118" s="28"/>
      <c r="BF118" s="28"/>
    </row>
    <row r="119">
      <c r="A119" s="109" t="s">
        <v>365</v>
      </c>
      <c r="B119" s="130"/>
      <c r="C119" s="130"/>
      <c r="D119" s="98"/>
      <c r="E119" s="37" t="s">
        <v>277</v>
      </c>
      <c r="F119" s="1"/>
      <c r="G119" s="27"/>
      <c r="H119" s="28"/>
      <c r="I119" s="28"/>
      <c r="J119" s="29"/>
      <c r="K119" s="27"/>
      <c r="L119" s="28"/>
      <c r="M119" s="28"/>
      <c r="N119" s="28"/>
      <c r="O119" s="29"/>
      <c r="P119" s="27"/>
      <c r="Q119" s="28"/>
      <c r="R119" s="28"/>
      <c r="S119" s="29"/>
      <c r="T119" s="27"/>
      <c r="U119" s="28"/>
      <c r="V119" s="28"/>
      <c r="W119" s="28"/>
      <c r="X119" s="29"/>
      <c r="Y119" s="28"/>
      <c r="Z119" s="28"/>
      <c r="AA119" s="28"/>
      <c r="AB119" s="29"/>
      <c r="AC119" s="27"/>
      <c r="AD119" s="28"/>
      <c r="AE119" s="28"/>
      <c r="AF119" s="29"/>
      <c r="AG119" s="28"/>
      <c r="AH119" s="28"/>
      <c r="AI119" s="28"/>
      <c r="AJ119" s="28"/>
      <c r="AK119" s="29"/>
      <c r="AL119" s="28"/>
      <c r="AM119" s="28"/>
      <c r="AN119" s="28"/>
      <c r="AO119" s="29"/>
      <c r="AP119" s="28"/>
      <c r="AQ119" s="28"/>
      <c r="AR119" s="28"/>
      <c r="AS119" s="29"/>
      <c r="AT119" s="28"/>
      <c r="AU119" s="28"/>
      <c r="AV119" s="28"/>
      <c r="AW119" s="29"/>
      <c r="AX119" s="28"/>
      <c r="AY119" s="28"/>
      <c r="AZ119" s="28"/>
      <c r="BA119" s="28"/>
      <c r="BB119" s="29"/>
      <c r="BC119" s="30"/>
      <c r="BD119" s="28"/>
      <c r="BE119" s="28"/>
      <c r="BF119" s="28"/>
    </row>
    <row r="120">
      <c r="A120" s="109" t="s">
        <v>366</v>
      </c>
      <c r="B120" s="123"/>
      <c r="C120" s="123"/>
      <c r="D120" s="28"/>
      <c r="E120" s="37" t="s">
        <v>277</v>
      </c>
      <c r="F120" s="114"/>
      <c r="G120" s="27"/>
      <c r="H120" s="28"/>
      <c r="I120" s="28"/>
      <c r="J120" s="29"/>
      <c r="K120" s="27"/>
      <c r="L120" s="28"/>
      <c r="M120" s="28"/>
      <c r="N120" s="28"/>
      <c r="O120" s="29"/>
      <c r="P120" s="27"/>
      <c r="Q120" s="28"/>
      <c r="R120" s="28"/>
      <c r="S120" s="29"/>
      <c r="T120" s="27"/>
      <c r="U120" s="28"/>
      <c r="V120" s="28"/>
      <c r="W120" s="28"/>
      <c r="X120" s="29"/>
      <c r="Y120" s="28"/>
      <c r="Z120" s="28"/>
      <c r="AA120" s="28"/>
      <c r="AB120" s="29"/>
      <c r="AC120" s="27"/>
      <c r="AD120" s="28"/>
      <c r="AE120" s="28"/>
      <c r="AF120" s="29"/>
      <c r="AG120" s="28"/>
      <c r="AH120" s="28"/>
      <c r="AI120" s="28"/>
      <c r="AJ120" s="28"/>
      <c r="AK120" s="29"/>
      <c r="AL120" s="28"/>
      <c r="AM120" s="28"/>
      <c r="AN120" s="28"/>
      <c r="AO120" s="29"/>
      <c r="AP120" s="28"/>
      <c r="AQ120" s="28"/>
      <c r="AR120" s="28"/>
      <c r="AS120" s="29"/>
      <c r="AT120" s="28"/>
      <c r="AU120" s="28"/>
      <c r="AV120" s="28"/>
      <c r="AW120" s="29"/>
      <c r="AX120" s="28"/>
      <c r="AY120" s="28"/>
      <c r="AZ120" s="28"/>
      <c r="BA120" s="28"/>
      <c r="BB120" s="29"/>
      <c r="BC120" s="30"/>
      <c r="BD120" s="28"/>
      <c r="BE120" s="28"/>
      <c r="BF120" s="28"/>
    </row>
    <row r="121">
      <c r="A121" s="109" t="s">
        <v>367</v>
      </c>
      <c r="B121" s="123"/>
      <c r="C121" s="123"/>
      <c r="D121" s="98"/>
      <c r="E121" s="37" t="s">
        <v>277</v>
      </c>
      <c r="F121" s="114"/>
      <c r="G121" s="27"/>
      <c r="H121" s="28"/>
      <c r="I121" s="28"/>
      <c r="J121" s="29"/>
      <c r="K121" s="27"/>
      <c r="L121" s="28"/>
      <c r="M121" s="28"/>
      <c r="N121" s="28"/>
      <c r="O121" s="29"/>
      <c r="P121" s="27"/>
      <c r="Q121" s="28"/>
      <c r="R121" s="28"/>
      <c r="S121" s="29"/>
      <c r="T121" s="27"/>
      <c r="U121" s="28"/>
      <c r="V121" s="28"/>
      <c r="W121" s="28"/>
      <c r="X121" s="29"/>
      <c r="Y121" s="28"/>
      <c r="Z121" s="28"/>
      <c r="AA121" s="28"/>
      <c r="AB121" s="29"/>
      <c r="AC121" s="27"/>
      <c r="AD121" s="28"/>
      <c r="AE121" s="28"/>
      <c r="AF121" s="29"/>
      <c r="AG121" s="28"/>
      <c r="AH121" s="28"/>
      <c r="AI121" s="28"/>
      <c r="AJ121" s="28"/>
      <c r="AK121" s="29"/>
      <c r="AL121" s="28"/>
      <c r="AM121" s="28"/>
      <c r="AN121" s="28"/>
      <c r="AO121" s="29"/>
      <c r="AP121" s="28"/>
      <c r="AQ121" s="28"/>
      <c r="AR121" s="28"/>
      <c r="AS121" s="29"/>
      <c r="AT121" s="28"/>
      <c r="AU121" s="28"/>
      <c r="AV121" s="28"/>
      <c r="AW121" s="29"/>
      <c r="AX121" s="28"/>
      <c r="AY121" s="28"/>
      <c r="AZ121" s="28"/>
      <c r="BA121" s="28"/>
      <c r="BB121" s="29"/>
      <c r="BC121" s="30"/>
      <c r="BD121" s="28"/>
      <c r="BE121" s="28"/>
      <c r="BF121" s="28"/>
    </row>
    <row r="122">
      <c r="A122" s="109" t="s">
        <v>368</v>
      </c>
      <c r="B122" s="123"/>
      <c r="C122" s="123"/>
      <c r="D122" s="98"/>
      <c r="E122" s="37" t="s">
        <v>277</v>
      </c>
      <c r="F122" s="114"/>
      <c r="G122" s="27"/>
      <c r="H122" s="28"/>
      <c r="I122" s="28"/>
      <c r="J122" s="29"/>
      <c r="K122" s="27"/>
      <c r="L122" s="28"/>
      <c r="M122" s="28"/>
      <c r="N122" s="28"/>
      <c r="O122" s="29"/>
      <c r="P122" s="27"/>
      <c r="Q122" s="28"/>
      <c r="R122" s="28"/>
      <c r="S122" s="29"/>
      <c r="T122" s="27"/>
      <c r="U122" s="28"/>
      <c r="V122" s="28"/>
      <c r="W122" s="28"/>
      <c r="X122" s="29"/>
      <c r="Y122" s="28"/>
      <c r="Z122" s="28"/>
      <c r="AA122" s="28"/>
      <c r="AB122" s="29"/>
      <c r="AC122" s="27"/>
      <c r="AD122" s="28"/>
      <c r="AE122" s="28"/>
      <c r="AF122" s="29"/>
      <c r="AG122" s="28"/>
      <c r="AH122" s="28"/>
      <c r="AI122" s="28"/>
      <c r="AJ122" s="28"/>
      <c r="AK122" s="29"/>
      <c r="AL122" s="28"/>
      <c r="AM122" s="28"/>
      <c r="AN122" s="28"/>
      <c r="AO122" s="29"/>
      <c r="AP122" s="28"/>
      <c r="AQ122" s="28"/>
      <c r="AR122" s="28"/>
      <c r="AS122" s="29"/>
      <c r="AT122" s="28"/>
      <c r="AU122" s="28"/>
      <c r="AV122" s="28"/>
      <c r="AW122" s="29"/>
      <c r="AX122" s="28"/>
      <c r="AY122" s="28"/>
      <c r="AZ122" s="28"/>
      <c r="BA122" s="28"/>
      <c r="BB122" s="29"/>
      <c r="BC122" s="30"/>
      <c r="BD122" s="28"/>
      <c r="BE122" s="28"/>
      <c r="BF122" s="28"/>
    </row>
    <row r="123">
      <c r="A123" s="109" t="s">
        <v>369</v>
      </c>
      <c r="B123" s="123"/>
      <c r="C123" s="123"/>
      <c r="D123" s="28"/>
      <c r="E123" s="37" t="s">
        <v>277</v>
      </c>
      <c r="F123" s="114"/>
      <c r="G123" s="27"/>
      <c r="H123" s="28"/>
      <c r="I123" s="28"/>
      <c r="J123" s="29"/>
      <c r="K123" s="27"/>
      <c r="L123" s="28"/>
      <c r="M123" s="28"/>
      <c r="N123" s="28"/>
      <c r="O123" s="29"/>
      <c r="P123" s="27"/>
      <c r="Q123" s="28"/>
      <c r="R123" s="28"/>
      <c r="S123" s="29"/>
      <c r="T123" s="27"/>
      <c r="U123" s="28"/>
      <c r="V123" s="28"/>
      <c r="W123" s="28"/>
      <c r="X123" s="29"/>
      <c r="Y123" s="28"/>
      <c r="Z123" s="28"/>
      <c r="AA123" s="28"/>
      <c r="AB123" s="29"/>
      <c r="AC123" s="27"/>
      <c r="AD123" s="28"/>
      <c r="AE123" s="28"/>
      <c r="AF123" s="29"/>
      <c r="AG123" s="28"/>
      <c r="AH123" s="28"/>
      <c r="AI123" s="28"/>
      <c r="AJ123" s="28"/>
      <c r="AK123" s="29"/>
      <c r="AL123" s="28"/>
      <c r="AM123" s="28"/>
      <c r="AN123" s="28"/>
      <c r="AO123" s="29"/>
      <c r="AP123" s="28"/>
      <c r="AQ123" s="28"/>
      <c r="AR123" s="28"/>
      <c r="AS123" s="29"/>
      <c r="AT123" s="28"/>
      <c r="AU123" s="28"/>
      <c r="AV123" s="28"/>
      <c r="AW123" s="29"/>
      <c r="AX123" s="28"/>
      <c r="AY123" s="28"/>
      <c r="AZ123" s="28"/>
      <c r="BA123" s="28"/>
      <c r="BB123" s="29"/>
      <c r="BC123" s="30"/>
      <c r="BD123" s="28"/>
      <c r="BE123" s="28"/>
      <c r="BF123" s="28"/>
    </row>
    <row r="124">
      <c r="A124" s="109"/>
      <c r="B124" s="123"/>
      <c r="C124" s="123"/>
      <c r="D124" s="28"/>
      <c r="E124" s="37"/>
      <c r="F124" s="114"/>
      <c r="G124" s="27"/>
      <c r="H124" s="28"/>
      <c r="I124" s="28"/>
      <c r="J124" s="29"/>
      <c r="K124" s="27"/>
      <c r="L124" s="28"/>
      <c r="M124" s="28"/>
      <c r="N124" s="28"/>
      <c r="O124" s="29"/>
      <c r="P124" s="27"/>
      <c r="Q124" s="28"/>
      <c r="R124" s="28"/>
      <c r="S124" s="29"/>
      <c r="T124" s="27"/>
      <c r="U124" s="28"/>
      <c r="V124" s="28"/>
      <c r="W124" s="28"/>
      <c r="X124" s="29"/>
      <c r="Y124" s="28"/>
      <c r="Z124" s="28"/>
      <c r="AA124" s="28"/>
      <c r="AB124" s="29"/>
      <c r="AC124" s="27"/>
      <c r="AD124" s="28"/>
      <c r="AE124" s="28"/>
      <c r="AF124" s="29"/>
      <c r="AG124" s="28"/>
      <c r="AH124" s="28"/>
      <c r="AI124" s="28"/>
      <c r="AJ124" s="28"/>
      <c r="AK124" s="29"/>
      <c r="AL124" s="28"/>
      <c r="AM124" s="28"/>
      <c r="AN124" s="28"/>
      <c r="AO124" s="29"/>
      <c r="AP124" s="28"/>
      <c r="AQ124" s="28"/>
      <c r="AR124" s="28"/>
      <c r="AS124" s="29"/>
      <c r="AT124" s="28"/>
      <c r="AU124" s="28"/>
      <c r="AV124" s="28"/>
      <c r="AW124" s="29"/>
      <c r="AX124" s="28"/>
      <c r="AY124" s="28"/>
      <c r="AZ124" s="28"/>
      <c r="BA124" s="28"/>
      <c r="BB124" s="29"/>
      <c r="BC124" s="30"/>
      <c r="BD124" s="28"/>
      <c r="BE124" s="28"/>
      <c r="BF124" s="28"/>
    </row>
    <row r="125" ht="46.5" customHeight="1" outlineLevel="1">
      <c r="A125" s="138" t="s">
        <v>370</v>
      </c>
      <c r="G125" s="27"/>
      <c r="H125" s="28"/>
      <c r="I125" s="28"/>
      <c r="J125" s="29"/>
      <c r="K125" s="27"/>
      <c r="L125" s="28"/>
      <c r="M125" s="28"/>
      <c r="N125" s="28"/>
      <c r="O125" s="29"/>
      <c r="P125" s="27"/>
      <c r="Q125" s="28"/>
      <c r="R125" s="28"/>
      <c r="S125" s="29"/>
      <c r="T125" s="27"/>
      <c r="U125" s="28"/>
      <c r="V125" s="28"/>
      <c r="W125" s="28"/>
      <c r="X125" s="29"/>
      <c r="Y125" s="28"/>
      <c r="Z125" s="28"/>
      <c r="AA125" s="28"/>
      <c r="AB125" s="29"/>
      <c r="AC125" s="27"/>
      <c r="AD125" s="28"/>
      <c r="AE125" s="28"/>
      <c r="AF125" s="29"/>
      <c r="AG125" s="28"/>
      <c r="AH125" s="28"/>
      <c r="AI125" s="28"/>
      <c r="AJ125" s="28"/>
      <c r="AK125" s="29"/>
      <c r="AL125" s="28"/>
      <c r="AM125" s="28"/>
      <c r="AN125" s="28"/>
      <c r="AO125" s="29"/>
      <c r="AP125" s="28"/>
      <c r="AQ125" s="28"/>
      <c r="AR125" s="28"/>
      <c r="AS125" s="29"/>
      <c r="AT125" s="28"/>
      <c r="AU125" s="28"/>
      <c r="AV125" s="28"/>
      <c r="AW125" s="29"/>
      <c r="AX125" s="28"/>
      <c r="AY125" s="28"/>
      <c r="AZ125" s="28"/>
      <c r="BA125" s="28"/>
      <c r="BB125" s="29"/>
      <c r="BC125" s="30"/>
      <c r="BD125" s="28"/>
      <c r="BE125" s="28"/>
      <c r="BF125" s="28"/>
    </row>
    <row r="126" outlineLevel="1">
      <c r="A126" s="139" t="s">
        <v>291</v>
      </c>
      <c r="G126" s="27"/>
      <c r="H126" s="28"/>
      <c r="I126" s="28"/>
      <c r="J126" s="29"/>
      <c r="K126" s="27"/>
      <c r="L126" s="28"/>
      <c r="M126" s="28"/>
      <c r="N126" s="28"/>
      <c r="O126" s="29"/>
      <c r="P126" s="27"/>
      <c r="Q126" s="28"/>
      <c r="R126" s="28"/>
      <c r="S126" s="29"/>
      <c r="T126" s="27"/>
      <c r="U126" s="28"/>
      <c r="V126" s="28"/>
      <c r="W126" s="28"/>
      <c r="X126" s="29"/>
      <c r="Y126" s="28"/>
      <c r="Z126" s="28"/>
      <c r="AA126" s="28"/>
      <c r="AB126" s="29"/>
      <c r="AC126" s="27"/>
      <c r="AD126" s="28"/>
      <c r="AE126" s="28"/>
      <c r="AF126" s="29"/>
      <c r="AG126" s="28"/>
      <c r="AH126" s="28"/>
      <c r="AI126" s="28"/>
      <c r="AJ126" s="28"/>
      <c r="AK126" s="29"/>
      <c r="AL126" s="28"/>
      <c r="AM126" s="28"/>
      <c r="AN126" s="28"/>
      <c r="AO126" s="29"/>
      <c r="AP126" s="28"/>
      <c r="AQ126" s="28"/>
      <c r="AR126" s="28"/>
      <c r="AS126" s="29"/>
      <c r="AT126" s="28"/>
      <c r="AU126" s="28"/>
      <c r="AV126" s="28"/>
      <c r="AW126" s="29"/>
      <c r="AX126" s="28"/>
      <c r="AY126" s="28"/>
      <c r="AZ126" s="28"/>
      <c r="BA126" s="28"/>
      <c r="BB126" s="29"/>
      <c r="BC126" s="30"/>
      <c r="BD126" s="28"/>
      <c r="BE126" s="28"/>
      <c r="BF126" s="28"/>
    </row>
    <row r="127" outlineLevel="1">
      <c r="A127" s="140" t="s">
        <v>371</v>
      </c>
      <c r="B127" s="141">
        <v>46357.0</v>
      </c>
      <c r="C127" s="142">
        <v>46042.0</v>
      </c>
      <c r="D127" s="98"/>
      <c r="E127" s="69" t="s">
        <v>297</v>
      </c>
      <c r="F127" s="98"/>
      <c r="G127" s="27"/>
      <c r="H127" s="28"/>
      <c r="I127" s="28"/>
      <c r="J127" s="29"/>
      <c r="K127" s="27"/>
      <c r="L127" s="28"/>
      <c r="M127" s="28"/>
      <c r="N127" s="28"/>
      <c r="O127" s="29"/>
      <c r="P127" s="27"/>
      <c r="Q127" s="28"/>
      <c r="R127" s="28"/>
      <c r="S127" s="29"/>
      <c r="T127" s="27"/>
      <c r="U127" s="28"/>
      <c r="V127" s="28"/>
      <c r="W127" s="28"/>
      <c r="X127" s="29"/>
      <c r="Y127" s="28"/>
      <c r="Z127" s="28"/>
      <c r="AA127" s="28"/>
      <c r="AB127" s="29"/>
      <c r="AC127" s="27"/>
      <c r="AD127" s="28"/>
      <c r="AE127" s="28"/>
      <c r="AF127" s="29"/>
      <c r="AG127" s="28"/>
      <c r="AH127" s="28"/>
      <c r="AI127" s="28"/>
      <c r="AJ127" s="28"/>
      <c r="AK127" s="29"/>
      <c r="AL127" s="28"/>
      <c r="AM127" s="28"/>
      <c r="AN127" s="28"/>
      <c r="AO127" s="29"/>
      <c r="AP127" s="28"/>
      <c r="AQ127" s="28"/>
      <c r="AR127" s="28"/>
      <c r="AS127" s="29"/>
      <c r="AT127" s="28"/>
      <c r="AU127" s="28"/>
      <c r="AV127" s="28"/>
      <c r="AW127" s="29"/>
      <c r="AX127" s="28"/>
      <c r="AY127" s="28"/>
      <c r="AZ127" s="28"/>
      <c r="BA127" s="28"/>
      <c r="BB127" s="29"/>
      <c r="BC127" s="30"/>
      <c r="BD127" s="28"/>
      <c r="BE127" s="28"/>
      <c r="BF127" s="28"/>
    </row>
    <row r="128" outlineLevel="1">
      <c r="A128" s="140" t="s">
        <v>372</v>
      </c>
      <c r="B128" s="141">
        <v>46027.0</v>
      </c>
      <c r="C128" s="142">
        <v>46042.0</v>
      </c>
      <c r="D128" s="28"/>
      <c r="E128" s="69" t="s">
        <v>297</v>
      </c>
      <c r="F128" s="28"/>
      <c r="G128" s="27"/>
      <c r="H128" s="28"/>
      <c r="I128" s="28"/>
      <c r="J128" s="29"/>
      <c r="K128" s="27"/>
      <c r="L128" s="28"/>
      <c r="M128" s="28"/>
      <c r="N128" s="28"/>
      <c r="O128" s="29"/>
      <c r="P128" s="27"/>
      <c r="Q128" s="28"/>
      <c r="R128" s="28"/>
      <c r="S128" s="29"/>
      <c r="T128" s="27"/>
      <c r="U128" s="28"/>
      <c r="V128" s="28"/>
      <c r="W128" s="28"/>
      <c r="X128" s="29"/>
      <c r="Y128" s="28"/>
      <c r="Z128" s="28"/>
      <c r="AA128" s="28"/>
      <c r="AB128" s="29"/>
      <c r="AC128" s="27"/>
      <c r="AD128" s="28"/>
      <c r="AE128" s="28"/>
      <c r="AF128" s="29"/>
      <c r="AG128" s="28"/>
      <c r="AH128" s="28"/>
      <c r="AI128" s="28"/>
      <c r="AJ128" s="28"/>
      <c r="AK128" s="29"/>
      <c r="AL128" s="28"/>
      <c r="AM128" s="28"/>
      <c r="AN128" s="28"/>
      <c r="AO128" s="29"/>
      <c r="AP128" s="28"/>
      <c r="AQ128" s="28"/>
      <c r="AR128" s="28"/>
      <c r="AS128" s="29"/>
      <c r="AT128" s="28"/>
      <c r="AU128" s="28"/>
      <c r="AV128" s="28"/>
      <c r="AW128" s="29"/>
      <c r="AX128" s="28"/>
      <c r="AY128" s="28"/>
      <c r="AZ128" s="28"/>
      <c r="BA128" s="28"/>
      <c r="BB128" s="29"/>
      <c r="BC128" s="30"/>
      <c r="BD128" s="28"/>
      <c r="BE128" s="28"/>
      <c r="BF128" s="28"/>
    </row>
    <row r="129" outlineLevel="1">
      <c r="A129" s="140" t="s">
        <v>373</v>
      </c>
      <c r="B129" s="141">
        <v>46027.0</v>
      </c>
      <c r="C129" s="142">
        <v>46108.0</v>
      </c>
      <c r="D129" s="28"/>
      <c r="E129" s="28" t="s">
        <v>277</v>
      </c>
      <c r="F129" s="28"/>
      <c r="G129" s="27"/>
      <c r="H129" s="28"/>
      <c r="I129" s="28"/>
      <c r="J129" s="29"/>
      <c r="K129" s="27"/>
      <c r="L129" s="28"/>
      <c r="M129" s="28"/>
      <c r="N129" s="28"/>
      <c r="O129" s="29"/>
      <c r="P129" s="27"/>
      <c r="Q129" s="28"/>
      <c r="R129" s="28"/>
      <c r="S129" s="29"/>
      <c r="T129" s="27"/>
      <c r="U129" s="28"/>
      <c r="V129" s="28"/>
      <c r="W129" s="28"/>
      <c r="X129" s="29"/>
      <c r="Y129" s="28"/>
      <c r="Z129" s="28"/>
      <c r="AA129" s="28"/>
      <c r="AB129" s="29"/>
      <c r="AC129" s="27"/>
      <c r="AD129" s="28"/>
      <c r="AE129" s="28"/>
      <c r="AF129" s="29"/>
      <c r="AG129" s="28"/>
      <c r="AH129" s="28"/>
      <c r="AI129" s="28"/>
      <c r="AJ129" s="28"/>
      <c r="AK129" s="29"/>
      <c r="AL129" s="28"/>
      <c r="AM129" s="28"/>
      <c r="AN129" s="28"/>
      <c r="AO129" s="29"/>
      <c r="AP129" s="28"/>
      <c r="AQ129" s="28"/>
      <c r="AR129" s="28"/>
      <c r="AS129" s="29"/>
      <c r="AT129" s="28"/>
      <c r="AU129" s="28"/>
      <c r="AV129" s="28"/>
      <c r="AW129" s="29"/>
      <c r="AX129" s="28"/>
      <c r="AY129" s="28"/>
      <c r="AZ129" s="28"/>
      <c r="BA129" s="28"/>
      <c r="BB129" s="29"/>
      <c r="BC129" s="30"/>
      <c r="BD129" s="28"/>
      <c r="BE129" s="28"/>
      <c r="BF129" s="28"/>
    </row>
    <row r="130" outlineLevel="1">
      <c r="A130" s="140" t="s">
        <v>374</v>
      </c>
      <c r="B130" s="141">
        <v>46027.0</v>
      </c>
      <c r="C130" s="142">
        <v>46108.0</v>
      </c>
      <c r="D130" s="28"/>
      <c r="E130" s="28" t="s">
        <v>277</v>
      </c>
      <c r="F130" s="98"/>
      <c r="G130" s="27"/>
      <c r="H130" s="28"/>
      <c r="I130" s="28"/>
      <c r="J130" s="29"/>
      <c r="K130" s="27"/>
      <c r="L130" s="28"/>
      <c r="M130" s="28"/>
      <c r="N130" s="28"/>
      <c r="O130" s="29"/>
      <c r="P130" s="27"/>
      <c r="Q130" s="28"/>
      <c r="R130" s="28"/>
      <c r="S130" s="29"/>
      <c r="T130" s="27"/>
      <c r="U130" s="28"/>
      <c r="V130" s="28"/>
      <c r="W130" s="28"/>
      <c r="X130" s="29"/>
      <c r="Y130" s="28"/>
      <c r="Z130" s="28"/>
      <c r="AA130" s="28"/>
      <c r="AB130" s="29"/>
      <c r="AC130" s="27"/>
      <c r="AD130" s="28"/>
      <c r="AE130" s="28"/>
      <c r="AF130" s="29"/>
      <c r="AG130" s="28"/>
      <c r="AH130" s="28"/>
      <c r="AI130" s="28"/>
      <c r="AJ130" s="28"/>
      <c r="AK130" s="29"/>
      <c r="AL130" s="28"/>
      <c r="AM130" s="28"/>
      <c r="AN130" s="28"/>
      <c r="AO130" s="29"/>
      <c r="AP130" s="28"/>
      <c r="AQ130" s="28"/>
      <c r="AR130" s="28"/>
      <c r="AS130" s="29"/>
      <c r="AT130" s="28"/>
      <c r="AU130" s="28"/>
      <c r="AV130" s="28"/>
      <c r="AW130" s="29"/>
      <c r="AX130" s="28"/>
      <c r="AY130" s="28"/>
      <c r="AZ130" s="28"/>
      <c r="BA130" s="28"/>
      <c r="BB130" s="29"/>
      <c r="BC130" s="30"/>
      <c r="BD130" s="28"/>
      <c r="BE130" s="28"/>
      <c r="BF130" s="28"/>
    </row>
    <row r="131" outlineLevel="1">
      <c r="A131" s="140" t="s">
        <v>375</v>
      </c>
      <c r="B131" s="141">
        <v>46055.0</v>
      </c>
      <c r="C131" s="142">
        <v>46122.0</v>
      </c>
      <c r="D131" s="28"/>
      <c r="E131" s="28" t="s">
        <v>277</v>
      </c>
      <c r="F131" s="28"/>
      <c r="G131" s="27"/>
      <c r="H131" s="28"/>
      <c r="I131" s="28"/>
      <c r="J131" s="29"/>
      <c r="K131" s="27"/>
      <c r="L131" s="28"/>
      <c r="M131" s="28"/>
      <c r="N131" s="28"/>
      <c r="O131" s="29"/>
      <c r="P131" s="27"/>
      <c r="Q131" s="28"/>
      <c r="R131" s="28"/>
      <c r="S131" s="29"/>
      <c r="T131" s="27"/>
      <c r="U131" s="28"/>
      <c r="V131" s="28"/>
      <c r="W131" s="28"/>
      <c r="X131" s="29"/>
      <c r="Y131" s="28"/>
      <c r="Z131" s="28"/>
      <c r="AA131" s="28"/>
      <c r="AB131" s="29"/>
      <c r="AC131" s="27"/>
      <c r="AD131" s="28"/>
      <c r="AE131" s="28"/>
      <c r="AF131" s="29"/>
      <c r="AG131" s="28"/>
      <c r="AH131" s="28"/>
      <c r="AI131" s="28"/>
      <c r="AJ131" s="28"/>
      <c r="AK131" s="29"/>
      <c r="AL131" s="28"/>
      <c r="AM131" s="28"/>
      <c r="AN131" s="28"/>
      <c r="AO131" s="29"/>
      <c r="AP131" s="28"/>
      <c r="AQ131" s="28"/>
      <c r="AR131" s="28"/>
      <c r="AS131" s="29"/>
      <c r="AT131" s="28"/>
      <c r="AU131" s="28"/>
      <c r="AV131" s="28"/>
      <c r="AW131" s="29"/>
      <c r="AX131" s="28"/>
      <c r="AY131" s="28"/>
      <c r="AZ131" s="28"/>
      <c r="BA131" s="28"/>
      <c r="BB131" s="29"/>
      <c r="BC131" s="30"/>
      <c r="BD131" s="28"/>
      <c r="BE131" s="28"/>
      <c r="BF131" s="28"/>
    </row>
    <row r="132" outlineLevel="1">
      <c r="A132" s="140" t="s">
        <v>376</v>
      </c>
      <c r="B132" s="141">
        <v>46144.0</v>
      </c>
      <c r="C132" s="142">
        <v>46144.0</v>
      </c>
      <c r="D132" s="28"/>
      <c r="E132" s="28" t="s">
        <v>277</v>
      </c>
      <c r="F132" s="28"/>
      <c r="G132" s="27"/>
      <c r="H132" s="28"/>
      <c r="I132" s="28"/>
      <c r="J132" s="29"/>
      <c r="K132" s="27"/>
      <c r="L132" s="28"/>
      <c r="M132" s="28"/>
      <c r="N132" s="28"/>
      <c r="O132" s="29"/>
      <c r="P132" s="27"/>
      <c r="Q132" s="28"/>
      <c r="R132" s="28"/>
      <c r="S132" s="29"/>
      <c r="T132" s="27"/>
      <c r="U132" s="28"/>
      <c r="V132" s="28"/>
      <c r="W132" s="28"/>
      <c r="X132" s="29"/>
      <c r="Y132" s="28"/>
      <c r="Z132" s="28"/>
      <c r="AA132" s="28"/>
      <c r="AB132" s="29"/>
      <c r="AC132" s="27"/>
      <c r="AD132" s="28"/>
      <c r="AE132" s="28"/>
      <c r="AF132" s="29"/>
      <c r="AG132" s="28"/>
      <c r="AH132" s="28"/>
      <c r="AI132" s="28"/>
      <c r="AJ132" s="28"/>
      <c r="AK132" s="29"/>
      <c r="AL132" s="28"/>
      <c r="AM132" s="28"/>
      <c r="AN132" s="28"/>
      <c r="AO132" s="29"/>
      <c r="AP132" s="28"/>
      <c r="AQ132" s="28"/>
      <c r="AR132" s="28"/>
      <c r="AS132" s="29"/>
      <c r="AT132" s="28"/>
      <c r="AU132" s="28"/>
      <c r="AV132" s="28"/>
      <c r="AW132" s="29"/>
      <c r="AX132" s="28"/>
      <c r="AY132" s="28"/>
      <c r="AZ132" s="28"/>
      <c r="BA132" s="28"/>
      <c r="BB132" s="29"/>
      <c r="BC132" s="30"/>
      <c r="BD132" s="28"/>
      <c r="BE132" s="28"/>
      <c r="BF132" s="28"/>
    </row>
    <row r="133" outlineLevel="1">
      <c r="A133" s="140" t="s">
        <v>377</v>
      </c>
      <c r="B133" s="141">
        <v>46055.0</v>
      </c>
      <c r="C133" s="142">
        <v>46122.0</v>
      </c>
      <c r="D133" s="28"/>
      <c r="E133" s="28" t="s">
        <v>277</v>
      </c>
      <c r="F133" s="98"/>
      <c r="G133" s="27"/>
      <c r="H133" s="28"/>
      <c r="I133" s="28"/>
      <c r="J133" s="29"/>
      <c r="K133" s="27"/>
      <c r="L133" s="28"/>
      <c r="M133" s="28"/>
      <c r="N133" s="28"/>
      <c r="O133" s="29"/>
      <c r="P133" s="27"/>
      <c r="Q133" s="28"/>
      <c r="R133" s="28"/>
      <c r="S133" s="29"/>
      <c r="T133" s="27"/>
      <c r="U133" s="28"/>
      <c r="V133" s="28"/>
      <c r="W133" s="28"/>
      <c r="X133" s="29"/>
      <c r="Y133" s="28"/>
      <c r="Z133" s="28"/>
      <c r="AA133" s="28"/>
      <c r="AB133" s="29"/>
      <c r="AC133" s="27"/>
      <c r="AD133" s="28"/>
      <c r="AE133" s="28"/>
      <c r="AF133" s="29"/>
      <c r="AG133" s="28"/>
      <c r="AH133" s="28"/>
      <c r="AI133" s="28"/>
      <c r="AJ133" s="28"/>
      <c r="AK133" s="29"/>
      <c r="AL133" s="28"/>
      <c r="AM133" s="28"/>
      <c r="AN133" s="28"/>
      <c r="AO133" s="29"/>
      <c r="AP133" s="28"/>
      <c r="AQ133" s="28"/>
      <c r="AR133" s="28"/>
      <c r="AS133" s="29"/>
      <c r="AT133" s="28"/>
      <c r="AU133" s="28"/>
      <c r="AV133" s="28"/>
      <c r="AW133" s="29"/>
      <c r="AX133" s="28"/>
      <c r="AY133" s="28"/>
      <c r="AZ133" s="28"/>
      <c r="BA133" s="28"/>
      <c r="BB133" s="29"/>
      <c r="BC133" s="30"/>
      <c r="BD133" s="28"/>
      <c r="BE133" s="28"/>
      <c r="BF133" s="28"/>
    </row>
    <row r="134" outlineLevel="1">
      <c r="A134" s="143" t="s">
        <v>378</v>
      </c>
      <c r="B134" s="141">
        <v>46027.0</v>
      </c>
      <c r="C134" s="142">
        <v>46115.0</v>
      </c>
      <c r="D134" s="28"/>
      <c r="E134" s="28" t="s">
        <v>277</v>
      </c>
      <c r="F134" s="28"/>
      <c r="G134" s="27"/>
      <c r="H134" s="28"/>
      <c r="I134" s="28"/>
      <c r="J134" s="29"/>
      <c r="K134" s="27"/>
      <c r="L134" s="28"/>
      <c r="M134" s="28"/>
      <c r="N134" s="28"/>
      <c r="O134" s="29"/>
      <c r="P134" s="27"/>
      <c r="Q134" s="28"/>
      <c r="R134" s="28"/>
      <c r="S134" s="29"/>
      <c r="T134" s="27"/>
      <c r="U134" s="28"/>
      <c r="V134" s="28"/>
      <c r="W134" s="28"/>
      <c r="X134" s="29"/>
      <c r="Y134" s="28"/>
      <c r="Z134" s="28"/>
      <c r="AA134" s="28"/>
      <c r="AB134" s="29"/>
      <c r="AC134" s="27"/>
      <c r="AD134" s="28"/>
      <c r="AE134" s="28"/>
      <c r="AF134" s="29"/>
      <c r="AG134" s="28"/>
      <c r="AH134" s="28"/>
      <c r="AI134" s="28"/>
      <c r="AJ134" s="28"/>
      <c r="AK134" s="29"/>
      <c r="AL134" s="28"/>
      <c r="AM134" s="28"/>
      <c r="AN134" s="28"/>
      <c r="AO134" s="29"/>
      <c r="AP134" s="28"/>
      <c r="AQ134" s="28"/>
      <c r="AR134" s="28"/>
      <c r="AS134" s="29"/>
      <c r="AT134" s="28"/>
      <c r="AU134" s="28"/>
      <c r="AV134" s="28"/>
      <c r="AW134" s="29"/>
      <c r="AX134" s="28"/>
      <c r="AY134" s="28"/>
      <c r="AZ134" s="28"/>
      <c r="BA134" s="28"/>
      <c r="BB134" s="29"/>
      <c r="BC134" s="30"/>
      <c r="BD134" s="28"/>
      <c r="BE134" s="28"/>
      <c r="BF134" s="28"/>
    </row>
    <row r="135" outlineLevel="1">
      <c r="A135" s="140" t="s">
        <v>379</v>
      </c>
      <c r="B135" s="144"/>
      <c r="C135" s="145"/>
      <c r="D135" s="28"/>
      <c r="E135" s="28" t="s">
        <v>277</v>
      </c>
      <c r="F135" s="28"/>
      <c r="G135" s="27"/>
      <c r="H135" s="28"/>
      <c r="I135" s="28"/>
      <c r="J135" s="29"/>
      <c r="K135" s="27"/>
      <c r="L135" s="28"/>
      <c r="M135" s="28"/>
      <c r="N135" s="28"/>
      <c r="O135" s="29"/>
      <c r="P135" s="27"/>
      <c r="Q135" s="28"/>
      <c r="R135" s="28"/>
      <c r="S135" s="29"/>
      <c r="T135" s="27"/>
      <c r="U135" s="28"/>
      <c r="V135" s="28"/>
      <c r="W135" s="28"/>
      <c r="X135" s="29"/>
      <c r="Y135" s="28"/>
      <c r="Z135" s="28"/>
      <c r="AA135" s="28"/>
      <c r="AB135" s="29"/>
      <c r="AC135" s="27"/>
      <c r="AD135" s="28"/>
      <c r="AE135" s="28"/>
      <c r="AF135" s="29"/>
      <c r="AG135" s="28"/>
      <c r="AH135" s="28"/>
      <c r="AI135" s="28"/>
      <c r="AJ135" s="28"/>
      <c r="AK135" s="29"/>
      <c r="AL135" s="28"/>
      <c r="AM135" s="28"/>
      <c r="AN135" s="28"/>
      <c r="AO135" s="29"/>
      <c r="AP135" s="28"/>
      <c r="AQ135" s="28"/>
      <c r="AR135" s="28"/>
      <c r="AS135" s="29"/>
      <c r="AT135" s="28"/>
      <c r="AU135" s="28"/>
      <c r="AV135" s="28"/>
      <c r="AW135" s="29"/>
      <c r="AX135" s="28"/>
      <c r="AY135" s="28"/>
      <c r="AZ135" s="28"/>
      <c r="BA135" s="28"/>
      <c r="BB135" s="29"/>
      <c r="BC135" s="30"/>
      <c r="BD135" s="28"/>
      <c r="BE135" s="28"/>
      <c r="BF135" s="28"/>
    </row>
    <row r="136">
      <c r="B136" s="130"/>
      <c r="C136" s="145"/>
      <c r="D136" s="28"/>
      <c r="E136" s="28"/>
      <c r="F136" s="28"/>
      <c r="G136" s="27"/>
      <c r="H136" s="28"/>
      <c r="I136" s="28"/>
      <c r="J136" s="29"/>
      <c r="K136" s="27"/>
      <c r="L136" s="28"/>
      <c r="M136" s="28"/>
      <c r="N136" s="28"/>
      <c r="O136" s="29"/>
      <c r="P136" s="27"/>
      <c r="Q136" s="28"/>
      <c r="R136" s="28"/>
      <c r="S136" s="29"/>
      <c r="T136" s="27"/>
      <c r="U136" s="28"/>
      <c r="V136" s="28"/>
      <c r="W136" s="28"/>
      <c r="X136" s="29"/>
      <c r="Y136" s="28"/>
      <c r="Z136" s="28"/>
      <c r="AA136" s="28"/>
      <c r="AB136" s="29"/>
      <c r="AC136" s="27"/>
      <c r="AD136" s="28"/>
      <c r="AE136" s="28"/>
      <c r="AF136" s="29"/>
      <c r="AG136" s="28"/>
      <c r="AH136" s="28"/>
      <c r="AI136" s="28"/>
      <c r="AJ136" s="28"/>
      <c r="AK136" s="29"/>
      <c r="AL136" s="28"/>
      <c r="AM136" s="28"/>
      <c r="AN136" s="28"/>
      <c r="AO136" s="29"/>
      <c r="AP136" s="28"/>
      <c r="AQ136" s="28"/>
      <c r="AR136" s="28"/>
      <c r="AS136" s="29"/>
      <c r="AT136" s="28"/>
      <c r="AU136" s="28"/>
      <c r="AV136" s="28"/>
      <c r="AW136" s="29"/>
      <c r="AX136" s="28"/>
      <c r="AY136" s="28"/>
      <c r="AZ136" s="28"/>
      <c r="BA136" s="28"/>
      <c r="BB136" s="29"/>
      <c r="BC136" s="30"/>
      <c r="BD136" s="28"/>
      <c r="BE136" s="28"/>
      <c r="BF136" s="28"/>
    </row>
    <row r="137">
      <c r="A137" s="146" t="s">
        <v>380</v>
      </c>
      <c r="G137" s="27"/>
      <c r="H137" s="28"/>
      <c r="I137" s="28"/>
      <c r="J137" s="29"/>
      <c r="K137" s="27"/>
      <c r="L137" s="28"/>
      <c r="M137" s="28"/>
      <c r="N137" s="28"/>
      <c r="O137" s="29"/>
      <c r="P137" s="27"/>
      <c r="Q137" s="28"/>
      <c r="R137" s="28"/>
      <c r="S137" s="29"/>
      <c r="T137" s="27"/>
      <c r="U137" s="28"/>
      <c r="V137" s="28"/>
      <c r="W137" s="28"/>
      <c r="X137" s="29"/>
      <c r="Y137" s="28"/>
      <c r="Z137" s="28"/>
      <c r="AA137" s="28"/>
      <c r="AB137" s="29"/>
      <c r="AC137" s="27"/>
      <c r="AD137" s="28"/>
      <c r="AE137" s="28"/>
      <c r="AF137" s="29"/>
      <c r="AG137" s="28"/>
      <c r="AH137" s="28"/>
      <c r="AI137" s="28"/>
      <c r="AJ137" s="28"/>
      <c r="AK137" s="29"/>
      <c r="AL137" s="28"/>
      <c r="AM137" s="28"/>
      <c r="AN137" s="28"/>
      <c r="AO137" s="29"/>
      <c r="AP137" s="28"/>
      <c r="AQ137" s="28"/>
      <c r="AR137" s="28"/>
      <c r="AS137" s="29"/>
      <c r="AT137" s="28"/>
      <c r="AU137" s="28"/>
      <c r="AV137" s="28"/>
      <c r="AW137" s="29"/>
      <c r="AX137" s="28"/>
      <c r="AY137" s="28"/>
      <c r="AZ137" s="28"/>
      <c r="BA137" s="28"/>
      <c r="BB137" s="29"/>
      <c r="BC137" s="30"/>
      <c r="BD137" s="28"/>
      <c r="BE137" s="28"/>
      <c r="BF137" s="28"/>
    </row>
    <row r="138">
      <c r="A138" s="37" t="s">
        <v>381</v>
      </c>
      <c r="B138" s="147">
        <v>46027.0</v>
      </c>
      <c r="C138" s="147">
        <v>46031.0</v>
      </c>
      <c r="D138" s="69" t="s">
        <v>382</v>
      </c>
      <c r="E138" s="69" t="s">
        <v>297</v>
      </c>
      <c r="F138" s="69" t="s">
        <v>383</v>
      </c>
      <c r="G138" s="27"/>
      <c r="H138" s="28"/>
      <c r="I138" s="28"/>
      <c r="J138" s="29"/>
      <c r="K138" s="27"/>
      <c r="L138" s="28"/>
      <c r="M138" s="28"/>
      <c r="N138" s="28"/>
      <c r="O138" s="29"/>
      <c r="P138" s="27"/>
      <c r="Q138" s="28"/>
      <c r="R138" s="28"/>
      <c r="S138" s="29"/>
      <c r="T138" s="27"/>
      <c r="U138" s="28"/>
      <c r="V138" s="28"/>
      <c r="W138" s="28"/>
      <c r="X138" s="29"/>
      <c r="Y138" s="28"/>
      <c r="Z138" s="28"/>
      <c r="AA138" s="28"/>
      <c r="AB138" s="29"/>
      <c r="AC138" s="27"/>
      <c r="AD138" s="28"/>
      <c r="AE138" s="28"/>
      <c r="AF138" s="29"/>
      <c r="AG138" s="28"/>
      <c r="AH138" s="28"/>
      <c r="AI138" s="28"/>
      <c r="AJ138" s="28"/>
      <c r="AK138" s="29"/>
      <c r="AL138" s="28"/>
      <c r="AM138" s="28"/>
      <c r="AN138" s="28"/>
      <c r="AO138" s="29"/>
      <c r="AP138" s="28"/>
      <c r="AQ138" s="28"/>
      <c r="AR138" s="28"/>
      <c r="AS138" s="29"/>
      <c r="AT138" s="28"/>
      <c r="AU138" s="28"/>
      <c r="AV138" s="28"/>
      <c r="AW138" s="29"/>
      <c r="AX138" s="28"/>
      <c r="AY138" s="28"/>
      <c r="AZ138" s="28"/>
      <c r="BA138" s="28"/>
      <c r="BB138" s="29"/>
      <c r="BC138" s="30"/>
      <c r="BD138" s="28"/>
      <c r="BE138" s="28"/>
      <c r="BF138" s="28"/>
    </row>
    <row r="139">
      <c r="A139" s="69" t="s">
        <v>384</v>
      </c>
      <c r="B139" s="102">
        <v>46027.0</v>
      </c>
      <c r="C139" s="102">
        <v>46045.0</v>
      </c>
      <c r="D139" s="69" t="s">
        <v>382</v>
      </c>
      <c r="E139" s="69" t="s">
        <v>385</v>
      </c>
      <c r="F139" s="69" t="s">
        <v>386</v>
      </c>
      <c r="G139" s="27"/>
      <c r="H139" s="28"/>
      <c r="I139" s="28"/>
      <c r="J139" s="29"/>
      <c r="K139" s="27"/>
      <c r="L139" s="28"/>
      <c r="M139" s="28"/>
      <c r="N139" s="28"/>
      <c r="O139" s="29"/>
      <c r="P139" s="27"/>
      <c r="Q139" s="28"/>
      <c r="R139" s="28"/>
      <c r="S139" s="29"/>
      <c r="T139" s="27"/>
      <c r="U139" s="28"/>
      <c r="V139" s="28"/>
      <c r="W139" s="28"/>
      <c r="X139" s="29"/>
      <c r="Y139" s="28"/>
      <c r="Z139" s="28"/>
      <c r="AA139" s="28"/>
      <c r="AB139" s="29"/>
      <c r="AC139" s="27"/>
      <c r="AD139" s="28"/>
      <c r="AE139" s="28"/>
      <c r="AF139" s="29"/>
      <c r="AG139" s="28"/>
      <c r="AH139" s="28"/>
      <c r="AI139" s="28"/>
      <c r="AJ139" s="28"/>
      <c r="AK139" s="29"/>
      <c r="AL139" s="28"/>
      <c r="AM139" s="28"/>
      <c r="AN139" s="28"/>
      <c r="AO139" s="29"/>
      <c r="AP139" s="28"/>
      <c r="AQ139" s="28"/>
      <c r="AR139" s="28"/>
      <c r="AS139" s="29"/>
      <c r="AT139" s="28"/>
      <c r="AU139" s="28"/>
      <c r="AV139" s="28"/>
      <c r="AW139" s="29"/>
      <c r="AX139" s="28"/>
      <c r="AY139" s="28"/>
      <c r="AZ139" s="28"/>
      <c r="BA139" s="28"/>
      <c r="BB139" s="29"/>
      <c r="BC139" s="30"/>
      <c r="BD139" s="28"/>
      <c r="BE139" s="28"/>
      <c r="BF139" s="28"/>
    </row>
    <row r="140">
      <c r="A140" s="37" t="s">
        <v>387</v>
      </c>
      <c r="B140" s="148">
        <v>46048.0</v>
      </c>
      <c r="C140" s="102">
        <v>46066.0</v>
      </c>
      <c r="D140" s="69" t="s">
        <v>388</v>
      </c>
      <c r="E140" s="69" t="s">
        <v>277</v>
      </c>
      <c r="F140" s="69"/>
      <c r="G140" s="27"/>
      <c r="H140" s="28"/>
      <c r="I140" s="28"/>
      <c r="J140" s="29"/>
      <c r="K140" s="27"/>
      <c r="L140" s="28"/>
      <c r="M140" s="28"/>
      <c r="N140" s="28"/>
      <c r="O140" s="29"/>
      <c r="P140" s="27"/>
      <c r="Q140" s="28"/>
      <c r="R140" s="28"/>
      <c r="S140" s="29"/>
      <c r="T140" s="27"/>
      <c r="U140" s="28"/>
      <c r="V140" s="28"/>
      <c r="W140" s="28"/>
      <c r="X140" s="29"/>
      <c r="Y140" s="28"/>
      <c r="Z140" s="28"/>
      <c r="AA140" s="28"/>
      <c r="AB140" s="29"/>
      <c r="AC140" s="27"/>
      <c r="AD140" s="28"/>
      <c r="AE140" s="28"/>
      <c r="AF140" s="29"/>
      <c r="AG140" s="28"/>
      <c r="AH140" s="28"/>
      <c r="AI140" s="28"/>
      <c r="AJ140" s="28"/>
      <c r="AK140" s="29"/>
      <c r="AL140" s="28"/>
      <c r="AM140" s="28"/>
      <c r="AN140" s="28"/>
      <c r="AO140" s="29"/>
      <c r="AP140" s="28"/>
      <c r="AQ140" s="28"/>
      <c r="AR140" s="28"/>
      <c r="AS140" s="29"/>
      <c r="AT140" s="28"/>
      <c r="AU140" s="28"/>
      <c r="AV140" s="28"/>
      <c r="AW140" s="29"/>
      <c r="AX140" s="28"/>
      <c r="AY140" s="28"/>
      <c r="AZ140" s="28"/>
      <c r="BA140" s="28"/>
      <c r="BB140" s="29"/>
      <c r="BC140" s="30"/>
      <c r="BD140" s="28"/>
      <c r="BE140" s="28"/>
      <c r="BF140" s="28"/>
    </row>
    <row r="141">
      <c r="A141" s="37" t="s">
        <v>389</v>
      </c>
      <c r="B141" s="148">
        <v>46048.0</v>
      </c>
      <c r="C141" s="102">
        <v>46066.0</v>
      </c>
      <c r="D141" s="69" t="s">
        <v>388</v>
      </c>
      <c r="E141" s="28" t="s">
        <v>277</v>
      </c>
      <c r="F141" s="69" t="s">
        <v>390</v>
      </c>
      <c r="G141" s="27"/>
      <c r="H141" s="28"/>
      <c r="I141" s="28"/>
      <c r="J141" s="29"/>
      <c r="K141" s="27"/>
      <c r="L141" s="28"/>
      <c r="M141" s="28"/>
      <c r="N141" s="28"/>
      <c r="O141" s="29"/>
      <c r="P141" s="27"/>
      <c r="Q141" s="28"/>
      <c r="R141" s="28"/>
      <c r="S141" s="29"/>
      <c r="T141" s="27"/>
      <c r="U141" s="28"/>
      <c r="V141" s="28"/>
      <c r="W141" s="28"/>
      <c r="X141" s="29"/>
      <c r="Y141" s="28"/>
      <c r="Z141" s="28"/>
      <c r="AA141" s="28"/>
      <c r="AB141" s="29"/>
      <c r="AC141" s="27"/>
      <c r="AD141" s="28"/>
      <c r="AE141" s="28"/>
      <c r="AF141" s="29"/>
      <c r="AG141" s="28"/>
      <c r="AH141" s="28"/>
      <c r="AI141" s="28"/>
      <c r="AJ141" s="28"/>
      <c r="AK141" s="29"/>
      <c r="AL141" s="28"/>
      <c r="AM141" s="28"/>
      <c r="AN141" s="28"/>
      <c r="AO141" s="29"/>
      <c r="AP141" s="28"/>
      <c r="AQ141" s="28"/>
      <c r="AR141" s="28"/>
      <c r="AS141" s="29"/>
      <c r="AT141" s="28"/>
      <c r="AU141" s="28"/>
      <c r="AV141" s="28"/>
      <c r="AW141" s="29"/>
      <c r="AX141" s="28"/>
      <c r="AY141" s="28"/>
      <c r="AZ141" s="28"/>
      <c r="BA141" s="28"/>
      <c r="BB141" s="29"/>
      <c r="BC141" s="30"/>
      <c r="BD141" s="28"/>
      <c r="BE141" s="28"/>
      <c r="BF141" s="28"/>
    </row>
    <row r="142">
      <c r="A142" s="149" t="s">
        <v>391</v>
      </c>
      <c r="B142" s="148">
        <v>46048.0</v>
      </c>
      <c r="C142" s="102">
        <v>46066.0</v>
      </c>
      <c r="D142" s="69" t="s">
        <v>392</v>
      </c>
      <c r="E142" s="28" t="s">
        <v>277</v>
      </c>
      <c r="F142" s="69" t="s">
        <v>390</v>
      </c>
      <c r="G142" s="27"/>
      <c r="H142" s="28"/>
      <c r="I142" s="28"/>
      <c r="J142" s="29"/>
      <c r="K142" s="27"/>
      <c r="L142" s="28"/>
      <c r="M142" s="28"/>
      <c r="N142" s="28"/>
      <c r="O142" s="29"/>
      <c r="P142" s="27"/>
      <c r="Q142" s="28"/>
      <c r="R142" s="28"/>
      <c r="S142" s="29"/>
      <c r="T142" s="27"/>
      <c r="U142" s="28"/>
      <c r="V142" s="28"/>
      <c r="W142" s="28"/>
      <c r="X142" s="29"/>
      <c r="Y142" s="28"/>
      <c r="Z142" s="28"/>
      <c r="AA142" s="28"/>
      <c r="AB142" s="29"/>
      <c r="AC142" s="27"/>
      <c r="AD142" s="28"/>
      <c r="AE142" s="28"/>
      <c r="AF142" s="29"/>
      <c r="AG142" s="28"/>
      <c r="AH142" s="28"/>
      <c r="AI142" s="28"/>
      <c r="AJ142" s="28"/>
      <c r="AK142" s="29"/>
      <c r="AL142" s="28"/>
      <c r="AM142" s="28"/>
      <c r="AN142" s="28"/>
      <c r="AO142" s="29"/>
      <c r="AP142" s="28"/>
      <c r="AQ142" s="28"/>
      <c r="AR142" s="28"/>
      <c r="AS142" s="29"/>
      <c r="AT142" s="28"/>
      <c r="AU142" s="28"/>
      <c r="AV142" s="28"/>
      <c r="AW142" s="29"/>
      <c r="AX142" s="28"/>
      <c r="AY142" s="28"/>
      <c r="AZ142" s="28"/>
      <c r="BA142" s="28"/>
      <c r="BB142" s="29"/>
      <c r="BC142" s="30"/>
      <c r="BD142" s="28"/>
      <c r="BE142" s="28"/>
      <c r="BF142" s="28"/>
    </row>
    <row r="143">
      <c r="A143" s="149" t="s">
        <v>393</v>
      </c>
      <c r="B143" s="148">
        <v>46048.0</v>
      </c>
      <c r="C143" s="102">
        <v>46059.0</v>
      </c>
      <c r="D143" s="69" t="s">
        <v>394</v>
      </c>
      <c r="E143" s="69" t="s">
        <v>277</v>
      </c>
      <c r="F143" s="69" t="s">
        <v>395</v>
      </c>
      <c r="G143" s="27"/>
      <c r="H143" s="28"/>
      <c r="I143" s="28"/>
      <c r="J143" s="29"/>
      <c r="K143" s="27"/>
      <c r="L143" s="28"/>
      <c r="M143" s="28"/>
      <c r="N143" s="28"/>
      <c r="O143" s="29"/>
      <c r="P143" s="27"/>
      <c r="Q143" s="28"/>
      <c r="R143" s="28"/>
      <c r="S143" s="29"/>
      <c r="T143" s="27"/>
      <c r="U143" s="28"/>
      <c r="V143" s="28"/>
      <c r="W143" s="28"/>
      <c r="X143" s="29"/>
      <c r="Y143" s="28"/>
      <c r="Z143" s="28"/>
      <c r="AA143" s="28"/>
      <c r="AB143" s="29"/>
      <c r="AC143" s="27"/>
      <c r="AD143" s="28"/>
      <c r="AE143" s="28"/>
      <c r="AF143" s="29"/>
      <c r="AG143" s="28"/>
      <c r="AH143" s="28"/>
      <c r="AI143" s="28"/>
      <c r="AJ143" s="28"/>
      <c r="AK143" s="29"/>
      <c r="AL143" s="28"/>
      <c r="AM143" s="28"/>
      <c r="AN143" s="28"/>
      <c r="AO143" s="29"/>
      <c r="AP143" s="28"/>
      <c r="AQ143" s="28"/>
      <c r="AR143" s="28"/>
      <c r="AS143" s="29"/>
      <c r="AT143" s="28"/>
      <c r="AU143" s="28"/>
      <c r="AV143" s="28"/>
      <c r="AW143" s="29"/>
      <c r="AX143" s="28"/>
      <c r="AY143" s="28"/>
      <c r="AZ143" s="28"/>
      <c r="BA143" s="28"/>
      <c r="BB143" s="29"/>
      <c r="BC143" s="30"/>
      <c r="BD143" s="28"/>
      <c r="BE143" s="28"/>
      <c r="BF143" s="28"/>
    </row>
    <row r="144">
      <c r="A144" s="149" t="s">
        <v>160</v>
      </c>
      <c r="B144" s="148">
        <v>46041.0</v>
      </c>
      <c r="C144" s="102">
        <v>46066.0</v>
      </c>
      <c r="D144" s="69" t="s">
        <v>388</v>
      </c>
      <c r="E144" s="69" t="s">
        <v>277</v>
      </c>
      <c r="F144" s="69"/>
      <c r="G144" s="27"/>
      <c r="H144" s="28"/>
      <c r="I144" s="28"/>
      <c r="J144" s="29"/>
      <c r="K144" s="27"/>
      <c r="L144" s="28"/>
      <c r="M144" s="28"/>
      <c r="N144" s="28"/>
      <c r="O144" s="29"/>
      <c r="P144" s="27"/>
      <c r="Q144" s="28"/>
      <c r="R144" s="28"/>
      <c r="S144" s="29"/>
      <c r="T144" s="27"/>
      <c r="U144" s="28"/>
      <c r="V144" s="28"/>
      <c r="W144" s="28"/>
      <c r="X144" s="29"/>
      <c r="Y144" s="28"/>
      <c r="Z144" s="28"/>
      <c r="AA144" s="28"/>
      <c r="AB144" s="29"/>
      <c r="AC144" s="27"/>
      <c r="AD144" s="28"/>
      <c r="AE144" s="28"/>
      <c r="AF144" s="29"/>
      <c r="AG144" s="28"/>
      <c r="AH144" s="28"/>
      <c r="AI144" s="28"/>
      <c r="AJ144" s="28"/>
      <c r="AK144" s="29"/>
      <c r="AL144" s="28"/>
      <c r="AM144" s="28"/>
      <c r="AN144" s="28"/>
      <c r="AO144" s="29"/>
      <c r="AP144" s="28"/>
      <c r="AQ144" s="28"/>
      <c r="AR144" s="28"/>
      <c r="AS144" s="29"/>
      <c r="AT144" s="28"/>
      <c r="AU144" s="28"/>
      <c r="AV144" s="28"/>
      <c r="AW144" s="29"/>
      <c r="AX144" s="28"/>
      <c r="AY144" s="28"/>
      <c r="AZ144" s="28"/>
      <c r="BA144" s="28"/>
      <c r="BB144" s="29"/>
      <c r="BC144" s="30"/>
      <c r="BD144" s="28"/>
      <c r="BE144" s="28"/>
      <c r="BF144" s="28"/>
    </row>
    <row r="145">
      <c r="A145" s="149" t="s">
        <v>396</v>
      </c>
      <c r="B145" s="148" t="s">
        <v>397</v>
      </c>
      <c r="C145" s="148" t="s">
        <v>397</v>
      </c>
      <c r="D145" s="69" t="s">
        <v>398</v>
      </c>
      <c r="E145" s="69" t="s">
        <v>277</v>
      </c>
      <c r="F145" s="69"/>
      <c r="G145" s="27"/>
      <c r="H145" s="28"/>
      <c r="I145" s="28"/>
      <c r="J145" s="29"/>
      <c r="K145" s="27"/>
      <c r="L145" s="28"/>
      <c r="M145" s="28"/>
      <c r="N145" s="28"/>
      <c r="O145" s="29"/>
      <c r="P145" s="27"/>
      <c r="Q145" s="28"/>
      <c r="R145" s="28"/>
      <c r="S145" s="29"/>
      <c r="T145" s="27"/>
      <c r="U145" s="28"/>
      <c r="V145" s="28"/>
      <c r="W145" s="28"/>
      <c r="X145" s="29"/>
      <c r="Y145" s="28"/>
      <c r="Z145" s="28"/>
      <c r="AA145" s="28"/>
      <c r="AB145" s="29"/>
      <c r="AC145" s="27"/>
      <c r="AD145" s="28"/>
      <c r="AE145" s="28"/>
      <c r="AF145" s="29"/>
      <c r="AG145" s="28"/>
      <c r="AH145" s="28"/>
      <c r="AI145" s="28"/>
      <c r="AJ145" s="28"/>
      <c r="AK145" s="29"/>
      <c r="AL145" s="28"/>
      <c r="AM145" s="28"/>
      <c r="AN145" s="28"/>
      <c r="AO145" s="29"/>
      <c r="AP145" s="28"/>
      <c r="AQ145" s="28"/>
      <c r="AR145" s="28"/>
      <c r="AS145" s="29"/>
      <c r="AT145" s="28"/>
      <c r="AU145" s="28"/>
      <c r="AV145" s="28"/>
      <c r="AW145" s="29"/>
      <c r="AX145" s="28"/>
      <c r="AY145" s="28"/>
      <c r="AZ145" s="28"/>
      <c r="BA145" s="28"/>
      <c r="BB145" s="29"/>
      <c r="BC145" s="30"/>
      <c r="BD145" s="28"/>
      <c r="BE145" s="28"/>
      <c r="BF145" s="28"/>
    </row>
    <row r="146">
      <c r="A146" s="149" t="s">
        <v>399</v>
      </c>
      <c r="B146" s="148">
        <v>46055.0</v>
      </c>
      <c r="C146" s="102">
        <v>46066.0</v>
      </c>
      <c r="D146" s="69" t="s">
        <v>400</v>
      </c>
      <c r="E146" s="69" t="s">
        <v>277</v>
      </c>
      <c r="F146" s="69" t="s">
        <v>395</v>
      </c>
      <c r="G146" s="27"/>
      <c r="H146" s="28"/>
      <c r="I146" s="28"/>
      <c r="J146" s="29"/>
      <c r="K146" s="27"/>
      <c r="L146" s="28"/>
      <c r="M146" s="28"/>
      <c r="N146" s="28"/>
      <c r="O146" s="29"/>
      <c r="P146" s="27"/>
      <c r="Q146" s="28"/>
      <c r="R146" s="28"/>
      <c r="S146" s="29"/>
      <c r="T146" s="27"/>
      <c r="U146" s="28"/>
      <c r="V146" s="28"/>
      <c r="W146" s="28"/>
      <c r="X146" s="29"/>
      <c r="Y146" s="28"/>
      <c r="Z146" s="28"/>
      <c r="AA146" s="28"/>
      <c r="AB146" s="29"/>
      <c r="AC146" s="27"/>
      <c r="AD146" s="28"/>
      <c r="AE146" s="28"/>
      <c r="AF146" s="29"/>
      <c r="AG146" s="28"/>
      <c r="AH146" s="28"/>
      <c r="AI146" s="28"/>
      <c r="AJ146" s="28"/>
      <c r="AK146" s="29"/>
      <c r="AL146" s="28"/>
      <c r="AM146" s="28"/>
      <c r="AN146" s="28"/>
      <c r="AO146" s="29"/>
      <c r="AP146" s="28"/>
      <c r="AQ146" s="28"/>
      <c r="AR146" s="28"/>
      <c r="AS146" s="29"/>
      <c r="AT146" s="28"/>
      <c r="AU146" s="28"/>
      <c r="AV146" s="28"/>
      <c r="AW146" s="29"/>
      <c r="AX146" s="28"/>
      <c r="AY146" s="28"/>
      <c r="AZ146" s="28"/>
      <c r="BA146" s="28"/>
      <c r="BB146" s="29"/>
      <c r="BC146" s="30"/>
      <c r="BD146" s="28"/>
      <c r="BE146" s="28"/>
      <c r="BF146" s="28"/>
    </row>
    <row r="147">
      <c r="A147" s="149" t="s">
        <v>401</v>
      </c>
      <c r="B147" s="148">
        <v>46048.0</v>
      </c>
      <c r="C147" s="102">
        <v>46052.0</v>
      </c>
      <c r="D147" s="69" t="s">
        <v>402</v>
      </c>
      <c r="E147" s="69" t="s">
        <v>277</v>
      </c>
      <c r="F147" s="69" t="s">
        <v>403</v>
      </c>
      <c r="G147" s="27"/>
      <c r="H147" s="28"/>
      <c r="I147" s="28"/>
      <c r="J147" s="29"/>
      <c r="K147" s="27"/>
      <c r="L147" s="28"/>
      <c r="M147" s="28"/>
      <c r="N147" s="28"/>
      <c r="O147" s="29"/>
      <c r="P147" s="27"/>
      <c r="Q147" s="28"/>
      <c r="R147" s="28"/>
      <c r="S147" s="29"/>
      <c r="T147" s="27"/>
      <c r="U147" s="28"/>
      <c r="V147" s="28"/>
      <c r="W147" s="28"/>
      <c r="X147" s="29"/>
      <c r="Y147" s="28"/>
      <c r="Z147" s="28"/>
      <c r="AA147" s="28"/>
      <c r="AB147" s="29"/>
      <c r="AC147" s="27"/>
      <c r="AD147" s="28"/>
      <c r="AE147" s="28"/>
      <c r="AF147" s="29"/>
      <c r="AG147" s="28"/>
      <c r="AH147" s="28"/>
      <c r="AI147" s="28"/>
      <c r="AJ147" s="28"/>
      <c r="AK147" s="29"/>
      <c r="AL147" s="28"/>
      <c r="AM147" s="28"/>
      <c r="AN147" s="28"/>
      <c r="AO147" s="29"/>
      <c r="AP147" s="28"/>
      <c r="AQ147" s="28"/>
      <c r="AR147" s="28"/>
      <c r="AS147" s="29"/>
      <c r="AT147" s="28"/>
      <c r="AU147" s="28"/>
      <c r="AV147" s="28"/>
      <c r="AW147" s="29"/>
      <c r="AX147" s="28"/>
      <c r="AY147" s="28"/>
      <c r="AZ147" s="28"/>
      <c r="BA147" s="28"/>
      <c r="BB147" s="29"/>
      <c r="BC147" s="30"/>
      <c r="BD147" s="28"/>
      <c r="BE147" s="28"/>
      <c r="BF147" s="28"/>
    </row>
    <row r="148">
      <c r="A148" s="69" t="s">
        <v>404</v>
      </c>
      <c r="B148" s="148">
        <v>46069.0</v>
      </c>
      <c r="C148" s="102">
        <v>46073.0</v>
      </c>
      <c r="D148" s="69" t="s">
        <v>388</v>
      </c>
      <c r="E148" s="69" t="s">
        <v>277</v>
      </c>
      <c r="F148" s="69"/>
      <c r="G148" s="27"/>
      <c r="H148" s="28"/>
      <c r="I148" s="28"/>
      <c r="J148" s="29"/>
      <c r="K148" s="27"/>
      <c r="L148" s="28"/>
      <c r="M148" s="28"/>
      <c r="N148" s="28"/>
      <c r="O148" s="29"/>
      <c r="P148" s="27"/>
      <c r="Q148" s="28"/>
      <c r="R148" s="28"/>
      <c r="S148" s="29"/>
      <c r="T148" s="27"/>
      <c r="U148" s="28"/>
      <c r="V148" s="28"/>
      <c r="W148" s="28"/>
      <c r="X148" s="29"/>
      <c r="Y148" s="28"/>
      <c r="Z148" s="28"/>
      <c r="AA148" s="28"/>
      <c r="AB148" s="29"/>
      <c r="AC148" s="27"/>
      <c r="AD148" s="28"/>
      <c r="AE148" s="28"/>
      <c r="AF148" s="29"/>
      <c r="AG148" s="28"/>
      <c r="AH148" s="28"/>
      <c r="AI148" s="28"/>
      <c r="AJ148" s="28"/>
      <c r="AK148" s="29"/>
      <c r="AL148" s="28"/>
      <c r="AM148" s="28"/>
      <c r="AN148" s="28"/>
      <c r="AO148" s="29"/>
      <c r="AP148" s="28"/>
      <c r="AQ148" s="28"/>
      <c r="AR148" s="28"/>
      <c r="AS148" s="29"/>
      <c r="AT148" s="28"/>
      <c r="AU148" s="28"/>
      <c r="AV148" s="28"/>
      <c r="AW148" s="29"/>
      <c r="AX148" s="28"/>
      <c r="AY148" s="28"/>
      <c r="AZ148" s="28"/>
      <c r="BA148" s="28"/>
      <c r="BB148" s="29"/>
      <c r="BC148" s="30"/>
      <c r="BD148" s="28"/>
      <c r="BE148" s="28"/>
      <c r="BF148" s="28"/>
    </row>
    <row r="149">
      <c r="A149" s="149" t="s">
        <v>405</v>
      </c>
      <c r="B149" s="148">
        <v>46073.0</v>
      </c>
      <c r="C149" s="102">
        <v>46101.0</v>
      </c>
      <c r="D149" s="69" t="s">
        <v>388</v>
      </c>
      <c r="E149" s="69" t="s">
        <v>277</v>
      </c>
      <c r="F149" s="69" t="s">
        <v>406</v>
      </c>
      <c r="G149" s="27"/>
      <c r="H149" s="28"/>
      <c r="I149" s="28"/>
      <c r="J149" s="29"/>
      <c r="K149" s="27"/>
      <c r="L149" s="28"/>
      <c r="M149" s="28"/>
      <c r="N149" s="28"/>
      <c r="O149" s="29"/>
      <c r="P149" s="27"/>
      <c r="Q149" s="28"/>
      <c r="R149" s="28"/>
      <c r="S149" s="29"/>
      <c r="T149" s="27"/>
      <c r="U149" s="28"/>
      <c r="V149" s="28"/>
      <c r="W149" s="28"/>
      <c r="X149" s="29"/>
      <c r="Y149" s="28"/>
      <c r="Z149" s="28"/>
      <c r="AA149" s="28"/>
      <c r="AB149" s="29"/>
      <c r="AC149" s="27"/>
      <c r="AD149" s="28"/>
      <c r="AE149" s="28"/>
      <c r="AF149" s="29"/>
      <c r="AG149" s="28"/>
      <c r="AH149" s="28"/>
      <c r="AI149" s="28"/>
      <c r="AJ149" s="28"/>
      <c r="AK149" s="29"/>
      <c r="AL149" s="28"/>
      <c r="AM149" s="28"/>
      <c r="AN149" s="28"/>
      <c r="AO149" s="29"/>
      <c r="AP149" s="28"/>
      <c r="AQ149" s="28"/>
      <c r="AR149" s="28"/>
      <c r="AS149" s="29"/>
      <c r="AT149" s="28"/>
      <c r="AU149" s="28"/>
      <c r="AV149" s="28"/>
      <c r="AW149" s="29"/>
      <c r="AX149" s="28"/>
      <c r="AY149" s="28"/>
      <c r="AZ149" s="28"/>
      <c r="BA149" s="28"/>
      <c r="BB149" s="29"/>
      <c r="BC149" s="30"/>
      <c r="BD149" s="28"/>
      <c r="BE149" s="28"/>
      <c r="BF149" s="28"/>
    </row>
    <row r="150">
      <c r="A150" s="149" t="s">
        <v>407</v>
      </c>
      <c r="B150" s="148">
        <v>46101.0</v>
      </c>
      <c r="C150" s="148">
        <v>46108.0</v>
      </c>
      <c r="D150" s="69" t="s">
        <v>388</v>
      </c>
      <c r="E150" s="69" t="s">
        <v>277</v>
      </c>
      <c r="F150" s="28"/>
      <c r="G150" s="27"/>
      <c r="H150" s="28"/>
      <c r="I150" s="28"/>
      <c r="J150" s="29"/>
      <c r="K150" s="27"/>
      <c r="L150" s="28"/>
      <c r="M150" s="28"/>
      <c r="N150" s="28"/>
      <c r="O150" s="29"/>
      <c r="P150" s="27"/>
      <c r="Q150" s="28"/>
      <c r="R150" s="28"/>
      <c r="S150" s="29"/>
      <c r="T150" s="27"/>
      <c r="U150" s="28"/>
      <c r="V150" s="28"/>
      <c r="W150" s="28"/>
      <c r="X150" s="29"/>
      <c r="Y150" s="28"/>
      <c r="Z150" s="28"/>
      <c r="AA150" s="28"/>
      <c r="AB150" s="29"/>
      <c r="AC150" s="27"/>
      <c r="AD150" s="28"/>
      <c r="AE150" s="28"/>
      <c r="AF150" s="29"/>
      <c r="AG150" s="28"/>
      <c r="AH150" s="28"/>
      <c r="AI150" s="28"/>
      <c r="AJ150" s="28"/>
      <c r="AK150" s="29"/>
      <c r="AL150" s="28"/>
      <c r="AM150" s="28"/>
      <c r="AN150" s="28"/>
      <c r="AO150" s="29"/>
      <c r="AP150" s="28"/>
      <c r="AQ150" s="28"/>
      <c r="AR150" s="28"/>
      <c r="AS150" s="29"/>
      <c r="AT150" s="28"/>
      <c r="AU150" s="28"/>
      <c r="AV150" s="28"/>
      <c r="AW150" s="29"/>
      <c r="AX150" s="28"/>
      <c r="AY150" s="28"/>
      <c r="AZ150" s="28"/>
      <c r="BA150" s="28"/>
      <c r="BB150" s="29"/>
      <c r="BC150" s="30"/>
      <c r="BD150" s="28"/>
      <c r="BE150" s="28"/>
      <c r="BF150" s="28"/>
    </row>
    <row r="151">
      <c r="A151" s="149" t="s">
        <v>408</v>
      </c>
      <c r="B151" s="148">
        <v>46101.0</v>
      </c>
      <c r="C151" s="148">
        <v>46108.0</v>
      </c>
      <c r="D151" s="69" t="s">
        <v>388</v>
      </c>
      <c r="E151" s="69" t="s">
        <v>277</v>
      </c>
      <c r="F151" s="28"/>
      <c r="G151" s="27"/>
      <c r="H151" s="28"/>
      <c r="I151" s="28"/>
      <c r="J151" s="29"/>
      <c r="K151" s="27"/>
      <c r="L151" s="28"/>
      <c r="M151" s="28"/>
      <c r="N151" s="28"/>
      <c r="O151" s="29"/>
      <c r="P151" s="27"/>
      <c r="Q151" s="28"/>
      <c r="R151" s="28"/>
      <c r="S151" s="29"/>
      <c r="T151" s="27"/>
      <c r="U151" s="28"/>
      <c r="V151" s="28"/>
      <c r="W151" s="28"/>
      <c r="X151" s="29"/>
      <c r="Y151" s="28"/>
      <c r="Z151" s="28"/>
      <c r="AA151" s="28"/>
      <c r="AB151" s="29"/>
      <c r="AC151" s="27"/>
      <c r="AD151" s="28"/>
      <c r="AE151" s="28"/>
      <c r="AF151" s="29"/>
      <c r="AG151" s="28"/>
      <c r="AH151" s="28"/>
      <c r="AI151" s="28"/>
      <c r="AJ151" s="28"/>
      <c r="AK151" s="29"/>
      <c r="AL151" s="28"/>
      <c r="AM151" s="28"/>
      <c r="AN151" s="28"/>
      <c r="AO151" s="29"/>
      <c r="AP151" s="28"/>
      <c r="AQ151" s="28"/>
      <c r="AR151" s="28"/>
      <c r="AS151" s="29"/>
      <c r="AT151" s="28"/>
      <c r="AU151" s="28"/>
      <c r="AV151" s="28"/>
      <c r="AW151" s="29"/>
      <c r="AX151" s="28"/>
      <c r="AY151" s="28"/>
      <c r="AZ151" s="28"/>
      <c r="BA151" s="28"/>
      <c r="BB151" s="29"/>
      <c r="BC151" s="30"/>
      <c r="BD151" s="28"/>
      <c r="BE151" s="28"/>
      <c r="BF151" s="28"/>
    </row>
    <row r="152">
      <c r="A152" s="150"/>
      <c r="B152" s="144"/>
      <c r="C152" s="151"/>
      <c r="D152" s="28"/>
      <c r="E152" s="28"/>
      <c r="F152" s="28"/>
      <c r="G152" s="27"/>
      <c r="H152" s="28"/>
      <c r="I152" s="28"/>
      <c r="J152" s="29"/>
      <c r="K152" s="27"/>
      <c r="L152" s="28"/>
      <c r="M152" s="28"/>
      <c r="N152" s="28"/>
      <c r="O152" s="29"/>
      <c r="P152" s="27"/>
      <c r="Q152" s="28"/>
      <c r="R152" s="28"/>
      <c r="S152" s="29"/>
      <c r="T152" s="27"/>
      <c r="U152" s="28"/>
      <c r="V152" s="28"/>
      <c r="W152" s="28"/>
      <c r="X152" s="29"/>
      <c r="Y152" s="28"/>
      <c r="Z152" s="28"/>
      <c r="AA152" s="28"/>
      <c r="AB152" s="29"/>
      <c r="AC152" s="27"/>
      <c r="AD152" s="28"/>
      <c r="AE152" s="28"/>
      <c r="AF152" s="29"/>
      <c r="AG152" s="28"/>
      <c r="AH152" s="28"/>
      <c r="AI152" s="28"/>
      <c r="AJ152" s="28"/>
      <c r="AK152" s="29"/>
      <c r="AL152" s="28"/>
      <c r="AM152" s="28"/>
      <c r="AN152" s="28"/>
      <c r="AO152" s="29"/>
      <c r="AP152" s="28"/>
      <c r="AQ152" s="28"/>
      <c r="AR152" s="28"/>
      <c r="AS152" s="29"/>
      <c r="AT152" s="28"/>
      <c r="AU152" s="28"/>
      <c r="AV152" s="28"/>
      <c r="AW152" s="29"/>
      <c r="AX152" s="28"/>
      <c r="AY152" s="28"/>
      <c r="AZ152" s="28"/>
      <c r="BA152" s="28"/>
      <c r="BB152" s="29"/>
      <c r="BC152" s="30"/>
      <c r="BD152" s="28"/>
      <c r="BE152" s="28"/>
      <c r="BF152" s="28"/>
    </row>
    <row r="153">
      <c r="A153" s="146" t="s">
        <v>409</v>
      </c>
      <c r="G153" s="27"/>
      <c r="H153" s="28"/>
      <c r="I153" s="28"/>
      <c r="J153" s="29"/>
      <c r="K153" s="27"/>
      <c r="L153" s="28"/>
      <c r="M153" s="28"/>
      <c r="N153" s="28"/>
      <c r="O153" s="29"/>
      <c r="P153" s="27"/>
      <c r="Q153" s="28"/>
      <c r="R153" s="28"/>
      <c r="S153" s="29"/>
      <c r="T153" s="27"/>
      <c r="U153" s="28"/>
      <c r="V153" s="28"/>
      <c r="W153" s="28"/>
      <c r="X153" s="29"/>
      <c r="Y153" s="28"/>
      <c r="Z153" s="28"/>
      <c r="AA153" s="28"/>
      <c r="AB153" s="29"/>
      <c r="AC153" s="27"/>
      <c r="AD153" s="28"/>
      <c r="AE153" s="28"/>
      <c r="AF153" s="29"/>
      <c r="AG153" s="28"/>
      <c r="AH153" s="28"/>
      <c r="AI153" s="28"/>
      <c r="AJ153" s="28"/>
      <c r="AK153" s="29"/>
      <c r="AL153" s="28"/>
      <c r="AM153" s="28"/>
      <c r="AN153" s="28"/>
      <c r="AO153" s="29"/>
      <c r="AP153" s="28"/>
      <c r="AQ153" s="28"/>
      <c r="AR153" s="28"/>
      <c r="AS153" s="29"/>
      <c r="AT153" s="28"/>
      <c r="AU153" s="28"/>
      <c r="AV153" s="28"/>
      <c r="AW153" s="29"/>
      <c r="AX153" s="28"/>
      <c r="AY153" s="28"/>
      <c r="AZ153" s="28"/>
      <c r="BA153" s="28"/>
      <c r="BB153" s="29"/>
      <c r="BC153" s="30"/>
      <c r="BD153" s="28"/>
      <c r="BE153" s="28"/>
      <c r="BF153" s="28"/>
    </row>
    <row r="154">
      <c r="A154" s="149" t="s">
        <v>389</v>
      </c>
      <c r="B154" s="148">
        <v>46048.0</v>
      </c>
      <c r="C154" s="102">
        <v>46066.0</v>
      </c>
      <c r="D154" s="69" t="s">
        <v>388</v>
      </c>
      <c r="E154" s="28" t="s">
        <v>277</v>
      </c>
      <c r="F154" s="69" t="s">
        <v>390</v>
      </c>
      <c r="G154" s="27"/>
      <c r="H154" s="28"/>
      <c r="I154" s="28"/>
      <c r="J154" s="29"/>
      <c r="K154" s="27"/>
      <c r="L154" s="28"/>
      <c r="M154" s="28"/>
      <c r="N154" s="28"/>
      <c r="O154" s="29"/>
      <c r="P154" s="27"/>
      <c r="Q154" s="28"/>
      <c r="R154" s="28"/>
      <c r="S154" s="29"/>
      <c r="T154" s="27"/>
      <c r="U154" s="28"/>
      <c r="V154" s="28"/>
      <c r="W154" s="28"/>
      <c r="X154" s="29"/>
      <c r="Y154" s="28"/>
      <c r="Z154" s="28"/>
      <c r="AA154" s="28"/>
      <c r="AB154" s="29"/>
      <c r="AC154" s="27"/>
      <c r="AD154" s="28"/>
      <c r="AE154" s="28"/>
      <c r="AF154" s="29"/>
      <c r="AG154" s="28"/>
      <c r="AH154" s="28"/>
      <c r="AI154" s="28"/>
      <c r="AJ154" s="28"/>
      <c r="AK154" s="29"/>
      <c r="AL154" s="28"/>
      <c r="AM154" s="28"/>
      <c r="AN154" s="28"/>
      <c r="AO154" s="29"/>
      <c r="AP154" s="28"/>
      <c r="AQ154" s="28"/>
      <c r="AR154" s="28"/>
      <c r="AS154" s="29"/>
      <c r="AT154" s="28"/>
      <c r="AU154" s="28"/>
      <c r="AV154" s="28"/>
      <c r="AW154" s="29"/>
      <c r="AX154" s="28"/>
      <c r="AY154" s="28"/>
      <c r="AZ154" s="28"/>
      <c r="BA154" s="28"/>
      <c r="BB154" s="29"/>
      <c r="BC154" s="30"/>
      <c r="BD154" s="28"/>
      <c r="BE154" s="28"/>
      <c r="BF154" s="28"/>
    </row>
    <row r="155">
      <c r="A155" s="69" t="s">
        <v>404</v>
      </c>
      <c r="B155" s="148">
        <v>46041.0</v>
      </c>
      <c r="C155" s="102">
        <v>46066.0</v>
      </c>
      <c r="D155" s="69" t="s">
        <v>388</v>
      </c>
      <c r="E155" s="69" t="s">
        <v>277</v>
      </c>
      <c r="F155" s="69"/>
      <c r="G155" s="27"/>
      <c r="H155" s="28"/>
      <c r="I155" s="28"/>
      <c r="J155" s="29"/>
      <c r="K155" s="27"/>
      <c r="L155" s="28"/>
      <c r="M155" s="28"/>
      <c r="N155" s="28"/>
      <c r="O155" s="29"/>
      <c r="P155" s="27"/>
      <c r="Q155" s="28"/>
      <c r="R155" s="28"/>
      <c r="S155" s="29"/>
      <c r="T155" s="27"/>
      <c r="U155" s="28"/>
      <c r="V155" s="28"/>
      <c r="W155" s="28"/>
      <c r="X155" s="29"/>
      <c r="Y155" s="28"/>
      <c r="Z155" s="28"/>
      <c r="AA155" s="28"/>
      <c r="AB155" s="29"/>
      <c r="AC155" s="27"/>
      <c r="AD155" s="28"/>
      <c r="AE155" s="28"/>
      <c r="AF155" s="29"/>
      <c r="AG155" s="28"/>
      <c r="AH155" s="28"/>
      <c r="AI155" s="28"/>
      <c r="AJ155" s="28"/>
      <c r="AK155" s="29"/>
      <c r="AL155" s="28"/>
      <c r="AM155" s="28"/>
      <c r="AN155" s="28"/>
      <c r="AO155" s="29"/>
      <c r="AP155" s="28"/>
      <c r="AQ155" s="28"/>
      <c r="AR155" s="28"/>
      <c r="AS155" s="29"/>
      <c r="AT155" s="28"/>
      <c r="AU155" s="28"/>
      <c r="AV155" s="28"/>
      <c r="AW155" s="29"/>
      <c r="AX155" s="28"/>
      <c r="AY155" s="28"/>
      <c r="AZ155" s="28"/>
      <c r="BA155" s="28"/>
      <c r="BB155" s="29"/>
      <c r="BC155" s="30"/>
      <c r="BD155" s="28"/>
      <c r="BE155" s="28"/>
      <c r="BF155" s="28"/>
    </row>
    <row r="156">
      <c r="A156" s="149" t="s">
        <v>410</v>
      </c>
      <c r="B156" s="148">
        <v>46048.0</v>
      </c>
      <c r="C156" s="102">
        <v>46066.0</v>
      </c>
      <c r="D156" s="69" t="s">
        <v>388</v>
      </c>
      <c r="E156" s="28" t="s">
        <v>277</v>
      </c>
      <c r="F156" s="69" t="s">
        <v>390</v>
      </c>
      <c r="G156" s="27"/>
      <c r="H156" s="28"/>
      <c r="I156" s="28"/>
      <c r="J156" s="29"/>
      <c r="K156" s="27"/>
      <c r="L156" s="28"/>
      <c r="M156" s="28"/>
      <c r="N156" s="28"/>
      <c r="O156" s="29"/>
      <c r="P156" s="27"/>
      <c r="Q156" s="28"/>
      <c r="R156" s="28"/>
      <c r="S156" s="29"/>
      <c r="T156" s="27"/>
      <c r="U156" s="28"/>
      <c r="V156" s="28"/>
      <c r="W156" s="28"/>
      <c r="X156" s="29"/>
      <c r="Y156" s="28"/>
      <c r="Z156" s="28"/>
      <c r="AA156" s="28"/>
      <c r="AB156" s="29"/>
      <c r="AC156" s="27"/>
      <c r="AD156" s="28"/>
      <c r="AE156" s="28"/>
      <c r="AF156" s="29"/>
      <c r="AG156" s="28"/>
      <c r="AH156" s="28"/>
      <c r="AI156" s="28"/>
      <c r="AJ156" s="28"/>
      <c r="AK156" s="29"/>
      <c r="AL156" s="28"/>
      <c r="AM156" s="28"/>
      <c r="AN156" s="28"/>
      <c r="AO156" s="29"/>
      <c r="AP156" s="28"/>
      <c r="AQ156" s="28"/>
      <c r="AR156" s="28"/>
      <c r="AS156" s="29"/>
      <c r="AT156" s="28"/>
      <c r="AU156" s="28"/>
      <c r="AV156" s="28"/>
      <c r="AW156" s="29"/>
      <c r="AX156" s="28"/>
      <c r="AY156" s="28"/>
      <c r="AZ156" s="28"/>
      <c r="BA156" s="28"/>
      <c r="BB156" s="29"/>
      <c r="BC156" s="30"/>
      <c r="BD156" s="28"/>
      <c r="BE156" s="28"/>
      <c r="BF156" s="28"/>
    </row>
    <row r="157">
      <c r="A157" s="149" t="s">
        <v>391</v>
      </c>
      <c r="B157" s="148">
        <v>46048.0</v>
      </c>
      <c r="C157" s="102">
        <v>46066.0</v>
      </c>
      <c r="D157" s="69" t="s">
        <v>392</v>
      </c>
      <c r="E157" s="28" t="s">
        <v>277</v>
      </c>
      <c r="F157" s="69" t="s">
        <v>390</v>
      </c>
      <c r="G157" s="27"/>
      <c r="H157" s="28"/>
      <c r="I157" s="28"/>
      <c r="J157" s="29"/>
      <c r="K157" s="27"/>
      <c r="L157" s="28"/>
      <c r="M157" s="28"/>
      <c r="N157" s="28"/>
      <c r="O157" s="29"/>
      <c r="P157" s="27"/>
      <c r="Q157" s="28"/>
      <c r="R157" s="28"/>
      <c r="S157" s="29"/>
      <c r="T157" s="27"/>
      <c r="U157" s="28"/>
      <c r="V157" s="28"/>
      <c r="W157" s="28"/>
      <c r="X157" s="29"/>
      <c r="Y157" s="28"/>
      <c r="Z157" s="28"/>
      <c r="AA157" s="28"/>
      <c r="AB157" s="29"/>
      <c r="AC157" s="27"/>
      <c r="AD157" s="28"/>
      <c r="AE157" s="28"/>
      <c r="AF157" s="29"/>
      <c r="AG157" s="28"/>
      <c r="AH157" s="28"/>
      <c r="AI157" s="28"/>
      <c r="AJ157" s="28"/>
      <c r="AK157" s="29"/>
      <c r="AL157" s="28"/>
      <c r="AM157" s="28"/>
      <c r="AN157" s="28"/>
      <c r="AO157" s="29"/>
      <c r="AP157" s="28"/>
      <c r="AQ157" s="28"/>
      <c r="AR157" s="28"/>
      <c r="AS157" s="29"/>
      <c r="AT157" s="28"/>
      <c r="AU157" s="28"/>
      <c r="AV157" s="28"/>
      <c r="AW157" s="29"/>
      <c r="AX157" s="28"/>
      <c r="AY157" s="28"/>
      <c r="AZ157" s="28"/>
      <c r="BA157" s="28"/>
      <c r="BB157" s="29"/>
      <c r="BC157" s="30"/>
      <c r="BD157" s="28"/>
      <c r="BE157" s="28"/>
      <c r="BF157" s="28"/>
    </row>
    <row r="158">
      <c r="A158" s="149" t="s">
        <v>399</v>
      </c>
      <c r="B158" s="148">
        <v>46055.0</v>
      </c>
      <c r="C158" s="102">
        <v>46066.0</v>
      </c>
      <c r="D158" s="69" t="s">
        <v>411</v>
      </c>
      <c r="E158" s="28" t="s">
        <v>277</v>
      </c>
      <c r="F158" s="69" t="s">
        <v>395</v>
      </c>
      <c r="G158" s="27"/>
      <c r="H158" s="28"/>
      <c r="I158" s="28"/>
      <c r="J158" s="29"/>
      <c r="K158" s="27"/>
      <c r="L158" s="28"/>
      <c r="M158" s="28"/>
      <c r="N158" s="28"/>
      <c r="O158" s="29"/>
      <c r="P158" s="27"/>
      <c r="Q158" s="28"/>
      <c r="R158" s="28"/>
      <c r="S158" s="29"/>
      <c r="T158" s="27"/>
      <c r="U158" s="28"/>
      <c r="V158" s="28"/>
      <c r="W158" s="28"/>
      <c r="X158" s="29"/>
      <c r="Y158" s="28"/>
      <c r="Z158" s="28"/>
      <c r="AA158" s="28"/>
      <c r="AB158" s="29"/>
      <c r="AC158" s="27"/>
      <c r="AD158" s="28"/>
      <c r="AE158" s="28"/>
      <c r="AF158" s="29"/>
      <c r="AG158" s="28"/>
      <c r="AH158" s="28"/>
      <c r="AI158" s="28"/>
      <c r="AJ158" s="28"/>
      <c r="AK158" s="29"/>
      <c r="AL158" s="28"/>
      <c r="AM158" s="28"/>
      <c r="AN158" s="28"/>
      <c r="AO158" s="29"/>
      <c r="AP158" s="28"/>
      <c r="AQ158" s="28"/>
      <c r="AR158" s="28"/>
      <c r="AS158" s="29"/>
      <c r="AT158" s="28"/>
      <c r="AU158" s="28"/>
      <c r="AV158" s="28"/>
      <c r="AW158" s="29"/>
      <c r="AX158" s="28"/>
      <c r="AY158" s="28"/>
      <c r="AZ158" s="28"/>
      <c r="BA158" s="28"/>
      <c r="BB158" s="29"/>
      <c r="BC158" s="30"/>
      <c r="BD158" s="28"/>
      <c r="BE158" s="28"/>
      <c r="BF158" s="28"/>
    </row>
    <row r="159">
      <c r="A159" s="149" t="s">
        <v>412</v>
      </c>
      <c r="B159" s="148">
        <v>46043.0</v>
      </c>
      <c r="C159" s="148">
        <v>46059.0</v>
      </c>
      <c r="D159" s="69" t="s">
        <v>413</v>
      </c>
      <c r="E159" s="69" t="s">
        <v>277</v>
      </c>
      <c r="F159" s="69" t="s">
        <v>414</v>
      </c>
      <c r="G159" s="27"/>
      <c r="H159" s="28"/>
      <c r="I159" s="28"/>
      <c r="J159" s="29"/>
      <c r="K159" s="27"/>
      <c r="L159" s="28"/>
      <c r="M159" s="28"/>
      <c r="N159" s="28"/>
      <c r="O159" s="29"/>
      <c r="P159" s="27"/>
      <c r="Q159" s="28"/>
      <c r="R159" s="28"/>
      <c r="S159" s="29"/>
      <c r="T159" s="27"/>
      <c r="U159" s="28"/>
      <c r="V159" s="28"/>
      <c r="W159" s="28"/>
      <c r="X159" s="29"/>
      <c r="Y159" s="28"/>
      <c r="Z159" s="28"/>
      <c r="AA159" s="28"/>
      <c r="AB159" s="29"/>
      <c r="AC159" s="27"/>
      <c r="AD159" s="28"/>
      <c r="AE159" s="28"/>
      <c r="AF159" s="29"/>
      <c r="AG159" s="28"/>
      <c r="AH159" s="28"/>
      <c r="AI159" s="28"/>
      <c r="AJ159" s="28"/>
      <c r="AK159" s="29"/>
      <c r="AL159" s="28"/>
      <c r="AM159" s="28"/>
      <c r="AN159" s="28"/>
      <c r="AO159" s="29"/>
      <c r="AP159" s="28"/>
      <c r="AQ159" s="28"/>
      <c r="AR159" s="28"/>
      <c r="AS159" s="29"/>
      <c r="AT159" s="28"/>
      <c r="AU159" s="28"/>
      <c r="AV159" s="28"/>
      <c r="AW159" s="29"/>
      <c r="AX159" s="28"/>
      <c r="AY159" s="28"/>
      <c r="AZ159" s="28"/>
      <c r="BA159" s="28"/>
      <c r="BB159" s="29"/>
      <c r="BC159" s="30"/>
      <c r="BD159" s="28"/>
      <c r="BE159" s="28"/>
      <c r="BF159" s="28"/>
    </row>
    <row r="160">
      <c r="A160" s="149" t="s">
        <v>401</v>
      </c>
      <c r="B160" s="148">
        <v>46048.0</v>
      </c>
      <c r="C160" s="102">
        <v>46052.0</v>
      </c>
      <c r="D160" s="69" t="s">
        <v>402</v>
      </c>
      <c r="E160" s="69" t="s">
        <v>277</v>
      </c>
      <c r="F160" s="69" t="s">
        <v>403</v>
      </c>
      <c r="G160" s="27"/>
      <c r="H160" s="28"/>
      <c r="I160" s="28"/>
      <c r="J160" s="29"/>
      <c r="K160" s="27"/>
      <c r="L160" s="28"/>
      <c r="M160" s="28"/>
      <c r="N160" s="28"/>
      <c r="O160" s="29"/>
      <c r="P160" s="27"/>
      <c r="Q160" s="28"/>
      <c r="R160" s="28"/>
      <c r="S160" s="29"/>
      <c r="T160" s="27"/>
      <c r="U160" s="28"/>
      <c r="V160" s="28"/>
      <c r="W160" s="28"/>
      <c r="X160" s="29"/>
      <c r="Y160" s="28"/>
      <c r="Z160" s="28"/>
      <c r="AA160" s="28"/>
      <c r="AB160" s="29"/>
      <c r="AC160" s="27"/>
      <c r="AD160" s="28"/>
      <c r="AE160" s="28"/>
      <c r="AF160" s="29"/>
      <c r="AG160" s="28"/>
      <c r="AH160" s="28"/>
      <c r="AI160" s="28"/>
      <c r="AJ160" s="28"/>
      <c r="AK160" s="29"/>
      <c r="AL160" s="28"/>
      <c r="AM160" s="28"/>
      <c r="AN160" s="28"/>
      <c r="AO160" s="29"/>
      <c r="AP160" s="28"/>
      <c r="AQ160" s="28"/>
      <c r="AR160" s="28"/>
      <c r="AS160" s="29"/>
      <c r="AT160" s="28"/>
      <c r="AU160" s="28"/>
      <c r="AV160" s="28"/>
      <c r="AW160" s="29"/>
      <c r="AX160" s="28"/>
      <c r="AY160" s="28"/>
      <c r="AZ160" s="28"/>
      <c r="BA160" s="28"/>
      <c r="BB160" s="29"/>
      <c r="BC160" s="30"/>
      <c r="BD160" s="28"/>
      <c r="BE160" s="28"/>
      <c r="BF160" s="28"/>
    </row>
    <row r="161">
      <c r="A161" s="149" t="s">
        <v>415</v>
      </c>
      <c r="B161" s="148" t="s">
        <v>397</v>
      </c>
      <c r="C161" s="148" t="s">
        <v>397</v>
      </c>
      <c r="D161" s="69" t="s">
        <v>416</v>
      </c>
      <c r="E161" s="69" t="s">
        <v>277</v>
      </c>
      <c r="F161" s="69" t="s">
        <v>417</v>
      </c>
      <c r="G161" s="27"/>
      <c r="H161" s="28"/>
      <c r="I161" s="28"/>
      <c r="J161" s="29"/>
      <c r="K161" s="27"/>
      <c r="L161" s="28"/>
      <c r="M161" s="28"/>
      <c r="N161" s="28"/>
      <c r="O161" s="29"/>
      <c r="P161" s="27"/>
      <c r="Q161" s="28"/>
      <c r="R161" s="28"/>
      <c r="S161" s="29"/>
      <c r="T161" s="27"/>
      <c r="U161" s="28"/>
      <c r="V161" s="28"/>
      <c r="W161" s="28"/>
      <c r="X161" s="29"/>
      <c r="Y161" s="28"/>
      <c r="Z161" s="28"/>
      <c r="AA161" s="28"/>
      <c r="AB161" s="29"/>
      <c r="AC161" s="27"/>
      <c r="AD161" s="28"/>
      <c r="AE161" s="28"/>
      <c r="AF161" s="29"/>
      <c r="AG161" s="28"/>
      <c r="AH161" s="28"/>
      <c r="AI161" s="28"/>
      <c r="AJ161" s="28"/>
      <c r="AK161" s="29"/>
      <c r="AL161" s="28"/>
      <c r="AM161" s="28"/>
      <c r="AN161" s="28"/>
      <c r="AO161" s="29"/>
      <c r="AP161" s="28"/>
      <c r="AQ161" s="28"/>
      <c r="AR161" s="28"/>
      <c r="AS161" s="29"/>
      <c r="AT161" s="28"/>
      <c r="AU161" s="28"/>
      <c r="AV161" s="28"/>
      <c r="AW161" s="29"/>
      <c r="AX161" s="28"/>
      <c r="AY161" s="28"/>
      <c r="AZ161" s="28"/>
      <c r="BA161" s="28"/>
      <c r="BB161" s="29"/>
      <c r="BC161" s="30"/>
      <c r="BD161" s="28"/>
      <c r="BE161" s="28"/>
      <c r="BF161" s="28"/>
    </row>
    <row r="162">
      <c r="A162" s="69" t="s">
        <v>404</v>
      </c>
      <c r="B162" s="148">
        <v>46069.0</v>
      </c>
      <c r="C162" s="102">
        <v>46073.0</v>
      </c>
      <c r="D162" s="69" t="s">
        <v>388</v>
      </c>
      <c r="E162" s="69" t="s">
        <v>277</v>
      </c>
      <c r="F162" s="69"/>
      <c r="G162" s="27"/>
      <c r="H162" s="28"/>
      <c r="I162" s="28"/>
      <c r="J162" s="29"/>
      <c r="K162" s="27"/>
      <c r="L162" s="28"/>
      <c r="M162" s="28"/>
      <c r="N162" s="28"/>
      <c r="O162" s="29"/>
      <c r="P162" s="27"/>
      <c r="Q162" s="28"/>
      <c r="R162" s="28"/>
      <c r="S162" s="29"/>
      <c r="T162" s="27"/>
      <c r="U162" s="28"/>
      <c r="V162" s="28"/>
      <c r="W162" s="28"/>
      <c r="X162" s="29"/>
      <c r="Y162" s="28"/>
      <c r="Z162" s="28"/>
      <c r="AA162" s="28"/>
      <c r="AB162" s="29"/>
      <c r="AC162" s="27"/>
      <c r="AD162" s="28"/>
      <c r="AE162" s="28"/>
      <c r="AF162" s="29"/>
      <c r="AG162" s="28"/>
      <c r="AH162" s="28"/>
      <c r="AI162" s="28"/>
      <c r="AJ162" s="28"/>
      <c r="AK162" s="29"/>
      <c r="AL162" s="28"/>
      <c r="AM162" s="28"/>
      <c r="AN162" s="28"/>
      <c r="AO162" s="29"/>
      <c r="AP162" s="28"/>
      <c r="AQ162" s="28"/>
      <c r="AR162" s="28"/>
      <c r="AS162" s="29"/>
      <c r="AT162" s="28"/>
      <c r="AU162" s="28"/>
      <c r="AV162" s="28"/>
      <c r="AW162" s="29"/>
      <c r="AX162" s="28"/>
      <c r="AY162" s="28"/>
      <c r="AZ162" s="28"/>
      <c r="BA162" s="28"/>
      <c r="BB162" s="29"/>
      <c r="BC162" s="30"/>
      <c r="BD162" s="28"/>
      <c r="BE162" s="28"/>
      <c r="BF162" s="28"/>
    </row>
    <row r="163">
      <c r="A163" s="149" t="s">
        <v>418</v>
      </c>
      <c r="B163" s="148">
        <v>46041.0</v>
      </c>
      <c r="C163" s="102">
        <v>46055.0</v>
      </c>
      <c r="D163" s="69" t="s">
        <v>416</v>
      </c>
      <c r="E163" s="69" t="s">
        <v>277</v>
      </c>
      <c r="F163" s="69" t="s">
        <v>419</v>
      </c>
      <c r="G163" s="27"/>
      <c r="H163" s="28"/>
      <c r="I163" s="28"/>
      <c r="J163" s="29"/>
      <c r="K163" s="27"/>
      <c r="L163" s="28"/>
      <c r="M163" s="28"/>
      <c r="N163" s="28"/>
      <c r="O163" s="29"/>
      <c r="P163" s="27"/>
      <c r="Q163" s="28"/>
      <c r="R163" s="28"/>
      <c r="S163" s="29"/>
      <c r="T163" s="27"/>
      <c r="U163" s="28"/>
      <c r="V163" s="28"/>
      <c r="W163" s="28"/>
      <c r="X163" s="29"/>
      <c r="Y163" s="28"/>
      <c r="Z163" s="28"/>
      <c r="AA163" s="28"/>
      <c r="AB163" s="29"/>
      <c r="AC163" s="27"/>
      <c r="AD163" s="28"/>
      <c r="AE163" s="28"/>
      <c r="AF163" s="29"/>
      <c r="AG163" s="28"/>
      <c r="AH163" s="28"/>
      <c r="AI163" s="28"/>
      <c r="AJ163" s="28"/>
      <c r="AK163" s="29"/>
      <c r="AL163" s="28"/>
      <c r="AM163" s="28"/>
      <c r="AN163" s="28"/>
      <c r="AO163" s="29"/>
      <c r="AP163" s="28"/>
      <c r="AQ163" s="28"/>
      <c r="AR163" s="28"/>
      <c r="AS163" s="29"/>
      <c r="AT163" s="28"/>
      <c r="AU163" s="28"/>
      <c r="AV163" s="28"/>
      <c r="AW163" s="29"/>
      <c r="AX163" s="28"/>
      <c r="AY163" s="28"/>
      <c r="AZ163" s="28"/>
      <c r="BA163" s="28"/>
      <c r="BB163" s="29"/>
      <c r="BC163" s="30"/>
      <c r="BD163" s="28"/>
      <c r="BE163" s="28"/>
      <c r="BF163" s="28"/>
    </row>
    <row r="164">
      <c r="A164" s="149" t="s">
        <v>405</v>
      </c>
      <c r="B164" s="148">
        <v>46069.0</v>
      </c>
      <c r="C164" s="102">
        <v>46101.0</v>
      </c>
      <c r="D164" s="69" t="s">
        <v>388</v>
      </c>
      <c r="E164" s="69" t="s">
        <v>277</v>
      </c>
      <c r="F164" s="69" t="s">
        <v>406</v>
      </c>
      <c r="G164" s="27"/>
      <c r="H164" s="28"/>
      <c r="I164" s="28"/>
      <c r="J164" s="29"/>
      <c r="K164" s="27"/>
      <c r="L164" s="28"/>
      <c r="M164" s="28"/>
      <c r="N164" s="28"/>
      <c r="O164" s="29"/>
      <c r="P164" s="27"/>
      <c r="Q164" s="28"/>
      <c r="R164" s="28"/>
      <c r="S164" s="29"/>
      <c r="T164" s="27"/>
      <c r="U164" s="28"/>
      <c r="V164" s="28"/>
      <c r="W164" s="28"/>
      <c r="X164" s="29"/>
      <c r="Y164" s="28"/>
      <c r="Z164" s="28"/>
      <c r="AA164" s="28"/>
      <c r="AB164" s="29"/>
      <c r="AC164" s="27"/>
      <c r="AD164" s="28"/>
      <c r="AE164" s="28"/>
      <c r="AF164" s="29"/>
      <c r="AG164" s="28"/>
      <c r="AH164" s="28"/>
      <c r="AI164" s="28"/>
      <c r="AJ164" s="28"/>
      <c r="AK164" s="29"/>
      <c r="AL164" s="28"/>
      <c r="AM164" s="28"/>
      <c r="AN164" s="28"/>
      <c r="AO164" s="29"/>
      <c r="AP164" s="28"/>
      <c r="AQ164" s="28"/>
      <c r="AR164" s="28"/>
      <c r="AS164" s="29"/>
      <c r="AT164" s="28"/>
      <c r="AU164" s="28"/>
      <c r="AV164" s="28"/>
      <c r="AW164" s="29"/>
      <c r="AX164" s="28"/>
      <c r="AY164" s="28"/>
      <c r="AZ164" s="28"/>
      <c r="BA164" s="28"/>
      <c r="BB164" s="29"/>
      <c r="BC164" s="30"/>
      <c r="BD164" s="28"/>
      <c r="BE164" s="28"/>
      <c r="BF164" s="28"/>
    </row>
    <row r="165">
      <c r="A165" s="149" t="s">
        <v>407</v>
      </c>
      <c r="B165" s="148">
        <v>46101.0</v>
      </c>
      <c r="C165" s="148">
        <v>46108.0</v>
      </c>
      <c r="D165" s="69" t="s">
        <v>388</v>
      </c>
      <c r="E165" s="69" t="s">
        <v>277</v>
      </c>
      <c r="F165" s="28"/>
      <c r="G165" s="27"/>
      <c r="H165" s="28"/>
      <c r="I165" s="28"/>
      <c r="J165" s="29"/>
      <c r="K165" s="27"/>
      <c r="L165" s="28"/>
      <c r="M165" s="28"/>
      <c r="N165" s="28"/>
      <c r="O165" s="29"/>
      <c r="P165" s="27"/>
      <c r="Q165" s="28"/>
      <c r="R165" s="28"/>
      <c r="S165" s="29"/>
      <c r="T165" s="27"/>
      <c r="U165" s="28"/>
      <c r="V165" s="28"/>
      <c r="W165" s="28"/>
      <c r="X165" s="29"/>
      <c r="Y165" s="28"/>
      <c r="Z165" s="28"/>
      <c r="AA165" s="28"/>
      <c r="AB165" s="29"/>
      <c r="AC165" s="27"/>
      <c r="AD165" s="28"/>
      <c r="AE165" s="28"/>
      <c r="AF165" s="29"/>
      <c r="AG165" s="28"/>
      <c r="AH165" s="28"/>
      <c r="AI165" s="28"/>
      <c r="AJ165" s="28"/>
      <c r="AK165" s="29"/>
      <c r="AL165" s="28"/>
      <c r="AM165" s="28"/>
      <c r="AN165" s="28"/>
      <c r="AO165" s="29"/>
      <c r="AP165" s="28"/>
      <c r="AQ165" s="28"/>
      <c r="AR165" s="28"/>
      <c r="AS165" s="29"/>
      <c r="AT165" s="28"/>
      <c r="AU165" s="28"/>
      <c r="AV165" s="28"/>
      <c r="AW165" s="29"/>
      <c r="AX165" s="28"/>
      <c r="AY165" s="28"/>
      <c r="AZ165" s="28"/>
      <c r="BA165" s="28"/>
      <c r="BB165" s="29"/>
      <c r="BC165" s="30"/>
      <c r="BD165" s="28"/>
      <c r="BE165" s="28"/>
      <c r="BF165" s="28"/>
    </row>
    <row r="166">
      <c r="A166" s="149" t="s">
        <v>408</v>
      </c>
      <c r="B166" s="141">
        <v>46101.0</v>
      </c>
      <c r="C166" s="141">
        <v>46108.0</v>
      </c>
      <c r="D166" s="69" t="s">
        <v>388</v>
      </c>
      <c r="E166" s="69" t="s">
        <v>277</v>
      </c>
      <c r="F166" s="28"/>
      <c r="G166" s="27"/>
      <c r="H166" s="28"/>
      <c r="I166" s="28"/>
      <c r="J166" s="29"/>
      <c r="K166" s="27"/>
      <c r="L166" s="28"/>
      <c r="M166" s="28"/>
      <c r="N166" s="28"/>
      <c r="O166" s="29"/>
      <c r="P166" s="27"/>
      <c r="Q166" s="28"/>
      <c r="R166" s="28"/>
      <c r="S166" s="29"/>
      <c r="T166" s="27"/>
      <c r="U166" s="28"/>
      <c r="V166" s="28"/>
      <c r="W166" s="28"/>
      <c r="X166" s="29"/>
      <c r="Y166" s="28"/>
      <c r="Z166" s="28"/>
      <c r="AA166" s="28"/>
      <c r="AB166" s="29"/>
      <c r="AC166" s="27"/>
      <c r="AD166" s="28"/>
      <c r="AE166" s="28"/>
      <c r="AF166" s="29"/>
      <c r="AG166" s="28"/>
      <c r="AH166" s="28"/>
      <c r="AI166" s="28"/>
      <c r="AJ166" s="28"/>
      <c r="AK166" s="29"/>
      <c r="AL166" s="28"/>
      <c r="AM166" s="28"/>
      <c r="AN166" s="28"/>
      <c r="AO166" s="29"/>
      <c r="AP166" s="28"/>
      <c r="AQ166" s="28"/>
      <c r="AR166" s="28"/>
      <c r="AS166" s="29"/>
      <c r="AT166" s="28"/>
      <c r="AU166" s="28"/>
      <c r="AV166" s="28"/>
      <c r="AW166" s="29"/>
      <c r="AX166" s="28"/>
      <c r="AY166" s="28"/>
      <c r="AZ166" s="28"/>
      <c r="BA166" s="28"/>
      <c r="BB166" s="29"/>
      <c r="BC166" s="30"/>
      <c r="BD166" s="28"/>
      <c r="BE166" s="28"/>
      <c r="BF166" s="28"/>
    </row>
    <row r="167">
      <c r="A167" s="152"/>
      <c r="B167" s="144"/>
      <c r="C167" s="153"/>
      <c r="D167" s="28"/>
      <c r="E167" s="28"/>
      <c r="F167" s="28"/>
      <c r="G167" s="27"/>
      <c r="H167" s="28"/>
      <c r="I167" s="28"/>
      <c r="J167" s="29"/>
      <c r="K167" s="27"/>
      <c r="L167" s="28"/>
      <c r="M167" s="28"/>
      <c r="N167" s="28"/>
      <c r="O167" s="29"/>
      <c r="P167" s="27"/>
      <c r="Q167" s="28"/>
      <c r="R167" s="28"/>
      <c r="S167" s="29"/>
      <c r="T167" s="27"/>
      <c r="U167" s="28"/>
      <c r="V167" s="28"/>
      <c r="W167" s="28"/>
      <c r="X167" s="29"/>
      <c r="Y167" s="28"/>
      <c r="Z167" s="28"/>
      <c r="AA167" s="28"/>
      <c r="AB167" s="29"/>
      <c r="AC167" s="27"/>
      <c r="AD167" s="28"/>
      <c r="AE167" s="28"/>
      <c r="AF167" s="29"/>
      <c r="AG167" s="28"/>
      <c r="AH167" s="28"/>
      <c r="AI167" s="28"/>
      <c r="AJ167" s="28"/>
      <c r="AK167" s="29"/>
      <c r="AL167" s="28"/>
      <c r="AM167" s="28"/>
      <c r="AN167" s="28"/>
      <c r="AO167" s="29"/>
      <c r="AP167" s="28"/>
      <c r="AQ167" s="28"/>
      <c r="AR167" s="28"/>
      <c r="AS167" s="29"/>
      <c r="AT167" s="28"/>
      <c r="AU167" s="28"/>
      <c r="AV167" s="28"/>
      <c r="AW167" s="29"/>
      <c r="AX167" s="28"/>
      <c r="AY167" s="28"/>
      <c r="AZ167" s="28"/>
      <c r="BA167" s="28"/>
      <c r="BB167" s="29"/>
      <c r="BC167" s="30"/>
      <c r="BD167" s="28"/>
      <c r="BE167" s="28"/>
      <c r="BF167" s="28"/>
    </row>
    <row r="168">
      <c r="A168" s="146" t="s">
        <v>420</v>
      </c>
      <c r="G168" s="27"/>
      <c r="H168" s="28"/>
      <c r="I168" s="28"/>
      <c r="J168" s="29"/>
      <c r="K168" s="27"/>
      <c r="L168" s="28"/>
      <c r="M168" s="28"/>
      <c r="N168" s="28"/>
      <c r="O168" s="29"/>
      <c r="P168" s="27"/>
      <c r="Q168" s="28"/>
      <c r="R168" s="28"/>
      <c r="S168" s="29"/>
      <c r="T168" s="27"/>
      <c r="U168" s="28"/>
      <c r="V168" s="28"/>
      <c r="W168" s="28"/>
      <c r="X168" s="29"/>
      <c r="Y168" s="28"/>
      <c r="Z168" s="28"/>
      <c r="AA168" s="28"/>
      <c r="AB168" s="29"/>
      <c r="AC168" s="27"/>
      <c r="AD168" s="28"/>
      <c r="AE168" s="28"/>
      <c r="AF168" s="29"/>
      <c r="AG168" s="28"/>
      <c r="AH168" s="28"/>
      <c r="AI168" s="28"/>
      <c r="AJ168" s="28"/>
      <c r="AK168" s="29"/>
      <c r="AL168" s="28"/>
      <c r="AM168" s="28"/>
      <c r="AN168" s="28"/>
      <c r="AO168" s="29"/>
      <c r="AP168" s="28"/>
      <c r="AQ168" s="28"/>
      <c r="AR168" s="28"/>
      <c r="AS168" s="29"/>
      <c r="AT168" s="28"/>
      <c r="AU168" s="28"/>
      <c r="AV168" s="28"/>
      <c r="AW168" s="29"/>
      <c r="AX168" s="28"/>
      <c r="AY168" s="28"/>
      <c r="AZ168" s="28"/>
      <c r="BA168" s="28"/>
      <c r="BB168" s="29"/>
      <c r="BC168" s="30"/>
      <c r="BD168" s="28"/>
      <c r="BE168" s="28"/>
      <c r="BF168" s="28"/>
    </row>
    <row r="169">
      <c r="A169" s="37" t="s">
        <v>421</v>
      </c>
      <c r="B169" s="92">
        <v>46027.0</v>
      </c>
      <c r="C169" s="92">
        <v>46031.0</v>
      </c>
      <c r="D169" s="69" t="s">
        <v>382</v>
      </c>
      <c r="E169" s="69" t="s">
        <v>297</v>
      </c>
      <c r="F169" s="69" t="s">
        <v>383</v>
      </c>
      <c r="G169" s="27"/>
      <c r="H169" s="28"/>
      <c r="I169" s="28"/>
      <c r="J169" s="29"/>
      <c r="K169" s="27"/>
      <c r="L169" s="28"/>
      <c r="M169" s="28"/>
      <c r="N169" s="28"/>
      <c r="O169" s="29"/>
      <c r="P169" s="27"/>
      <c r="Q169" s="28"/>
      <c r="R169" s="28"/>
      <c r="S169" s="29"/>
      <c r="T169" s="27"/>
      <c r="U169" s="28"/>
      <c r="V169" s="28"/>
      <c r="W169" s="28"/>
      <c r="X169" s="29"/>
      <c r="Y169" s="28"/>
      <c r="Z169" s="28"/>
      <c r="AA169" s="28"/>
      <c r="AB169" s="29"/>
      <c r="AC169" s="27"/>
      <c r="AD169" s="28"/>
      <c r="AE169" s="28"/>
      <c r="AF169" s="29"/>
      <c r="AG169" s="28"/>
      <c r="AH169" s="28"/>
      <c r="AI169" s="28"/>
      <c r="AJ169" s="28"/>
      <c r="AK169" s="29"/>
      <c r="AL169" s="28"/>
      <c r="AM169" s="28"/>
      <c r="AN169" s="28"/>
      <c r="AO169" s="29"/>
      <c r="AP169" s="28"/>
      <c r="AQ169" s="28"/>
      <c r="AR169" s="28"/>
      <c r="AS169" s="29"/>
      <c r="AT169" s="28"/>
      <c r="AU169" s="28"/>
      <c r="AV169" s="28"/>
      <c r="AW169" s="29"/>
      <c r="AX169" s="28"/>
      <c r="AY169" s="28"/>
      <c r="AZ169" s="28"/>
      <c r="BA169" s="28"/>
      <c r="BB169" s="29"/>
      <c r="BC169" s="30"/>
      <c r="BD169" s="28"/>
      <c r="BE169" s="28"/>
      <c r="BF169" s="28"/>
    </row>
    <row r="170">
      <c r="A170" s="149" t="s">
        <v>391</v>
      </c>
      <c r="B170" s="141">
        <v>46048.0</v>
      </c>
      <c r="C170" s="151">
        <v>46066.0</v>
      </c>
      <c r="D170" s="69" t="s">
        <v>382</v>
      </c>
      <c r="E170" s="28" t="s">
        <v>277</v>
      </c>
      <c r="F170" s="69" t="s">
        <v>390</v>
      </c>
      <c r="G170" s="27"/>
      <c r="H170" s="28"/>
      <c r="I170" s="28"/>
      <c r="J170" s="29"/>
      <c r="K170" s="27"/>
      <c r="L170" s="28"/>
      <c r="M170" s="28"/>
      <c r="N170" s="28"/>
      <c r="O170" s="29"/>
      <c r="P170" s="27"/>
      <c r="Q170" s="28"/>
      <c r="R170" s="28"/>
      <c r="S170" s="29"/>
      <c r="T170" s="27"/>
      <c r="U170" s="28"/>
      <c r="V170" s="28"/>
      <c r="W170" s="28"/>
      <c r="X170" s="29"/>
      <c r="Y170" s="28"/>
      <c r="Z170" s="28"/>
      <c r="AA170" s="28"/>
      <c r="AB170" s="29"/>
      <c r="AC170" s="27"/>
      <c r="AD170" s="28"/>
      <c r="AE170" s="28"/>
      <c r="AF170" s="29"/>
      <c r="AG170" s="28"/>
      <c r="AH170" s="28"/>
      <c r="AI170" s="28"/>
      <c r="AJ170" s="28"/>
      <c r="AK170" s="29"/>
      <c r="AL170" s="28"/>
      <c r="AM170" s="28"/>
      <c r="AN170" s="28"/>
      <c r="AO170" s="29"/>
      <c r="AP170" s="28"/>
      <c r="AQ170" s="28"/>
      <c r="AR170" s="28"/>
      <c r="AS170" s="29"/>
      <c r="AT170" s="28"/>
      <c r="AU170" s="28"/>
      <c r="AV170" s="28"/>
      <c r="AW170" s="29"/>
      <c r="AX170" s="28"/>
      <c r="AY170" s="28"/>
      <c r="AZ170" s="28"/>
      <c r="BA170" s="28"/>
      <c r="BB170" s="29"/>
      <c r="BC170" s="30"/>
      <c r="BD170" s="28"/>
      <c r="BE170" s="28"/>
      <c r="BF170" s="28"/>
    </row>
    <row r="171">
      <c r="A171" s="69" t="s">
        <v>404</v>
      </c>
      <c r="B171" s="141">
        <v>46069.0</v>
      </c>
      <c r="C171" s="151">
        <v>46073.0</v>
      </c>
      <c r="D171" s="69" t="s">
        <v>388</v>
      </c>
      <c r="E171" s="69" t="s">
        <v>277</v>
      </c>
      <c r="F171" s="69"/>
      <c r="G171" s="27"/>
      <c r="H171" s="28"/>
      <c r="I171" s="28"/>
      <c r="J171" s="29"/>
      <c r="K171" s="27"/>
      <c r="L171" s="28"/>
      <c r="M171" s="28"/>
      <c r="N171" s="28"/>
      <c r="O171" s="29"/>
      <c r="P171" s="27"/>
      <c r="Q171" s="28"/>
      <c r="R171" s="28"/>
      <c r="S171" s="29"/>
      <c r="T171" s="27"/>
      <c r="U171" s="28"/>
      <c r="V171" s="28"/>
      <c r="W171" s="28"/>
      <c r="X171" s="29"/>
      <c r="Y171" s="28"/>
      <c r="Z171" s="28"/>
      <c r="AA171" s="28"/>
      <c r="AB171" s="29"/>
      <c r="AC171" s="27"/>
      <c r="AD171" s="28"/>
      <c r="AE171" s="28"/>
      <c r="AF171" s="29"/>
      <c r="AG171" s="28"/>
      <c r="AH171" s="28"/>
      <c r="AI171" s="28"/>
      <c r="AJ171" s="28"/>
      <c r="AK171" s="29"/>
      <c r="AL171" s="28"/>
      <c r="AM171" s="28"/>
      <c r="AN171" s="28"/>
      <c r="AO171" s="29"/>
      <c r="AP171" s="28"/>
      <c r="AQ171" s="28"/>
      <c r="AR171" s="28"/>
      <c r="AS171" s="29"/>
      <c r="AT171" s="28"/>
      <c r="AU171" s="28"/>
      <c r="AV171" s="28"/>
      <c r="AW171" s="29"/>
      <c r="AX171" s="28"/>
      <c r="AY171" s="28"/>
      <c r="AZ171" s="28"/>
      <c r="BA171" s="28"/>
      <c r="BB171" s="29"/>
      <c r="BC171" s="30"/>
      <c r="BD171" s="28"/>
      <c r="BE171" s="28"/>
      <c r="BF171" s="28"/>
    </row>
    <row r="172">
      <c r="A172" s="149" t="s">
        <v>422</v>
      </c>
      <c r="B172" s="141">
        <v>46069.0</v>
      </c>
      <c r="C172" s="151">
        <v>46101.0</v>
      </c>
      <c r="D172" s="69" t="s">
        <v>388</v>
      </c>
      <c r="E172" s="69" t="s">
        <v>277</v>
      </c>
      <c r="F172" s="69" t="s">
        <v>406</v>
      </c>
      <c r="G172" s="27"/>
      <c r="H172" s="28"/>
      <c r="I172" s="28"/>
      <c r="J172" s="29"/>
      <c r="K172" s="27"/>
      <c r="L172" s="28"/>
      <c r="M172" s="28"/>
      <c r="N172" s="28"/>
      <c r="O172" s="29"/>
      <c r="P172" s="27"/>
      <c r="Q172" s="28"/>
      <c r="R172" s="28"/>
      <c r="S172" s="29"/>
      <c r="T172" s="27"/>
      <c r="U172" s="28"/>
      <c r="V172" s="28"/>
      <c r="W172" s="28"/>
      <c r="X172" s="29"/>
      <c r="Y172" s="28"/>
      <c r="Z172" s="28"/>
      <c r="AA172" s="28"/>
      <c r="AB172" s="29"/>
      <c r="AC172" s="27"/>
      <c r="AD172" s="28"/>
      <c r="AE172" s="28"/>
      <c r="AF172" s="29"/>
      <c r="AG172" s="28"/>
      <c r="AH172" s="28"/>
      <c r="AI172" s="28"/>
      <c r="AJ172" s="28"/>
      <c r="AK172" s="29"/>
      <c r="AL172" s="28"/>
      <c r="AM172" s="28"/>
      <c r="AN172" s="28"/>
      <c r="AO172" s="29"/>
      <c r="AP172" s="28"/>
      <c r="AQ172" s="28"/>
      <c r="AR172" s="28"/>
      <c r="AS172" s="29"/>
      <c r="AT172" s="28"/>
      <c r="AU172" s="28"/>
      <c r="AV172" s="28"/>
      <c r="AW172" s="29"/>
      <c r="AX172" s="28"/>
      <c r="AY172" s="28"/>
      <c r="AZ172" s="28"/>
      <c r="BA172" s="28"/>
      <c r="BB172" s="29"/>
      <c r="BC172" s="30"/>
      <c r="BD172" s="28"/>
      <c r="BE172" s="28"/>
      <c r="BF172" s="28"/>
    </row>
    <row r="173">
      <c r="A173" s="37" t="s">
        <v>423</v>
      </c>
      <c r="B173" s="141">
        <v>46076.0</v>
      </c>
      <c r="C173" s="151">
        <v>46108.0</v>
      </c>
      <c r="D173" s="69" t="s">
        <v>388</v>
      </c>
      <c r="E173" s="69" t="s">
        <v>277</v>
      </c>
      <c r="F173" s="69"/>
      <c r="G173" s="27"/>
      <c r="H173" s="28"/>
      <c r="I173" s="28"/>
      <c r="J173" s="29"/>
      <c r="K173" s="27"/>
      <c r="L173" s="28"/>
      <c r="M173" s="28"/>
      <c r="N173" s="28"/>
      <c r="O173" s="29"/>
      <c r="P173" s="27"/>
      <c r="Q173" s="28"/>
      <c r="R173" s="28"/>
      <c r="S173" s="29"/>
      <c r="T173" s="27"/>
      <c r="U173" s="28"/>
      <c r="V173" s="28"/>
      <c r="W173" s="28"/>
      <c r="X173" s="29"/>
      <c r="Y173" s="28"/>
      <c r="Z173" s="28"/>
      <c r="AA173" s="28"/>
      <c r="AB173" s="29"/>
      <c r="AC173" s="27"/>
      <c r="AD173" s="28"/>
      <c r="AE173" s="28"/>
      <c r="AF173" s="29"/>
      <c r="AG173" s="28"/>
      <c r="AH173" s="28"/>
      <c r="AI173" s="28"/>
      <c r="AJ173" s="28"/>
      <c r="AK173" s="29"/>
      <c r="AL173" s="28"/>
      <c r="AM173" s="28"/>
      <c r="AN173" s="28"/>
      <c r="AO173" s="29"/>
      <c r="AP173" s="28"/>
      <c r="AQ173" s="28"/>
      <c r="AR173" s="28"/>
      <c r="AS173" s="29"/>
      <c r="AT173" s="28"/>
      <c r="AU173" s="28"/>
      <c r="AV173" s="28"/>
      <c r="AW173" s="29"/>
      <c r="AX173" s="28"/>
      <c r="AY173" s="28"/>
      <c r="AZ173" s="28"/>
      <c r="BA173" s="28"/>
      <c r="BB173" s="29"/>
      <c r="BC173" s="30"/>
      <c r="BD173" s="28"/>
      <c r="BE173" s="28"/>
      <c r="BF173" s="28"/>
    </row>
    <row r="174">
      <c r="A174" s="149" t="s">
        <v>424</v>
      </c>
      <c r="B174" s="141">
        <v>46076.0</v>
      </c>
      <c r="C174" s="151">
        <v>46108.0</v>
      </c>
      <c r="D174" s="69" t="s">
        <v>388</v>
      </c>
      <c r="E174" s="69" t="s">
        <v>277</v>
      </c>
      <c r="F174" s="69"/>
      <c r="G174" s="27"/>
      <c r="H174" s="28"/>
      <c r="I174" s="28"/>
      <c r="J174" s="29"/>
      <c r="K174" s="27"/>
      <c r="L174" s="28"/>
      <c r="M174" s="28"/>
      <c r="N174" s="28"/>
      <c r="O174" s="29"/>
      <c r="P174" s="27"/>
      <c r="Q174" s="28"/>
      <c r="R174" s="28"/>
      <c r="S174" s="29"/>
      <c r="T174" s="27"/>
      <c r="U174" s="28"/>
      <c r="V174" s="28"/>
      <c r="W174" s="28"/>
      <c r="X174" s="29"/>
      <c r="Y174" s="28"/>
      <c r="Z174" s="28"/>
      <c r="AA174" s="28"/>
      <c r="AB174" s="29"/>
      <c r="AC174" s="27"/>
      <c r="AD174" s="28"/>
      <c r="AE174" s="28"/>
      <c r="AF174" s="29"/>
      <c r="AG174" s="28"/>
      <c r="AH174" s="28"/>
      <c r="AI174" s="28"/>
      <c r="AJ174" s="28"/>
      <c r="AK174" s="29"/>
      <c r="AL174" s="28"/>
      <c r="AM174" s="28"/>
      <c r="AN174" s="28"/>
      <c r="AO174" s="29"/>
      <c r="AP174" s="28"/>
      <c r="AQ174" s="28"/>
      <c r="AR174" s="28"/>
      <c r="AS174" s="29"/>
      <c r="AT174" s="28"/>
      <c r="AU174" s="28"/>
      <c r="AV174" s="28"/>
      <c r="AW174" s="29"/>
      <c r="AX174" s="28"/>
      <c r="AY174" s="28"/>
      <c r="AZ174" s="28"/>
      <c r="BA174" s="28"/>
      <c r="BB174" s="29"/>
      <c r="BC174" s="30"/>
      <c r="BD174" s="28"/>
      <c r="BE174" s="28"/>
      <c r="BF174" s="28"/>
    </row>
    <row r="175">
      <c r="A175" s="149" t="s">
        <v>407</v>
      </c>
      <c r="B175" s="141">
        <v>46101.0</v>
      </c>
      <c r="C175" s="141">
        <v>46108.0</v>
      </c>
      <c r="D175" s="69" t="s">
        <v>388</v>
      </c>
      <c r="E175" s="69" t="s">
        <v>277</v>
      </c>
      <c r="F175" s="69"/>
      <c r="G175" s="27"/>
      <c r="H175" s="28"/>
      <c r="I175" s="28"/>
      <c r="J175" s="29"/>
      <c r="K175" s="27"/>
      <c r="L175" s="28"/>
      <c r="M175" s="28"/>
      <c r="N175" s="28"/>
      <c r="O175" s="29"/>
      <c r="P175" s="27"/>
      <c r="Q175" s="28"/>
      <c r="R175" s="28"/>
      <c r="S175" s="29"/>
      <c r="T175" s="27"/>
      <c r="U175" s="28"/>
      <c r="V175" s="28"/>
      <c r="W175" s="28"/>
      <c r="X175" s="29"/>
      <c r="Y175" s="28"/>
      <c r="Z175" s="28"/>
      <c r="AA175" s="28"/>
      <c r="AB175" s="29"/>
      <c r="AC175" s="27"/>
      <c r="AD175" s="28"/>
      <c r="AE175" s="28"/>
      <c r="AF175" s="29"/>
      <c r="AG175" s="28"/>
      <c r="AH175" s="28"/>
      <c r="AI175" s="28"/>
      <c r="AJ175" s="28"/>
      <c r="AK175" s="29"/>
      <c r="AL175" s="28"/>
      <c r="AM175" s="28"/>
      <c r="AN175" s="28"/>
      <c r="AO175" s="29"/>
      <c r="AP175" s="28"/>
      <c r="AQ175" s="28"/>
      <c r="AR175" s="28"/>
      <c r="AS175" s="29"/>
      <c r="AT175" s="28"/>
      <c r="AU175" s="28"/>
      <c r="AV175" s="28"/>
      <c r="AW175" s="29"/>
      <c r="AX175" s="28"/>
      <c r="AY175" s="28"/>
      <c r="AZ175" s="28"/>
      <c r="BA175" s="28"/>
      <c r="BB175" s="29"/>
      <c r="BC175" s="30"/>
      <c r="BD175" s="28"/>
      <c r="BE175" s="28"/>
      <c r="BF175" s="28"/>
    </row>
    <row r="176">
      <c r="A176" s="149" t="s">
        <v>425</v>
      </c>
      <c r="B176" s="141">
        <v>46101.0</v>
      </c>
      <c r="C176" s="151">
        <v>46101.0</v>
      </c>
      <c r="D176" s="69" t="s">
        <v>388</v>
      </c>
      <c r="E176" s="69" t="s">
        <v>277</v>
      </c>
      <c r="F176" s="69"/>
      <c r="G176" s="27"/>
      <c r="H176" s="28"/>
      <c r="I176" s="28"/>
      <c r="J176" s="29"/>
      <c r="K176" s="27"/>
      <c r="L176" s="28"/>
      <c r="M176" s="28"/>
      <c r="N176" s="28"/>
      <c r="O176" s="29"/>
      <c r="P176" s="27"/>
      <c r="Q176" s="28"/>
      <c r="R176" s="28"/>
      <c r="S176" s="29"/>
      <c r="T176" s="27"/>
      <c r="U176" s="28"/>
      <c r="V176" s="28"/>
      <c r="W176" s="28"/>
      <c r="X176" s="29"/>
      <c r="Y176" s="28"/>
      <c r="Z176" s="28"/>
      <c r="AA176" s="28"/>
      <c r="AB176" s="29"/>
      <c r="AC176" s="27"/>
      <c r="AD176" s="28"/>
      <c r="AE176" s="28"/>
      <c r="AF176" s="29"/>
      <c r="AG176" s="28"/>
      <c r="AH176" s="28"/>
      <c r="AI176" s="28"/>
      <c r="AJ176" s="28"/>
      <c r="AK176" s="29"/>
      <c r="AL176" s="28"/>
      <c r="AM176" s="28"/>
      <c r="AN176" s="28"/>
      <c r="AO176" s="29"/>
      <c r="AP176" s="28"/>
      <c r="AQ176" s="28"/>
      <c r="AR176" s="28"/>
      <c r="AS176" s="29"/>
      <c r="AT176" s="28"/>
      <c r="AU176" s="28"/>
      <c r="AV176" s="28"/>
      <c r="AW176" s="29"/>
      <c r="AX176" s="28"/>
      <c r="AY176" s="28"/>
      <c r="AZ176" s="28"/>
      <c r="BA176" s="28"/>
      <c r="BB176" s="29"/>
      <c r="BC176" s="30"/>
      <c r="BD176" s="28"/>
      <c r="BE176" s="28"/>
      <c r="BF176" s="28"/>
    </row>
    <row r="177">
      <c r="A177" s="149" t="s">
        <v>426</v>
      </c>
      <c r="B177" s="141">
        <v>46101.0</v>
      </c>
      <c r="C177" s="141">
        <v>46115.0</v>
      </c>
      <c r="D177" s="69" t="s">
        <v>388</v>
      </c>
      <c r="E177" s="69" t="s">
        <v>277</v>
      </c>
      <c r="F177" s="69"/>
      <c r="G177" s="27"/>
      <c r="H177" s="28"/>
      <c r="I177" s="28"/>
      <c r="J177" s="29"/>
      <c r="K177" s="27"/>
      <c r="L177" s="28"/>
      <c r="M177" s="28"/>
      <c r="N177" s="28"/>
      <c r="O177" s="29"/>
      <c r="P177" s="27"/>
      <c r="Q177" s="28"/>
      <c r="R177" s="28"/>
      <c r="S177" s="29"/>
      <c r="T177" s="27"/>
      <c r="U177" s="28"/>
      <c r="V177" s="28"/>
      <c r="W177" s="28"/>
      <c r="X177" s="29"/>
      <c r="Y177" s="28"/>
      <c r="Z177" s="28"/>
      <c r="AA177" s="28"/>
      <c r="AB177" s="29"/>
      <c r="AC177" s="27"/>
      <c r="AD177" s="28"/>
      <c r="AE177" s="28"/>
      <c r="AF177" s="29"/>
      <c r="AG177" s="28"/>
      <c r="AH177" s="28"/>
      <c r="AI177" s="28"/>
      <c r="AJ177" s="28"/>
      <c r="AK177" s="29"/>
      <c r="AL177" s="28"/>
      <c r="AM177" s="28"/>
      <c r="AN177" s="28"/>
      <c r="AO177" s="29"/>
      <c r="AP177" s="28"/>
      <c r="AQ177" s="28"/>
      <c r="AR177" s="28"/>
      <c r="AS177" s="29"/>
      <c r="AT177" s="28"/>
      <c r="AU177" s="28"/>
      <c r="AV177" s="28"/>
      <c r="AW177" s="29"/>
      <c r="AX177" s="28"/>
      <c r="AY177" s="28"/>
      <c r="AZ177" s="28"/>
      <c r="BA177" s="28"/>
      <c r="BB177" s="29"/>
      <c r="BC177" s="30"/>
      <c r="BD177" s="28"/>
      <c r="BE177" s="28"/>
      <c r="BF177" s="28"/>
    </row>
    <row r="178">
      <c r="A178" s="152"/>
      <c r="B178" s="144"/>
      <c r="C178" s="153"/>
      <c r="D178" s="28"/>
      <c r="E178" s="28"/>
      <c r="F178" s="69"/>
      <c r="G178" s="27"/>
      <c r="H178" s="28"/>
      <c r="I178" s="28"/>
      <c r="J178" s="29"/>
      <c r="K178" s="27"/>
      <c r="L178" s="28"/>
      <c r="M178" s="28"/>
      <c r="N178" s="28"/>
      <c r="O178" s="29"/>
      <c r="P178" s="27"/>
      <c r="Q178" s="28"/>
      <c r="R178" s="28"/>
      <c r="S178" s="29"/>
      <c r="T178" s="27"/>
      <c r="U178" s="28"/>
      <c r="V178" s="28"/>
      <c r="W178" s="28"/>
      <c r="X178" s="29"/>
      <c r="Y178" s="28"/>
      <c r="Z178" s="28"/>
      <c r="AA178" s="28"/>
      <c r="AB178" s="29"/>
      <c r="AC178" s="27"/>
      <c r="AD178" s="28"/>
      <c r="AE178" s="28"/>
      <c r="AF178" s="29"/>
      <c r="AG178" s="28"/>
      <c r="AH178" s="28"/>
      <c r="AI178" s="28"/>
      <c r="AJ178" s="28"/>
      <c r="AK178" s="29"/>
      <c r="AL178" s="28"/>
      <c r="AM178" s="28"/>
      <c r="AN178" s="28"/>
      <c r="AO178" s="29"/>
      <c r="AP178" s="28"/>
      <c r="AQ178" s="28"/>
      <c r="AR178" s="28"/>
      <c r="AS178" s="29"/>
      <c r="AT178" s="28"/>
      <c r="AU178" s="28"/>
      <c r="AV178" s="28"/>
      <c r="AW178" s="29"/>
      <c r="AX178" s="28"/>
      <c r="AY178" s="28"/>
      <c r="AZ178" s="28"/>
      <c r="BA178" s="28"/>
      <c r="BB178" s="29"/>
      <c r="BC178" s="30"/>
      <c r="BD178" s="28"/>
      <c r="BE178" s="28"/>
      <c r="BF178" s="28"/>
    </row>
    <row r="179">
      <c r="A179" s="146" t="s">
        <v>427</v>
      </c>
      <c r="G179" s="27"/>
      <c r="H179" s="28"/>
      <c r="I179" s="28"/>
      <c r="J179" s="29"/>
      <c r="K179" s="27"/>
      <c r="L179" s="28"/>
      <c r="M179" s="28"/>
      <c r="N179" s="28"/>
      <c r="O179" s="29"/>
      <c r="P179" s="27"/>
      <c r="Q179" s="28"/>
      <c r="R179" s="28"/>
      <c r="S179" s="29"/>
      <c r="T179" s="27"/>
      <c r="U179" s="28"/>
      <c r="V179" s="28"/>
      <c r="W179" s="28"/>
      <c r="X179" s="29"/>
      <c r="Y179" s="28"/>
      <c r="Z179" s="28"/>
      <c r="AA179" s="28"/>
      <c r="AB179" s="29"/>
      <c r="AC179" s="27"/>
      <c r="AD179" s="28"/>
      <c r="AE179" s="28"/>
      <c r="AF179" s="29"/>
      <c r="AG179" s="28"/>
      <c r="AH179" s="28"/>
      <c r="AI179" s="28"/>
      <c r="AJ179" s="28"/>
      <c r="AK179" s="29"/>
      <c r="AL179" s="28"/>
      <c r="AM179" s="28"/>
      <c r="AN179" s="28"/>
      <c r="AO179" s="29"/>
      <c r="AP179" s="28"/>
      <c r="AQ179" s="28"/>
      <c r="AR179" s="28"/>
      <c r="AS179" s="29"/>
      <c r="AT179" s="28"/>
      <c r="AU179" s="28"/>
      <c r="AV179" s="28"/>
      <c r="AW179" s="29"/>
      <c r="AX179" s="28"/>
      <c r="AY179" s="28"/>
      <c r="AZ179" s="28"/>
      <c r="BA179" s="28"/>
      <c r="BB179" s="29"/>
      <c r="BC179" s="30"/>
      <c r="BD179" s="28"/>
      <c r="BE179" s="28"/>
      <c r="BF179" s="28"/>
    </row>
    <row r="180">
      <c r="A180" s="149" t="s">
        <v>160</v>
      </c>
      <c r="B180" s="141">
        <v>46055.0</v>
      </c>
      <c r="C180" s="151">
        <v>46066.0</v>
      </c>
      <c r="D180" s="69" t="s">
        <v>388</v>
      </c>
      <c r="E180" s="69" t="s">
        <v>385</v>
      </c>
      <c r="F180" s="28"/>
      <c r="G180" s="27"/>
      <c r="H180" s="28"/>
      <c r="I180" s="28"/>
      <c r="J180" s="29"/>
      <c r="K180" s="27"/>
      <c r="L180" s="28"/>
      <c r="M180" s="28"/>
      <c r="N180" s="28"/>
      <c r="O180" s="29"/>
      <c r="P180" s="27"/>
      <c r="Q180" s="28"/>
      <c r="R180" s="28"/>
      <c r="S180" s="29"/>
      <c r="T180" s="27"/>
      <c r="U180" s="28"/>
      <c r="V180" s="28"/>
      <c r="W180" s="28"/>
      <c r="X180" s="29"/>
      <c r="Y180" s="28"/>
      <c r="Z180" s="28"/>
      <c r="AA180" s="28"/>
      <c r="AB180" s="29"/>
      <c r="AC180" s="27"/>
      <c r="AD180" s="28"/>
      <c r="AE180" s="28"/>
      <c r="AF180" s="29"/>
      <c r="AG180" s="28"/>
      <c r="AH180" s="28"/>
      <c r="AI180" s="28"/>
      <c r="AJ180" s="28"/>
      <c r="AK180" s="29"/>
      <c r="AL180" s="28"/>
      <c r="AM180" s="28"/>
      <c r="AN180" s="28"/>
      <c r="AO180" s="29"/>
      <c r="AP180" s="28"/>
      <c r="AQ180" s="28"/>
      <c r="AR180" s="28"/>
      <c r="AS180" s="29"/>
      <c r="AT180" s="28"/>
      <c r="AU180" s="28"/>
      <c r="AV180" s="28"/>
      <c r="AW180" s="29"/>
      <c r="AX180" s="28"/>
      <c r="AY180" s="28"/>
      <c r="AZ180" s="28"/>
      <c r="BA180" s="28"/>
      <c r="BB180" s="29"/>
      <c r="BC180" s="30"/>
      <c r="BD180" s="28"/>
      <c r="BE180" s="28"/>
      <c r="BF180" s="28"/>
    </row>
    <row r="181">
      <c r="A181" s="149" t="s">
        <v>391</v>
      </c>
      <c r="B181" s="141">
        <v>46048.0</v>
      </c>
      <c r="C181" s="151">
        <v>46066.0</v>
      </c>
      <c r="D181" s="69" t="s">
        <v>392</v>
      </c>
      <c r="E181" s="28" t="s">
        <v>277</v>
      </c>
      <c r="F181" s="69" t="s">
        <v>390</v>
      </c>
      <c r="G181" s="27"/>
      <c r="H181" s="28"/>
      <c r="I181" s="28"/>
      <c r="J181" s="29"/>
      <c r="K181" s="27"/>
      <c r="L181" s="28"/>
      <c r="M181" s="28"/>
      <c r="N181" s="28"/>
      <c r="O181" s="29"/>
      <c r="P181" s="27"/>
      <c r="Q181" s="28"/>
      <c r="R181" s="28"/>
      <c r="S181" s="29"/>
      <c r="T181" s="27"/>
      <c r="U181" s="28"/>
      <c r="V181" s="28"/>
      <c r="W181" s="28"/>
      <c r="X181" s="29"/>
      <c r="Y181" s="28"/>
      <c r="Z181" s="28"/>
      <c r="AA181" s="28"/>
      <c r="AB181" s="29"/>
      <c r="AC181" s="27"/>
      <c r="AD181" s="28"/>
      <c r="AE181" s="28"/>
      <c r="AF181" s="29"/>
      <c r="AG181" s="28"/>
      <c r="AH181" s="28"/>
      <c r="AI181" s="28"/>
      <c r="AJ181" s="28"/>
      <c r="AK181" s="29"/>
      <c r="AL181" s="28"/>
      <c r="AM181" s="28"/>
      <c r="AN181" s="28"/>
      <c r="AO181" s="29"/>
      <c r="AP181" s="28"/>
      <c r="AQ181" s="28"/>
      <c r="AR181" s="28"/>
      <c r="AS181" s="29"/>
      <c r="AT181" s="28"/>
      <c r="AU181" s="28"/>
      <c r="AV181" s="28"/>
      <c r="AW181" s="29"/>
      <c r="AX181" s="28"/>
      <c r="AY181" s="28"/>
      <c r="AZ181" s="28"/>
      <c r="BA181" s="28"/>
      <c r="BB181" s="29"/>
      <c r="BC181" s="30"/>
      <c r="BD181" s="28"/>
      <c r="BE181" s="28"/>
      <c r="BF181" s="28"/>
    </row>
    <row r="182">
      <c r="A182" s="69" t="s">
        <v>428</v>
      </c>
      <c r="B182" s="151">
        <v>46069.0</v>
      </c>
      <c r="C182" s="151">
        <v>46080.0</v>
      </c>
      <c r="D182" s="69" t="s">
        <v>388</v>
      </c>
      <c r="E182" s="28" t="s">
        <v>277</v>
      </c>
      <c r="F182" s="28"/>
      <c r="G182" s="27"/>
      <c r="H182" s="28"/>
      <c r="I182" s="28"/>
      <c r="J182" s="29"/>
      <c r="K182" s="27"/>
      <c r="L182" s="28"/>
      <c r="M182" s="28"/>
      <c r="N182" s="28"/>
      <c r="O182" s="29"/>
      <c r="P182" s="27"/>
      <c r="Q182" s="28"/>
      <c r="R182" s="28"/>
      <c r="S182" s="29"/>
      <c r="T182" s="27"/>
      <c r="U182" s="28"/>
      <c r="V182" s="28"/>
      <c r="W182" s="28"/>
      <c r="X182" s="29"/>
      <c r="Y182" s="28"/>
      <c r="Z182" s="28"/>
      <c r="AA182" s="28"/>
      <c r="AB182" s="29"/>
      <c r="AC182" s="27"/>
      <c r="AD182" s="28"/>
      <c r="AE182" s="28"/>
      <c r="AF182" s="29"/>
      <c r="AG182" s="28"/>
      <c r="AH182" s="28"/>
      <c r="AI182" s="28"/>
      <c r="AJ182" s="28"/>
      <c r="AK182" s="29"/>
      <c r="AL182" s="28"/>
      <c r="AM182" s="28"/>
      <c r="AN182" s="28"/>
      <c r="AO182" s="29"/>
      <c r="AP182" s="28"/>
      <c r="AQ182" s="28"/>
      <c r="AR182" s="28"/>
      <c r="AS182" s="29"/>
      <c r="AT182" s="28"/>
      <c r="AU182" s="28"/>
      <c r="AV182" s="28"/>
      <c r="AW182" s="29"/>
      <c r="AX182" s="28"/>
      <c r="AY182" s="28"/>
      <c r="AZ182" s="28"/>
      <c r="BA182" s="28"/>
      <c r="BB182" s="29"/>
      <c r="BC182" s="30"/>
      <c r="BD182" s="28"/>
      <c r="BE182" s="28"/>
      <c r="BF182" s="28"/>
    </row>
    <row r="183">
      <c r="A183" s="149" t="s">
        <v>407</v>
      </c>
      <c r="B183" s="151">
        <v>46080.0</v>
      </c>
      <c r="C183" s="151">
        <v>46085.0</v>
      </c>
      <c r="D183" s="69" t="s">
        <v>388</v>
      </c>
      <c r="E183" s="28" t="s">
        <v>277</v>
      </c>
      <c r="F183" s="28"/>
      <c r="G183" s="27"/>
      <c r="H183" s="28"/>
      <c r="I183" s="28"/>
      <c r="J183" s="29"/>
      <c r="K183" s="27"/>
      <c r="L183" s="28"/>
      <c r="M183" s="28"/>
      <c r="N183" s="28"/>
      <c r="O183" s="29"/>
      <c r="P183" s="27"/>
      <c r="Q183" s="28"/>
      <c r="R183" s="28"/>
      <c r="S183" s="29"/>
      <c r="T183" s="27"/>
      <c r="U183" s="28"/>
      <c r="V183" s="28"/>
      <c r="W183" s="28"/>
      <c r="X183" s="29"/>
      <c r="Y183" s="28"/>
      <c r="Z183" s="28"/>
      <c r="AA183" s="28"/>
      <c r="AB183" s="29"/>
      <c r="AC183" s="27"/>
      <c r="AD183" s="28"/>
      <c r="AE183" s="28"/>
      <c r="AF183" s="29"/>
      <c r="AG183" s="28"/>
      <c r="AH183" s="28"/>
      <c r="AI183" s="28"/>
      <c r="AJ183" s="28"/>
      <c r="AK183" s="29"/>
      <c r="AL183" s="28"/>
      <c r="AM183" s="28"/>
      <c r="AN183" s="28"/>
      <c r="AO183" s="29"/>
      <c r="AP183" s="28"/>
      <c r="AQ183" s="28"/>
      <c r="AR183" s="28"/>
      <c r="AS183" s="29"/>
      <c r="AT183" s="28"/>
      <c r="AU183" s="28"/>
      <c r="AV183" s="28"/>
      <c r="AW183" s="29"/>
      <c r="AX183" s="28"/>
      <c r="AY183" s="28"/>
      <c r="AZ183" s="28"/>
      <c r="BA183" s="28"/>
      <c r="BB183" s="29"/>
      <c r="BC183" s="30"/>
      <c r="BD183" s="28"/>
      <c r="BE183" s="28"/>
      <c r="BF183" s="28"/>
    </row>
    <row r="184">
      <c r="A184" s="149" t="s">
        <v>429</v>
      </c>
      <c r="B184" s="141">
        <v>46118.0</v>
      </c>
      <c r="C184" s="151">
        <v>46122.0</v>
      </c>
      <c r="D184" s="69" t="s">
        <v>388</v>
      </c>
      <c r="E184" s="28" t="s">
        <v>277</v>
      </c>
      <c r="F184" s="69" t="s">
        <v>390</v>
      </c>
      <c r="G184" s="27"/>
      <c r="H184" s="28"/>
      <c r="I184" s="28"/>
      <c r="J184" s="29"/>
      <c r="K184" s="27"/>
      <c r="L184" s="28"/>
      <c r="M184" s="28"/>
      <c r="N184" s="28"/>
      <c r="O184" s="29"/>
      <c r="P184" s="27"/>
      <c r="Q184" s="28"/>
      <c r="R184" s="28"/>
      <c r="S184" s="29"/>
      <c r="T184" s="27"/>
      <c r="U184" s="28"/>
      <c r="V184" s="28"/>
      <c r="W184" s="28"/>
      <c r="X184" s="29"/>
      <c r="Y184" s="28"/>
      <c r="Z184" s="28"/>
      <c r="AA184" s="28"/>
      <c r="AB184" s="29"/>
      <c r="AC184" s="27"/>
      <c r="AD184" s="28"/>
      <c r="AE184" s="28"/>
      <c r="AF184" s="29"/>
      <c r="AG184" s="28"/>
      <c r="AH184" s="28"/>
      <c r="AI184" s="28"/>
      <c r="AJ184" s="28"/>
      <c r="AK184" s="29"/>
      <c r="AL184" s="28"/>
      <c r="AM184" s="28"/>
      <c r="AN184" s="28"/>
      <c r="AO184" s="29"/>
      <c r="AP184" s="28"/>
      <c r="AQ184" s="28"/>
      <c r="AR184" s="28"/>
      <c r="AS184" s="29"/>
      <c r="AT184" s="28"/>
      <c r="AU184" s="28"/>
      <c r="AV184" s="28"/>
      <c r="AW184" s="29"/>
      <c r="AX184" s="28"/>
      <c r="AY184" s="28"/>
      <c r="AZ184" s="28"/>
      <c r="BA184" s="28"/>
      <c r="BB184" s="29"/>
      <c r="BC184" s="30"/>
      <c r="BD184" s="28"/>
      <c r="BE184" s="28"/>
      <c r="BF184" s="28"/>
    </row>
    <row r="185">
      <c r="A185" s="152"/>
      <c r="B185" s="144"/>
      <c r="C185" s="153"/>
      <c r="D185" s="28"/>
      <c r="E185" s="28"/>
      <c r="F185" s="28"/>
      <c r="G185" s="27"/>
      <c r="H185" s="28"/>
      <c r="I185" s="28"/>
      <c r="J185" s="29"/>
      <c r="K185" s="27"/>
      <c r="L185" s="28"/>
      <c r="M185" s="28"/>
      <c r="N185" s="28"/>
      <c r="O185" s="29"/>
      <c r="P185" s="27"/>
      <c r="Q185" s="28"/>
      <c r="R185" s="28"/>
      <c r="S185" s="29"/>
      <c r="T185" s="27"/>
      <c r="U185" s="28"/>
      <c r="V185" s="28"/>
      <c r="W185" s="28"/>
      <c r="X185" s="29"/>
      <c r="Y185" s="28"/>
      <c r="Z185" s="28"/>
      <c r="AA185" s="28"/>
      <c r="AB185" s="29"/>
      <c r="AC185" s="27"/>
      <c r="AD185" s="28"/>
      <c r="AE185" s="28"/>
      <c r="AF185" s="29"/>
      <c r="AG185" s="28"/>
      <c r="AH185" s="28"/>
      <c r="AI185" s="28"/>
      <c r="AJ185" s="28"/>
      <c r="AK185" s="29"/>
      <c r="AL185" s="28"/>
      <c r="AM185" s="28"/>
      <c r="AN185" s="28"/>
      <c r="AO185" s="29"/>
      <c r="AP185" s="28"/>
      <c r="AQ185" s="28"/>
      <c r="AR185" s="28"/>
      <c r="AS185" s="29"/>
      <c r="AT185" s="28"/>
      <c r="AU185" s="28"/>
      <c r="AV185" s="28"/>
      <c r="AW185" s="29"/>
      <c r="AX185" s="28"/>
      <c r="AY185" s="28"/>
      <c r="AZ185" s="28"/>
      <c r="BA185" s="28"/>
      <c r="BB185" s="29"/>
      <c r="BC185" s="30"/>
      <c r="BD185" s="28"/>
      <c r="BE185" s="28"/>
      <c r="BF185" s="28"/>
    </row>
    <row r="186">
      <c r="A186" s="146" t="s">
        <v>430</v>
      </c>
      <c r="G186" s="27"/>
      <c r="H186" s="28"/>
      <c r="I186" s="28"/>
      <c r="J186" s="29"/>
      <c r="K186" s="27"/>
      <c r="L186" s="28"/>
      <c r="M186" s="28"/>
      <c r="N186" s="28"/>
      <c r="O186" s="29"/>
      <c r="P186" s="27"/>
      <c r="Q186" s="28"/>
      <c r="R186" s="28"/>
      <c r="S186" s="29"/>
      <c r="T186" s="27"/>
      <c r="U186" s="28"/>
      <c r="V186" s="28"/>
      <c r="W186" s="28"/>
      <c r="X186" s="29"/>
      <c r="Y186" s="28"/>
      <c r="Z186" s="28"/>
      <c r="AA186" s="28"/>
      <c r="AB186" s="29"/>
      <c r="AC186" s="27"/>
      <c r="AD186" s="28"/>
      <c r="AE186" s="28"/>
      <c r="AF186" s="29"/>
      <c r="AG186" s="28"/>
      <c r="AH186" s="28"/>
      <c r="AI186" s="28"/>
      <c r="AJ186" s="28"/>
      <c r="AK186" s="29"/>
      <c r="AL186" s="28"/>
      <c r="AM186" s="28"/>
      <c r="AN186" s="28"/>
      <c r="AO186" s="29"/>
      <c r="AP186" s="28"/>
      <c r="AQ186" s="28"/>
      <c r="AR186" s="28"/>
      <c r="AS186" s="29"/>
      <c r="AT186" s="28"/>
      <c r="AU186" s="28"/>
      <c r="AV186" s="28"/>
      <c r="AW186" s="29"/>
      <c r="AX186" s="28"/>
      <c r="AY186" s="28"/>
      <c r="AZ186" s="28"/>
      <c r="BA186" s="28"/>
      <c r="BB186" s="29"/>
      <c r="BC186" s="30"/>
      <c r="BD186" s="28"/>
      <c r="BE186" s="28"/>
      <c r="BF186" s="28"/>
    </row>
    <row r="187">
      <c r="A187" s="152" t="s">
        <v>431</v>
      </c>
      <c r="B187" s="141">
        <v>46144.0</v>
      </c>
      <c r="C187" s="151">
        <v>46145.0</v>
      </c>
      <c r="D187" s="69" t="s">
        <v>388</v>
      </c>
      <c r="E187" s="28" t="s">
        <v>277</v>
      </c>
      <c r="F187" s="69" t="s">
        <v>390</v>
      </c>
      <c r="G187" s="27"/>
      <c r="H187" s="28"/>
      <c r="I187" s="28"/>
      <c r="J187" s="29"/>
      <c r="K187" s="27"/>
      <c r="L187" s="28"/>
      <c r="M187" s="28"/>
      <c r="N187" s="28"/>
      <c r="O187" s="29"/>
      <c r="P187" s="27"/>
      <c r="Q187" s="28"/>
      <c r="R187" s="28"/>
      <c r="S187" s="29"/>
      <c r="T187" s="27"/>
      <c r="U187" s="28"/>
      <c r="V187" s="28"/>
      <c r="W187" s="28"/>
      <c r="X187" s="29"/>
      <c r="Y187" s="28"/>
      <c r="Z187" s="28"/>
      <c r="AA187" s="28"/>
      <c r="AB187" s="29"/>
      <c r="AC187" s="27"/>
      <c r="AD187" s="28"/>
      <c r="AE187" s="28"/>
      <c r="AF187" s="29"/>
      <c r="AG187" s="28"/>
      <c r="AH187" s="28"/>
      <c r="AI187" s="28"/>
      <c r="AJ187" s="28"/>
      <c r="AK187" s="29"/>
      <c r="AL187" s="28"/>
      <c r="AM187" s="28"/>
      <c r="AN187" s="28"/>
      <c r="AO187" s="29"/>
      <c r="AP187" s="28"/>
      <c r="AQ187" s="28"/>
      <c r="AR187" s="28"/>
      <c r="AS187" s="29"/>
      <c r="AT187" s="28"/>
      <c r="AU187" s="28"/>
      <c r="AV187" s="28"/>
      <c r="AW187" s="29"/>
      <c r="AX187" s="28"/>
      <c r="AY187" s="28"/>
      <c r="AZ187" s="28"/>
      <c r="BA187" s="28"/>
      <c r="BB187" s="29"/>
      <c r="BC187" s="30"/>
      <c r="BD187" s="28"/>
      <c r="BE187" s="28"/>
      <c r="BF187" s="28"/>
    </row>
    <row r="188">
      <c r="A188" s="152" t="s">
        <v>432</v>
      </c>
      <c r="B188" s="141">
        <v>46144.0</v>
      </c>
      <c r="C188" s="151">
        <v>46145.0</v>
      </c>
      <c r="D188" s="69" t="s">
        <v>388</v>
      </c>
      <c r="E188" s="28" t="s">
        <v>277</v>
      </c>
      <c r="F188" s="69" t="s">
        <v>390</v>
      </c>
      <c r="G188" s="27"/>
      <c r="H188" s="28"/>
      <c r="I188" s="28"/>
      <c r="J188" s="29"/>
      <c r="K188" s="27"/>
      <c r="L188" s="28"/>
      <c r="M188" s="28"/>
      <c r="N188" s="28"/>
      <c r="O188" s="29"/>
      <c r="P188" s="27"/>
      <c r="Q188" s="28"/>
      <c r="R188" s="28"/>
      <c r="S188" s="29"/>
      <c r="T188" s="27"/>
      <c r="U188" s="28"/>
      <c r="V188" s="28"/>
      <c r="W188" s="28"/>
      <c r="X188" s="29"/>
      <c r="Y188" s="28"/>
      <c r="Z188" s="28"/>
      <c r="AA188" s="28"/>
      <c r="AB188" s="29"/>
      <c r="AC188" s="27"/>
      <c r="AD188" s="28"/>
      <c r="AE188" s="28"/>
      <c r="AF188" s="29"/>
      <c r="AG188" s="28"/>
      <c r="AH188" s="28"/>
      <c r="AI188" s="28"/>
      <c r="AJ188" s="28"/>
      <c r="AK188" s="29"/>
      <c r="AL188" s="28"/>
      <c r="AM188" s="28"/>
      <c r="AN188" s="28"/>
      <c r="AO188" s="29"/>
      <c r="AP188" s="28"/>
      <c r="AQ188" s="28"/>
      <c r="AR188" s="28"/>
      <c r="AS188" s="29"/>
      <c r="AT188" s="28"/>
      <c r="AU188" s="28"/>
      <c r="AV188" s="28"/>
      <c r="AW188" s="29"/>
      <c r="AX188" s="28"/>
      <c r="AY188" s="28"/>
      <c r="AZ188" s="28"/>
      <c r="BA188" s="28"/>
      <c r="BB188" s="29"/>
      <c r="BC188" s="30"/>
      <c r="BD188" s="28"/>
      <c r="BE188" s="28"/>
      <c r="BF188" s="28"/>
    </row>
    <row r="189">
      <c r="A189" s="152" t="s">
        <v>433</v>
      </c>
      <c r="B189" s="141">
        <v>46144.0</v>
      </c>
      <c r="C189" s="151">
        <v>46145.0</v>
      </c>
      <c r="D189" s="69" t="s">
        <v>388</v>
      </c>
      <c r="E189" s="28" t="s">
        <v>277</v>
      </c>
      <c r="F189" s="69" t="s">
        <v>390</v>
      </c>
      <c r="G189" s="27"/>
      <c r="H189" s="28"/>
      <c r="I189" s="28"/>
      <c r="J189" s="29"/>
      <c r="K189" s="27"/>
      <c r="L189" s="28"/>
      <c r="M189" s="28"/>
      <c r="N189" s="28"/>
      <c r="O189" s="29"/>
      <c r="P189" s="27"/>
      <c r="Q189" s="28"/>
      <c r="R189" s="28"/>
      <c r="S189" s="29"/>
      <c r="T189" s="27"/>
      <c r="U189" s="28"/>
      <c r="V189" s="28"/>
      <c r="W189" s="28"/>
      <c r="X189" s="29"/>
      <c r="Y189" s="28"/>
      <c r="Z189" s="28"/>
      <c r="AA189" s="28"/>
      <c r="AB189" s="29"/>
      <c r="AC189" s="27"/>
      <c r="AD189" s="28"/>
      <c r="AE189" s="28"/>
      <c r="AF189" s="29"/>
      <c r="AG189" s="28"/>
      <c r="AH189" s="28"/>
      <c r="AI189" s="28"/>
      <c r="AJ189" s="28"/>
      <c r="AK189" s="29"/>
      <c r="AL189" s="28"/>
      <c r="AM189" s="28"/>
      <c r="AN189" s="28"/>
      <c r="AO189" s="29"/>
      <c r="AP189" s="28"/>
      <c r="AQ189" s="28"/>
      <c r="AR189" s="28"/>
      <c r="AS189" s="29"/>
      <c r="AT189" s="28"/>
      <c r="AU189" s="28"/>
      <c r="AV189" s="28"/>
      <c r="AW189" s="29"/>
      <c r="AX189" s="28"/>
      <c r="AY189" s="28"/>
      <c r="AZ189" s="28"/>
      <c r="BA189" s="28"/>
      <c r="BB189" s="29"/>
      <c r="BC189" s="30"/>
      <c r="BD189" s="28"/>
      <c r="BE189" s="28"/>
      <c r="BF189" s="28"/>
    </row>
    <row r="190">
      <c r="A190" s="152" t="s">
        <v>434</v>
      </c>
      <c r="B190" s="141">
        <v>46144.0</v>
      </c>
      <c r="C190" s="151">
        <v>46145.0</v>
      </c>
      <c r="D190" s="69" t="s">
        <v>388</v>
      </c>
      <c r="E190" s="28" t="s">
        <v>277</v>
      </c>
      <c r="F190" s="69" t="s">
        <v>390</v>
      </c>
      <c r="G190" s="27"/>
      <c r="H190" s="28"/>
      <c r="I190" s="28"/>
      <c r="J190" s="29"/>
      <c r="K190" s="27"/>
      <c r="L190" s="28"/>
      <c r="M190" s="28"/>
      <c r="N190" s="28"/>
      <c r="O190" s="29"/>
      <c r="P190" s="27"/>
      <c r="Q190" s="28"/>
      <c r="R190" s="28"/>
      <c r="S190" s="29"/>
      <c r="T190" s="27"/>
      <c r="U190" s="28"/>
      <c r="V190" s="28"/>
      <c r="W190" s="28"/>
      <c r="X190" s="29"/>
      <c r="Y190" s="28"/>
      <c r="Z190" s="28"/>
      <c r="AA190" s="28"/>
      <c r="AB190" s="29"/>
      <c r="AC190" s="27"/>
      <c r="AD190" s="28"/>
      <c r="AE190" s="28"/>
      <c r="AF190" s="29"/>
      <c r="AG190" s="28"/>
      <c r="AH190" s="28"/>
      <c r="AI190" s="28"/>
      <c r="AJ190" s="28"/>
      <c r="AK190" s="29"/>
      <c r="AL190" s="28"/>
      <c r="AM190" s="28"/>
      <c r="AN190" s="28"/>
      <c r="AO190" s="29"/>
      <c r="AP190" s="28"/>
      <c r="AQ190" s="28"/>
      <c r="AR190" s="28"/>
      <c r="AS190" s="29"/>
      <c r="AT190" s="28"/>
      <c r="AU190" s="28"/>
      <c r="AV190" s="28"/>
      <c r="AW190" s="29"/>
      <c r="AX190" s="28"/>
      <c r="AY190" s="28"/>
      <c r="AZ190" s="28"/>
      <c r="BA190" s="28"/>
      <c r="BB190" s="29"/>
      <c r="BC190" s="30"/>
      <c r="BD190" s="28"/>
      <c r="BE190" s="28"/>
      <c r="BF190" s="28"/>
    </row>
    <row r="191">
      <c r="A191" s="152"/>
      <c r="B191" s="144"/>
      <c r="C191" s="153"/>
      <c r="D191" s="28"/>
      <c r="E191" s="28"/>
      <c r="F191" s="28"/>
      <c r="G191" s="27"/>
      <c r="H191" s="28"/>
      <c r="I191" s="28"/>
      <c r="J191" s="29"/>
      <c r="K191" s="27"/>
      <c r="L191" s="28"/>
      <c r="M191" s="28"/>
      <c r="N191" s="28"/>
      <c r="O191" s="29"/>
      <c r="P191" s="27"/>
      <c r="Q191" s="28"/>
      <c r="R191" s="28"/>
      <c r="S191" s="29"/>
      <c r="T191" s="27"/>
      <c r="U191" s="28"/>
      <c r="V191" s="28"/>
      <c r="W191" s="28"/>
      <c r="X191" s="29"/>
      <c r="Y191" s="28"/>
      <c r="Z191" s="28"/>
      <c r="AA191" s="28"/>
      <c r="AB191" s="29"/>
      <c r="AC191" s="27"/>
      <c r="AD191" s="28"/>
      <c r="AE191" s="28"/>
      <c r="AF191" s="29"/>
      <c r="AG191" s="28"/>
      <c r="AH191" s="28"/>
      <c r="AI191" s="28"/>
      <c r="AJ191" s="28"/>
      <c r="AK191" s="29"/>
      <c r="AL191" s="28"/>
      <c r="AM191" s="28"/>
      <c r="AN191" s="28"/>
      <c r="AO191" s="29"/>
      <c r="AP191" s="28"/>
      <c r="AQ191" s="28"/>
      <c r="AR191" s="28"/>
      <c r="AS191" s="29"/>
      <c r="AT191" s="28"/>
      <c r="AU191" s="28"/>
      <c r="AV191" s="28"/>
      <c r="AW191" s="29"/>
      <c r="AX191" s="28"/>
      <c r="AY191" s="28"/>
      <c r="AZ191" s="28"/>
      <c r="BA191" s="28"/>
      <c r="BB191" s="29"/>
      <c r="BC191" s="30"/>
      <c r="BD191" s="28"/>
      <c r="BE191" s="28"/>
      <c r="BF191" s="28"/>
    </row>
    <row r="192">
      <c r="A192" s="146" t="s">
        <v>123</v>
      </c>
      <c r="G192" s="27"/>
      <c r="H192" s="28"/>
      <c r="I192" s="28"/>
      <c r="J192" s="29"/>
      <c r="K192" s="27"/>
      <c r="L192" s="28"/>
      <c r="M192" s="28"/>
      <c r="N192" s="28"/>
      <c r="O192" s="29"/>
      <c r="P192" s="27"/>
      <c r="Q192" s="28"/>
      <c r="R192" s="28"/>
      <c r="S192" s="29"/>
      <c r="T192" s="27"/>
      <c r="U192" s="28"/>
      <c r="V192" s="28"/>
      <c r="W192" s="28"/>
      <c r="X192" s="29"/>
      <c r="Y192" s="28"/>
      <c r="Z192" s="28"/>
      <c r="AA192" s="28"/>
      <c r="AB192" s="29"/>
      <c r="AC192" s="27"/>
      <c r="AD192" s="28"/>
      <c r="AE192" s="28"/>
      <c r="AF192" s="29"/>
      <c r="AG192" s="28"/>
      <c r="AH192" s="28"/>
      <c r="AI192" s="28"/>
      <c r="AJ192" s="28"/>
      <c r="AK192" s="29"/>
      <c r="AL192" s="28"/>
      <c r="AM192" s="28"/>
      <c r="AN192" s="28"/>
      <c r="AO192" s="29"/>
      <c r="AP192" s="28"/>
      <c r="AQ192" s="28"/>
      <c r="AR192" s="28"/>
      <c r="AS192" s="29"/>
      <c r="AT192" s="28"/>
      <c r="AU192" s="28"/>
      <c r="AV192" s="28"/>
      <c r="AW192" s="29"/>
      <c r="AX192" s="28"/>
      <c r="AY192" s="28"/>
      <c r="AZ192" s="28"/>
      <c r="BA192" s="28"/>
      <c r="BB192" s="29"/>
      <c r="BC192" s="30"/>
      <c r="BD192" s="28"/>
      <c r="BE192" s="28"/>
      <c r="BF192" s="28"/>
    </row>
    <row r="193">
      <c r="A193" s="69" t="s">
        <v>435</v>
      </c>
      <c r="B193" s="148">
        <v>46048.0</v>
      </c>
      <c r="C193" s="102">
        <v>46066.0</v>
      </c>
      <c r="D193" s="69" t="s">
        <v>388</v>
      </c>
      <c r="E193" s="37" t="s">
        <v>277</v>
      </c>
      <c r="F193" s="69" t="s">
        <v>390</v>
      </c>
      <c r="G193" s="27"/>
      <c r="H193" s="28"/>
      <c r="I193" s="28"/>
      <c r="J193" s="29"/>
      <c r="K193" s="27"/>
      <c r="L193" s="28"/>
      <c r="M193" s="28"/>
      <c r="N193" s="28"/>
      <c r="O193" s="29"/>
      <c r="P193" s="27"/>
      <c r="Q193" s="28"/>
      <c r="R193" s="28"/>
      <c r="S193" s="29"/>
      <c r="T193" s="27"/>
      <c r="U193" s="28"/>
      <c r="V193" s="28"/>
      <c r="W193" s="28"/>
      <c r="X193" s="29"/>
      <c r="Y193" s="28"/>
      <c r="Z193" s="28"/>
      <c r="AA193" s="28"/>
      <c r="AB193" s="29"/>
      <c r="AC193" s="27"/>
      <c r="AD193" s="28"/>
      <c r="AE193" s="28"/>
      <c r="AF193" s="29"/>
      <c r="AG193" s="28"/>
      <c r="AH193" s="28"/>
      <c r="AI193" s="28"/>
      <c r="AJ193" s="28"/>
      <c r="AK193" s="29"/>
      <c r="AL193" s="28"/>
      <c r="AM193" s="28"/>
      <c r="AN193" s="28"/>
      <c r="AO193" s="29"/>
      <c r="AP193" s="28"/>
      <c r="AQ193" s="28"/>
      <c r="AR193" s="28"/>
      <c r="AS193" s="29"/>
      <c r="AT193" s="28"/>
      <c r="AU193" s="28"/>
      <c r="AV193" s="28"/>
      <c r="AW193" s="29"/>
      <c r="AX193" s="28"/>
      <c r="AY193" s="28"/>
      <c r="AZ193" s="28"/>
      <c r="BA193" s="28"/>
      <c r="BB193" s="29"/>
      <c r="BC193" s="30"/>
      <c r="BD193" s="28"/>
      <c r="BE193" s="28"/>
      <c r="BF193" s="28"/>
    </row>
    <row r="194">
      <c r="A194" s="69" t="s">
        <v>436</v>
      </c>
      <c r="B194" s="123">
        <v>46038.0</v>
      </c>
      <c r="C194" s="123">
        <v>46045.0</v>
      </c>
      <c r="D194" s="69" t="s">
        <v>437</v>
      </c>
      <c r="E194" s="37" t="s">
        <v>277</v>
      </c>
      <c r="F194" s="69" t="s">
        <v>390</v>
      </c>
      <c r="G194" s="27"/>
      <c r="H194" s="28"/>
      <c r="I194" s="28"/>
      <c r="J194" s="29"/>
      <c r="K194" s="27"/>
      <c r="L194" s="28"/>
      <c r="M194" s="28"/>
      <c r="N194" s="28"/>
      <c r="O194" s="29"/>
      <c r="P194" s="27"/>
      <c r="Q194" s="28"/>
      <c r="R194" s="28"/>
      <c r="S194" s="29"/>
      <c r="T194" s="27"/>
      <c r="U194" s="28"/>
      <c r="V194" s="28"/>
      <c r="W194" s="28"/>
      <c r="X194" s="29"/>
      <c r="Y194" s="28"/>
      <c r="Z194" s="28"/>
      <c r="AA194" s="28"/>
      <c r="AB194" s="29"/>
      <c r="AC194" s="27"/>
      <c r="AD194" s="28"/>
      <c r="AE194" s="28"/>
      <c r="AF194" s="29"/>
      <c r="AG194" s="28"/>
      <c r="AH194" s="28"/>
      <c r="AI194" s="28"/>
      <c r="AJ194" s="28"/>
      <c r="AK194" s="29"/>
      <c r="AL194" s="28"/>
      <c r="AM194" s="28"/>
      <c r="AN194" s="28"/>
      <c r="AO194" s="29"/>
      <c r="AP194" s="28"/>
      <c r="AQ194" s="28"/>
      <c r="AR194" s="28"/>
      <c r="AS194" s="29"/>
      <c r="AT194" s="28"/>
      <c r="AU194" s="28"/>
      <c r="AV194" s="28"/>
      <c r="AW194" s="29"/>
      <c r="AX194" s="28"/>
      <c r="AY194" s="28"/>
      <c r="AZ194" s="28"/>
      <c r="BA194" s="28"/>
      <c r="BB194" s="29"/>
      <c r="BC194" s="30"/>
      <c r="BD194" s="28"/>
      <c r="BE194" s="28"/>
      <c r="BF194" s="28"/>
    </row>
    <row r="195">
      <c r="A195" s="69" t="s">
        <v>438</v>
      </c>
      <c r="B195" s="148">
        <v>46048.0</v>
      </c>
      <c r="C195" s="102">
        <v>46066.0</v>
      </c>
      <c r="D195" s="69" t="s">
        <v>439</v>
      </c>
      <c r="E195" s="37" t="s">
        <v>277</v>
      </c>
      <c r="F195" s="69" t="s">
        <v>390</v>
      </c>
      <c r="G195" s="27"/>
      <c r="H195" s="28"/>
      <c r="I195" s="28"/>
      <c r="J195" s="29"/>
      <c r="K195" s="27"/>
      <c r="L195" s="28"/>
      <c r="M195" s="28"/>
      <c r="N195" s="28"/>
      <c r="O195" s="29"/>
      <c r="P195" s="27"/>
      <c r="Q195" s="28"/>
      <c r="R195" s="28"/>
      <c r="S195" s="29"/>
      <c r="T195" s="27"/>
      <c r="U195" s="28"/>
      <c r="V195" s="28"/>
      <c r="W195" s="28"/>
      <c r="X195" s="29"/>
      <c r="Y195" s="28"/>
      <c r="Z195" s="28"/>
      <c r="AA195" s="28"/>
      <c r="AB195" s="29"/>
      <c r="AC195" s="27"/>
      <c r="AD195" s="28"/>
      <c r="AE195" s="28"/>
      <c r="AF195" s="29"/>
      <c r="AG195" s="28"/>
      <c r="AH195" s="28"/>
      <c r="AI195" s="28"/>
      <c r="AJ195" s="28"/>
      <c r="AK195" s="29"/>
      <c r="AL195" s="28"/>
      <c r="AM195" s="28"/>
      <c r="AN195" s="28"/>
      <c r="AO195" s="29"/>
      <c r="AP195" s="28"/>
      <c r="AQ195" s="28"/>
      <c r="AR195" s="28"/>
      <c r="AS195" s="29"/>
      <c r="AT195" s="28"/>
      <c r="AU195" s="28"/>
      <c r="AV195" s="28"/>
      <c r="AW195" s="29"/>
      <c r="AX195" s="28"/>
      <c r="AY195" s="28"/>
      <c r="AZ195" s="28"/>
      <c r="BA195" s="28"/>
      <c r="BB195" s="29"/>
      <c r="BC195" s="30"/>
      <c r="BD195" s="28"/>
      <c r="BE195" s="28"/>
      <c r="BF195" s="28"/>
    </row>
    <row r="196">
      <c r="A196" s="69" t="s">
        <v>440</v>
      </c>
      <c r="B196" s="148">
        <v>46048.0</v>
      </c>
      <c r="C196" s="102">
        <v>46066.0</v>
      </c>
      <c r="D196" s="69" t="s">
        <v>439</v>
      </c>
      <c r="E196" s="37" t="s">
        <v>277</v>
      </c>
      <c r="F196" s="69" t="s">
        <v>390</v>
      </c>
      <c r="G196" s="27"/>
      <c r="H196" s="28"/>
      <c r="I196" s="28"/>
      <c r="J196" s="29"/>
      <c r="K196" s="27"/>
      <c r="L196" s="28"/>
      <c r="M196" s="28"/>
      <c r="N196" s="28"/>
      <c r="O196" s="29"/>
      <c r="P196" s="27"/>
      <c r="Q196" s="28"/>
      <c r="R196" s="28"/>
      <c r="S196" s="29"/>
      <c r="T196" s="27"/>
      <c r="U196" s="28"/>
      <c r="V196" s="28"/>
      <c r="W196" s="28"/>
      <c r="X196" s="29"/>
      <c r="Y196" s="28"/>
      <c r="Z196" s="28"/>
      <c r="AA196" s="28"/>
      <c r="AB196" s="29"/>
      <c r="AC196" s="27"/>
      <c r="AD196" s="28"/>
      <c r="AE196" s="28"/>
      <c r="AF196" s="29"/>
      <c r="AG196" s="28"/>
      <c r="AH196" s="28"/>
      <c r="AI196" s="28"/>
      <c r="AJ196" s="28"/>
      <c r="AK196" s="29"/>
      <c r="AL196" s="28"/>
      <c r="AM196" s="28"/>
      <c r="AN196" s="28"/>
      <c r="AO196" s="29"/>
      <c r="AP196" s="28"/>
      <c r="AQ196" s="28"/>
      <c r="AR196" s="28"/>
      <c r="AS196" s="29"/>
      <c r="AT196" s="28"/>
      <c r="AU196" s="28"/>
      <c r="AV196" s="28"/>
      <c r="AW196" s="29"/>
      <c r="AX196" s="28"/>
      <c r="AY196" s="28"/>
      <c r="AZ196" s="28"/>
      <c r="BA196" s="28"/>
      <c r="BB196" s="29"/>
      <c r="BC196" s="30"/>
      <c r="BD196" s="28"/>
      <c r="BE196" s="28"/>
      <c r="BF196" s="28"/>
    </row>
    <row r="197">
      <c r="A197" s="69" t="s">
        <v>441</v>
      </c>
      <c r="B197" s="148">
        <v>46048.0</v>
      </c>
      <c r="C197" s="102">
        <v>46066.0</v>
      </c>
      <c r="D197" s="69" t="s">
        <v>439</v>
      </c>
      <c r="E197" s="37" t="s">
        <v>277</v>
      </c>
      <c r="F197" s="69" t="s">
        <v>390</v>
      </c>
      <c r="G197" s="27"/>
      <c r="H197" s="28"/>
      <c r="I197" s="28"/>
      <c r="J197" s="29"/>
      <c r="K197" s="27"/>
      <c r="L197" s="28"/>
      <c r="M197" s="28"/>
      <c r="N197" s="28"/>
      <c r="O197" s="29"/>
      <c r="P197" s="27"/>
      <c r="Q197" s="28"/>
      <c r="R197" s="28"/>
      <c r="S197" s="29"/>
      <c r="T197" s="27"/>
      <c r="U197" s="28"/>
      <c r="V197" s="28"/>
      <c r="W197" s="28"/>
      <c r="X197" s="29"/>
      <c r="Y197" s="28"/>
      <c r="Z197" s="28"/>
      <c r="AA197" s="28"/>
      <c r="AB197" s="29"/>
      <c r="AC197" s="27"/>
      <c r="AD197" s="28"/>
      <c r="AE197" s="28"/>
      <c r="AF197" s="29"/>
      <c r="AG197" s="28"/>
      <c r="AH197" s="28"/>
      <c r="AI197" s="28"/>
      <c r="AJ197" s="28"/>
      <c r="AK197" s="29"/>
      <c r="AL197" s="28"/>
      <c r="AM197" s="28"/>
      <c r="AN197" s="28"/>
      <c r="AO197" s="29"/>
      <c r="AP197" s="28"/>
      <c r="AQ197" s="28"/>
      <c r="AR197" s="28"/>
      <c r="AS197" s="29"/>
      <c r="AT197" s="28"/>
      <c r="AU197" s="28"/>
      <c r="AV197" s="28"/>
      <c r="AW197" s="29"/>
      <c r="AX197" s="28"/>
      <c r="AY197" s="28"/>
      <c r="AZ197" s="28"/>
      <c r="BA197" s="28"/>
      <c r="BB197" s="29"/>
      <c r="BC197" s="30"/>
      <c r="BD197" s="28"/>
      <c r="BE197" s="28"/>
      <c r="BF197" s="28"/>
    </row>
    <row r="198">
      <c r="A198" s="98"/>
      <c r="B198" s="134"/>
      <c r="C198" s="120"/>
      <c r="D198" s="122"/>
      <c r="E198" s="122"/>
      <c r="F198" s="112"/>
      <c r="G198" s="27"/>
      <c r="H198" s="28"/>
      <c r="I198" s="28"/>
      <c r="J198" s="29"/>
      <c r="K198" s="27"/>
      <c r="L198" s="28"/>
      <c r="M198" s="28"/>
      <c r="N198" s="28"/>
      <c r="O198" s="29"/>
      <c r="P198" s="27"/>
      <c r="Q198" s="28"/>
      <c r="R198" s="28"/>
      <c r="S198" s="29"/>
      <c r="T198" s="27"/>
      <c r="U198" s="28"/>
      <c r="V198" s="28"/>
      <c r="W198" s="28"/>
      <c r="X198" s="29"/>
      <c r="Y198" s="28"/>
      <c r="Z198" s="28"/>
      <c r="AA198" s="28"/>
      <c r="AB198" s="29"/>
      <c r="AC198" s="27"/>
      <c r="AD198" s="28"/>
      <c r="AE198" s="28"/>
      <c r="AF198" s="29"/>
      <c r="AG198" s="28"/>
      <c r="AH198" s="28"/>
      <c r="AI198" s="28"/>
      <c r="AJ198" s="28"/>
      <c r="AK198" s="29"/>
      <c r="AL198" s="28"/>
      <c r="AM198" s="28"/>
      <c r="AN198" s="28"/>
      <c r="AO198" s="29"/>
      <c r="AP198" s="28"/>
      <c r="AQ198" s="28"/>
      <c r="AR198" s="28"/>
      <c r="AS198" s="29"/>
      <c r="AT198" s="28"/>
      <c r="AU198" s="28"/>
      <c r="AV198" s="28"/>
      <c r="AW198" s="29"/>
      <c r="AX198" s="28"/>
      <c r="AY198" s="28"/>
      <c r="AZ198" s="28"/>
      <c r="BA198" s="28"/>
      <c r="BB198" s="29"/>
      <c r="BC198" s="30"/>
      <c r="BD198" s="28"/>
      <c r="BE198" s="28"/>
      <c r="BF198" s="28"/>
    </row>
    <row r="199">
      <c r="A199" s="139" t="s">
        <v>442</v>
      </c>
      <c r="G199" s="27"/>
      <c r="H199" s="28"/>
      <c r="I199" s="28"/>
      <c r="J199" s="29"/>
      <c r="K199" s="27"/>
      <c r="L199" s="28"/>
      <c r="M199" s="28"/>
      <c r="N199" s="28"/>
      <c r="O199" s="29"/>
      <c r="P199" s="27"/>
      <c r="Q199" s="28"/>
      <c r="R199" s="28"/>
      <c r="S199" s="29"/>
      <c r="T199" s="27"/>
      <c r="U199" s="28"/>
      <c r="V199" s="28"/>
      <c r="W199" s="28"/>
      <c r="X199" s="29"/>
      <c r="Y199" s="28"/>
      <c r="Z199" s="28"/>
      <c r="AA199" s="28"/>
      <c r="AB199" s="28"/>
      <c r="AC199" s="27"/>
      <c r="AD199" s="28"/>
      <c r="AE199" s="28"/>
      <c r="AF199" s="29"/>
      <c r="AG199" s="28"/>
      <c r="AH199" s="28"/>
      <c r="AI199" s="28"/>
      <c r="AJ199" s="28"/>
      <c r="AK199" s="29"/>
      <c r="AL199" s="28"/>
      <c r="AM199" s="28"/>
      <c r="AN199" s="28"/>
      <c r="AO199" s="29"/>
      <c r="AP199" s="28"/>
      <c r="AQ199" s="28"/>
      <c r="AR199" s="28"/>
      <c r="AS199" s="29"/>
      <c r="AT199" s="28"/>
      <c r="AU199" s="28"/>
      <c r="AV199" s="28"/>
      <c r="AW199" s="29"/>
      <c r="AX199" s="28"/>
      <c r="AY199" s="28"/>
      <c r="AZ199" s="28"/>
      <c r="BA199" s="28"/>
      <c r="BB199" s="29"/>
      <c r="BC199" s="30"/>
      <c r="BD199" s="28"/>
      <c r="BE199" s="28"/>
      <c r="BF199" s="28"/>
    </row>
    <row r="200">
      <c r="A200" s="69" t="s">
        <v>443</v>
      </c>
      <c r="B200" s="123">
        <v>46055.0</v>
      </c>
      <c r="C200" s="123">
        <v>46066.0</v>
      </c>
      <c r="D200" s="69" t="s">
        <v>388</v>
      </c>
      <c r="E200" s="37" t="s">
        <v>277</v>
      </c>
      <c r="F200" s="114"/>
      <c r="G200" s="27"/>
      <c r="H200" s="28"/>
      <c r="I200" s="28"/>
      <c r="J200" s="29"/>
      <c r="K200" s="27"/>
      <c r="L200" s="28"/>
      <c r="M200" s="28"/>
      <c r="N200" s="28"/>
      <c r="O200" s="29"/>
      <c r="P200" s="27"/>
      <c r="Q200" s="28"/>
      <c r="R200" s="28"/>
      <c r="S200" s="29"/>
      <c r="T200" s="27"/>
      <c r="U200" s="28"/>
      <c r="V200" s="28"/>
      <c r="W200" s="28"/>
      <c r="X200" s="29"/>
      <c r="Y200" s="28"/>
      <c r="Z200" s="28"/>
      <c r="AA200" s="28"/>
      <c r="AB200" s="28"/>
      <c r="AC200" s="27"/>
      <c r="AD200" s="28"/>
      <c r="AE200" s="28"/>
      <c r="AF200" s="29"/>
      <c r="AG200" s="28"/>
      <c r="AH200" s="28"/>
      <c r="AI200" s="28"/>
      <c r="AJ200" s="28"/>
      <c r="AK200" s="29"/>
      <c r="AL200" s="28"/>
      <c r="AM200" s="28"/>
      <c r="AN200" s="28"/>
      <c r="AO200" s="29"/>
      <c r="AP200" s="28"/>
      <c r="AQ200" s="28"/>
      <c r="AR200" s="28"/>
      <c r="AS200" s="29"/>
      <c r="AT200" s="28"/>
      <c r="AU200" s="28"/>
      <c r="AV200" s="28"/>
      <c r="AW200" s="29"/>
      <c r="AX200" s="28"/>
      <c r="AY200" s="28"/>
      <c r="AZ200" s="28"/>
      <c r="BA200" s="28"/>
      <c r="BB200" s="29"/>
      <c r="BC200" s="30"/>
      <c r="BD200" s="28"/>
      <c r="BE200" s="28"/>
      <c r="BF200" s="28"/>
    </row>
    <row r="201">
      <c r="A201" s="69" t="s">
        <v>444</v>
      </c>
      <c r="B201" s="123">
        <v>46055.0</v>
      </c>
      <c r="C201" s="123">
        <v>46066.0</v>
      </c>
      <c r="D201" s="69" t="s">
        <v>388</v>
      </c>
      <c r="E201" s="37" t="s">
        <v>277</v>
      </c>
      <c r="F201" s="114"/>
      <c r="G201" s="27"/>
      <c r="H201" s="28"/>
      <c r="I201" s="28"/>
      <c r="J201" s="29"/>
      <c r="K201" s="27"/>
      <c r="L201" s="28"/>
      <c r="M201" s="28"/>
      <c r="N201" s="28"/>
      <c r="O201" s="29"/>
      <c r="P201" s="27"/>
      <c r="Q201" s="28"/>
      <c r="R201" s="28"/>
      <c r="S201" s="29"/>
      <c r="T201" s="27"/>
      <c r="U201" s="28"/>
      <c r="V201" s="28"/>
      <c r="W201" s="28"/>
      <c r="X201" s="29"/>
      <c r="Y201" s="28"/>
      <c r="Z201" s="28"/>
      <c r="AA201" s="28"/>
      <c r="AB201" s="28"/>
      <c r="AC201" s="27"/>
      <c r="AD201" s="28"/>
      <c r="AE201" s="28"/>
      <c r="AF201" s="29"/>
      <c r="AG201" s="28"/>
      <c r="AH201" s="28"/>
      <c r="AI201" s="28"/>
      <c r="AJ201" s="28"/>
      <c r="AK201" s="29"/>
      <c r="AL201" s="28"/>
      <c r="AM201" s="28"/>
      <c r="AN201" s="28"/>
      <c r="AO201" s="29"/>
      <c r="AP201" s="28"/>
      <c r="AQ201" s="28"/>
      <c r="AR201" s="28"/>
      <c r="AS201" s="29"/>
      <c r="AT201" s="28"/>
      <c r="AU201" s="28"/>
      <c r="AV201" s="28"/>
      <c r="AW201" s="29"/>
      <c r="AX201" s="28"/>
      <c r="AY201" s="28"/>
      <c r="AZ201" s="28"/>
      <c r="BA201" s="28"/>
      <c r="BB201" s="29"/>
      <c r="BC201" s="30"/>
      <c r="BD201" s="28"/>
      <c r="BE201" s="28"/>
      <c r="BF201" s="28"/>
    </row>
    <row r="202">
      <c r="A202" s="69" t="s">
        <v>445</v>
      </c>
      <c r="B202" s="148">
        <v>46048.0</v>
      </c>
      <c r="C202" s="102">
        <v>46052.0</v>
      </c>
      <c r="D202" s="69" t="s">
        <v>388</v>
      </c>
      <c r="E202" s="37" t="s">
        <v>277</v>
      </c>
      <c r="F202" s="69" t="s">
        <v>390</v>
      </c>
      <c r="G202" s="27"/>
      <c r="H202" s="28"/>
      <c r="I202" s="28"/>
      <c r="J202" s="29"/>
      <c r="K202" s="27"/>
      <c r="L202" s="28"/>
      <c r="M202" s="28"/>
      <c r="N202" s="28"/>
      <c r="O202" s="29"/>
      <c r="P202" s="27"/>
      <c r="Q202" s="28"/>
      <c r="R202" s="28"/>
      <c r="S202" s="29"/>
      <c r="T202" s="27"/>
      <c r="U202" s="28"/>
      <c r="V202" s="28"/>
      <c r="W202" s="28"/>
      <c r="X202" s="29"/>
      <c r="Y202" s="28"/>
      <c r="Z202" s="28"/>
      <c r="AA202" s="28"/>
      <c r="AB202" s="28"/>
      <c r="AC202" s="27"/>
      <c r="AD202" s="28"/>
      <c r="AE202" s="28"/>
      <c r="AF202" s="29"/>
      <c r="AG202" s="28"/>
      <c r="AH202" s="28"/>
      <c r="AI202" s="28"/>
      <c r="AJ202" s="28"/>
      <c r="AK202" s="29"/>
      <c r="AL202" s="28"/>
      <c r="AM202" s="28"/>
      <c r="AN202" s="28"/>
      <c r="AO202" s="29"/>
      <c r="AP202" s="28"/>
      <c r="AQ202" s="28"/>
      <c r="AR202" s="28"/>
      <c r="AS202" s="29"/>
      <c r="AT202" s="28"/>
      <c r="AU202" s="28"/>
      <c r="AV202" s="28"/>
      <c r="AW202" s="29"/>
      <c r="AX202" s="28"/>
      <c r="AY202" s="28"/>
      <c r="AZ202" s="28"/>
      <c r="BA202" s="28"/>
      <c r="BB202" s="29"/>
      <c r="BC202" s="30"/>
      <c r="BD202" s="28"/>
      <c r="BE202" s="28"/>
      <c r="BF202" s="28"/>
    </row>
    <row r="203">
      <c r="A203" s="69" t="s">
        <v>446</v>
      </c>
      <c r="B203" s="123">
        <v>46055.0</v>
      </c>
      <c r="C203" s="123">
        <v>46073.0</v>
      </c>
      <c r="D203" s="69" t="s">
        <v>388</v>
      </c>
      <c r="E203" s="37" t="s">
        <v>277</v>
      </c>
      <c r="F203" s="69" t="s">
        <v>390</v>
      </c>
      <c r="G203" s="27"/>
      <c r="H203" s="28"/>
      <c r="I203" s="28"/>
      <c r="J203" s="29"/>
      <c r="K203" s="27"/>
      <c r="L203" s="28"/>
      <c r="M203" s="28"/>
      <c r="N203" s="28"/>
      <c r="O203" s="29"/>
      <c r="P203" s="27"/>
      <c r="Q203" s="28"/>
      <c r="R203" s="28"/>
      <c r="S203" s="29"/>
      <c r="T203" s="27"/>
      <c r="U203" s="28"/>
      <c r="V203" s="28"/>
      <c r="W203" s="28"/>
      <c r="X203" s="29"/>
      <c r="Y203" s="28"/>
      <c r="Z203" s="28"/>
      <c r="AA203" s="28"/>
      <c r="AB203" s="28"/>
      <c r="AC203" s="27"/>
      <c r="AD203" s="28"/>
      <c r="AE203" s="28"/>
      <c r="AF203" s="29"/>
      <c r="AG203" s="28"/>
      <c r="AH203" s="28"/>
      <c r="AI203" s="28"/>
      <c r="AJ203" s="28"/>
      <c r="AK203" s="29"/>
      <c r="AL203" s="28"/>
      <c r="AM203" s="28"/>
      <c r="AN203" s="28"/>
      <c r="AO203" s="29"/>
      <c r="AP203" s="28"/>
      <c r="AQ203" s="28"/>
      <c r="AR203" s="28"/>
      <c r="AS203" s="29"/>
      <c r="AT203" s="28"/>
      <c r="AU203" s="28"/>
      <c r="AV203" s="28"/>
      <c r="AW203" s="29"/>
      <c r="AX203" s="28"/>
      <c r="AY203" s="28"/>
      <c r="AZ203" s="28"/>
      <c r="BA203" s="28"/>
      <c r="BB203" s="29"/>
      <c r="BC203" s="30"/>
      <c r="BD203" s="28"/>
      <c r="BE203" s="28"/>
      <c r="BF203" s="28"/>
    </row>
    <row r="204">
      <c r="A204" s="69" t="s">
        <v>447</v>
      </c>
      <c r="B204" s="141">
        <v>46101.0</v>
      </c>
      <c r="C204" s="141">
        <v>46108.0</v>
      </c>
      <c r="D204" s="69" t="s">
        <v>388</v>
      </c>
      <c r="E204" s="37" t="s">
        <v>277</v>
      </c>
      <c r="F204" s="69" t="s">
        <v>390</v>
      </c>
      <c r="G204" s="27"/>
      <c r="H204" s="28"/>
      <c r="I204" s="28"/>
      <c r="J204" s="29"/>
      <c r="K204" s="27"/>
      <c r="L204" s="28"/>
      <c r="M204" s="28"/>
      <c r="N204" s="28"/>
      <c r="O204" s="29"/>
      <c r="P204" s="27"/>
      <c r="Q204" s="28"/>
      <c r="R204" s="28"/>
      <c r="S204" s="29"/>
      <c r="T204" s="27"/>
      <c r="U204" s="28"/>
      <c r="V204" s="28"/>
      <c r="W204" s="28"/>
      <c r="X204" s="29"/>
      <c r="Y204" s="28"/>
      <c r="Z204" s="28"/>
      <c r="AA204" s="28"/>
      <c r="AB204" s="28"/>
      <c r="AC204" s="27"/>
      <c r="AD204" s="28"/>
      <c r="AE204" s="28"/>
      <c r="AF204" s="29"/>
      <c r="AG204" s="28"/>
      <c r="AH204" s="28"/>
      <c r="AI204" s="28"/>
      <c r="AJ204" s="28"/>
      <c r="AK204" s="29"/>
      <c r="AL204" s="28"/>
      <c r="AM204" s="28"/>
      <c r="AN204" s="28"/>
      <c r="AO204" s="29"/>
      <c r="AP204" s="28"/>
      <c r="AQ204" s="28"/>
      <c r="AR204" s="28"/>
      <c r="AS204" s="29"/>
      <c r="AT204" s="28"/>
      <c r="AU204" s="28"/>
      <c r="AV204" s="28"/>
      <c r="AW204" s="29"/>
      <c r="AX204" s="28"/>
      <c r="AY204" s="28"/>
      <c r="AZ204" s="28"/>
      <c r="BA204" s="28"/>
      <c r="BB204" s="29"/>
      <c r="BC204" s="30"/>
      <c r="BD204" s="28"/>
      <c r="BE204" s="28"/>
      <c r="BF204" s="28"/>
    </row>
    <row r="205">
      <c r="A205" s="69" t="s">
        <v>448</v>
      </c>
      <c r="B205" s="141">
        <v>46101.0</v>
      </c>
      <c r="C205" s="141">
        <v>46108.0</v>
      </c>
      <c r="D205" s="69" t="s">
        <v>388</v>
      </c>
      <c r="E205" s="37" t="s">
        <v>277</v>
      </c>
      <c r="F205" s="69" t="s">
        <v>390</v>
      </c>
      <c r="G205" s="27"/>
      <c r="H205" s="28"/>
      <c r="I205" s="28"/>
      <c r="J205" s="29"/>
      <c r="K205" s="27"/>
      <c r="L205" s="28"/>
      <c r="M205" s="28"/>
      <c r="N205" s="28"/>
      <c r="O205" s="29"/>
      <c r="P205" s="27"/>
      <c r="Q205" s="28"/>
      <c r="R205" s="28"/>
      <c r="S205" s="29"/>
      <c r="T205" s="27"/>
      <c r="U205" s="28"/>
      <c r="V205" s="28"/>
      <c r="W205" s="28"/>
      <c r="X205" s="29"/>
      <c r="Y205" s="28"/>
      <c r="Z205" s="28"/>
      <c r="AA205" s="28"/>
      <c r="AB205" s="28"/>
      <c r="AC205" s="27"/>
      <c r="AD205" s="28"/>
      <c r="AE205" s="28"/>
      <c r="AF205" s="29"/>
      <c r="AG205" s="28"/>
      <c r="AH205" s="28"/>
      <c r="AI205" s="28"/>
      <c r="AJ205" s="28"/>
      <c r="AK205" s="29"/>
      <c r="AL205" s="28"/>
      <c r="AM205" s="28"/>
      <c r="AN205" s="28"/>
      <c r="AO205" s="29"/>
      <c r="AP205" s="28"/>
      <c r="AQ205" s="28"/>
      <c r="AR205" s="28"/>
      <c r="AS205" s="29"/>
      <c r="AT205" s="28"/>
      <c r="AU205" s="28"/>
      <c r="AV205" s="28"/>
      <c r="AW205" s="29"/>
      <c r="AX205" s="28"/>
      <c r="AY205" s="28"/>
      <c r="AZ205" s="28"/>
      <c r="BA205" s="28"/>
      <c r="BB205" s="29"/>
      <c r="BC205" s="30"/>
      <c r="BD205" s="28"/>
      <c r="BE205" s="28"/>
      <c r="BF205" s="28"/>
    </row>
    <row r="206">
      <c r="A206" s="98"/>
      <c r="B206" s="129"/>
      <c r="C206" s="123"/>
      <c r="D206" s="28"/>
      <c r="E206" s="37"/>
      <c r="F206" s="114"/>
      <c r="G206" s="27"/>
      <c r="H206" s="28"/>
      <c r="I206" s="28"/>
      <c r="J206" s="29"/>
      <c r="K206" s="27"/>
      <c r="L206" s="28"/>
      <c r="M206" s="28"/>
      <c r="N206" s="28"/>
      <c r="O206" s="29"/>
      <c r="P206" s="27"/>
      <c r="Q206" s="28"/>
      <c r="R206" s="28"/>
      <c r="S206" s="29"/>
      <c r="T206" s="27"/>
      <c r="U206" s="28"/>
      <c r="V206" s="28"/>
      <c r="W206" s="28"/>
      <c r="X206" s="29"/>
      <c r="Y206" s="28"/>
      <c r="Z206" s="28"/>
      <c r="AA206" s="28"/>
      <c r="AB206" s="28"/>
      <c r="AC206" s="27"/>
      <c r="AD206" s="28"/>
      <c r="AE206" s="28"/>
      <c r="AF206" s="29"/>
      <c r="AG206" s="28"/>
      <c r="AH206" s="28"/>
      <c r="AI206" s="28"/>
      <c r="AJ206" s="28"/>
      <c r="AK206" s="29"/>
      <c r="AL206" s="28"/>
      <c r="AM206" s="28"/>
      <c r="AN206" s="28"/>
      <c r="AO206" s="29"/>
      <c r="AP206" s="28"/>
      <c r="AQ206" s="28"/>
      <c r="AR206" s="28"/>
      <c r="AS206" s="29"/>
      <c r="AT206" s="28"/>
      <c r="AU206" s="28"/>
      <c r="AV206" s="28"/>
      <c r="AW206" s="29"/>
      <c r="AX206" s="28"/>
      <c r="AY206" s="28"/>
      <c r="AZ206" s="28"/>
      <c r="BA206" s="28"/>
      <c r="BB206" s="29"/>
      <c r="BC206" s="30"/>
      <c r="BD206" s="28"/>
      <c r="BE206" s="28"/>
      <c r="BF206" s="28"/>
    </row>
    <row r="207">
      <c r="A207" s="146" t="s">
        <v>449</v>
      </c>
      <c r="G207" s="27"/>
      <c r="H207" s="28"/>
      <c r="I207" s="28"/>
      <c r="J207" s="29"/>
      <c r="K207" s="27"/>
      <c r="L207" s="28"/>
      <c r="M207" s="28"/>
      <c r="N207" s="28"/>
      <c r="O207" s="29"/>
      <c r="P207" s="27"/>
      <c r="Q207" s="28"/>
      <c r="R207" s="28"/>
      <c r="S207" s="29"/>
      <c r="T207" s="27"/>
      <c r="U207" s="28"/>
      <c r="V207" s="28"/>
      <c r="W207" s="28"/>
      <c r="X207" s="29"/>
      <c r="Y207" s="28"/>
      <c r="Z207" s="28"/>
      <c r="AA207" s="28"/>
      <c r="AB207" s="28"/>
      <c r="AC207" s="27"/>
      <c r="AD207" s="28"/>
      <c r="AE207" s="28"/>
      <c r="AF207" s="29"/>
      <c r="AG207" s="28"/>
      <c r="AH207" s="28"/>
      <c r="AI207" s="28"/>
      <c r="AJ207" s="28"/>
      <c r="AK207" s="29"/>
      <c r="AL207" s="28"/>
      <c r="AM207" s="28"/>
      <c r="AN207" s="28"/>
      <c r="AO207" s="29"/>
      <c r="AP207" s="28"/>
      <c r="AQ207" s="28"/>
      <c r="AR207" s="28"/>
      <c r="AS207" s="29"/>
      <c r="AT207" s="28"/>
      <c r="AU207" s="28"/>
      <c r="AV207" s="28"/>
      <c r="AW207" s="29"/>
      <c r="AX207" s="28"/>
      <c r="AY207" s="28"/>
      <c r="AZ207" s="28"/>
      <c r="BA207" s="28"/>
      <c r="BB207" s="29"/>
      <c r="BC207" s="30"/>
      <c r="BD207" s="28"/>
      <c r="BE207" s="28"/>
      <c r="BF207" s="28"/>
    </row>
    <row r="208">
      <c r="A208" s="98"/>
      <c r="B208" s="129"/>
      <c r="C208" s="123"/>
      <c r="D208" s="28"/>
      <c r="E208" s="37" t="s">
        <v>277</v>
      </c>
      <c r="F208" s="114"/>
      <c r="G208" s="27"/>
      <c r="H208" s="28"/>
      <c r="I208" s="28"/>
      <c r="J208" s="29"/>
      <c r="K208" s="27"/>
      <c r="L208" s="28"/>
      <c r="M208" s="28"/>
      <c r="N208" s="28"/>
      <c r="O208" s="29"/>
      <c r="P208" s="27"/>
      <c r="Q208" s="28"/>
      <c r="R208" s="28"/>
      <c r="S208" s="29"/>
      <c r="T208" s="27"/>
      <c r="U208" s="28"/>
      <c r="V208" s="28"/>
      <c r="W208" s="28"/>
      <c r="X208" s="29"/>
      <c r="Y208" s="28"/>
      <c r="Z208" s="28"/>
      <c r="AA208" s="28"/>
      <c r="AB208" s="28"/>
      <c r="AC208" s="27"/>
      <c r="AD208" s="28"/>
      <c r="AE208" s="28"/>
      <c r="AF208" s="29"/>
      <c r="AG208" s="28"/>
      <c r="AH208" s="28"/>
      <c r="AI208" s="28"/>
      <c r="AJ208" s="28"/>
      <c r="AK208" s="29"/>
      <c r="AL208" s="28"/>
      <c r="AM208" s="28"/>
      <c r="AN208" s="28"/>
      <c r="AO208" s="29"/>
      <c r="AP208" s="28"/>
      <c r="AQ208" s="28"/>
      <c r="AR208" s="28"/>
      <c r="AS208" s="29"/>
      <c r="AT208" s="28"/>
      <c r="AU208" s="28"/>
      <c r="AV208" s="28"/>
      <c r="AW208" s="29"/>
      <c r="AX208" s="28"/>
      <c r="AY208" s="28"/>
      <c r="AZ208" s="28"/>
      <c r="BA208" s="28"/>
      <c r="BB208" s="29"/>
      <c r="BC208" s="30"/>
      <c r="BD208" s="28"/>
      <c r="BE208" s="28"/>
      <c r="BF208" s="28"/>
    </row>
    <row r="209">
      <c r="A209" s="98"/>
      <c r="B209" s="129"/>
      <c r="C209" s="123"/>
      <c r="D209" s="28"/>
      <c r="E209" s="37" t="s">
        <v>277</v>
      </c>
      <c r="F209" s="114"/>
      <c r="G209" s="27"/>
      <c r="H209" s="28"/>
      <c r="I209" s="28"/>
      <c r="J209" s="29"/>
      <c r="K209" s="27"/>
      <c r="L209" s="28"/>
      <c r="M209" s="28"/>
      <c r="N209" s="28"/>
      <c r="O209" s="29"/>
      <c r="P209" s="27"/>
      <c r="Q209" s="28"/>
      <c r="R209" s="28"/>
      <c r="S209" s="29"/>
      <c r="T209" s="27"/>
      <c r="U209" s="28"/>
      <c r="V209" s="28"/>
      <c r="W209" s="28"/>
      <c r="X209" s="29"/>
      <c r="Y209" s="28"/>
      <c r="Z209" s="28"/>
      <c r="AA209" s="28"/>
      <c r="AB209" s="28"/>
      <c r="AC209" s="27"/>
      <c r="AD209" s="28"/>
      <c r="AE209" s="28"/>
      <c r="AF209" s="29"/>
      <c r="AG209" s="28"/>
      <c r="AH209" s="28"/>
      <c r="AI209" s="28"/>
      <c r="AJ209" s="28"/>
      <c r="AK209" s="29"/>
      <c r="AL209" s="28"/>
      <c r="AM209" s="28"/>
      <c r="AN209" s="28"/>
      <c r="AO209" s="29"/>
      <c r="AP209" s="28"/>
      <c r="AQ209" s="28"/>
      <c r="AR209" s="28"/>
      <c r="AS209" s="29"/>
      <c r="AT209" s="28"/>
      <c r="AU209" s="28"/>
      <c r="AV209" s="28"/>
      <c r="AW209" s="29"/>
      <c r="AX209" s="28"/>
      <c r="AY209" s="28"/>
      <c r="AZ209" s="28"/>
      <c r="BA209" s="28"/>
      <c r="BB209" s="29"/>
      <c r="BC209" s="30"/>
      <c r="BD209" s="28"/>
      <c r="BE209" s="28"/>
      <c r="BF209" s="28"/>
    </row>
    <row r="210">
      <c r="A210" s="98"/>
      <c r="B210" s="129"/>
      <c r="C210" s="123"/>
      <c r="D210" s="28"/>
      <c r="E210" s="37" t="s">
        <v>277</v>
      </c>
      <c r="F210" s="114"/>
      <c r="G210" s="27"/>
      <c r="H210" s="28"/>
      <c r="I210" s="28"/>
      <c r="J210" s="29"/>
      <c r="K210" s="27"/>
      <c r="L210" s="28"/>
      <c r="M210" s="28"/>
      <c r="N210" s="28"/>
      <c r="O210" s="29"/>
      <c r="P210" s="27"/>
      <c r="Q210" s="28"/>
      <c r="R210" s="28"/>
      <c r="S210" s="29"/>
      <c r="T210" s="27"/>
      <c r="U210" s="28"/>
      <c r="V210" s="28"/>
      <c r="W210" s="28"/>
      <c r="X210" s="29"/>
      <c r="Y210" s="28"/>
      <c r="Z210" s="28"/>
      <c r="AA210" s="28"/>
      <c r="AB210" s="28"/>
      <c r="AC210" s="27"/>
      <c r="AD210" s="28"/>
      <c r="AE210" s="28"/>
      <c r="AF210" s="29"/>
      <c r="AG210" s="28"/>
      <c r="AH210" s="28"/>
      <c r="AI210" s="28"/>
      <c r="AJ210" s="28"/>
      <c r="AK210" s="29"/>
      <c r="AL210" s="28"/>
      <c r="AM210" s="28"/>
      <c r="AN210" s="28"/>
      <c r="AO210" s="29"/>
      <c r="AP210" s="28"/>
      <c r="AQ210" s="28"/>
      <c r="AR210" s="28"/>
      <c r="AS210" s="29"/>
      <c r="AT210" s="28"/>
      <c r="AU210" s="28"/>
      <c r="AV210" s="28"/>
      <c r="AW210" s="29"/>
      <c r="AX210" s="28"/>
      <c r="AY210" s="28"/>
      <c r="AZ210" s="28"/>
      <c r="BA210" s="28"/>
      <c r="BB210" s="29"/>
      <c r="BC210" s="30"/>
      <c r="BD210" s="28"/>
      <c r="BE210" s="28"/>
      <c r="BF210" s="28"/>
    </row>
    <row r="211">
      <c r="A211" s="98"/>
      <c r="B211" s="129"/>
      <c r="C211" s="123"/>
      <c r="D211" s="28"/>
      <c r="E211" s="37"/>
      <c r="F211" s="114"/>
      <c r="G211" s="27"/>
      <c r="H211" s="28"/>
      <c r="I211" s="28"/>
      <c r="J211" s="29"/>
      <c r="K211" s="27"/>
      <c r="L211" s="28"/>
      <c r="M211" s="28"/>
      <c r="N211" s="28"/>
      <c r="O211" s="29"/>
      <c r="P211" s="27"/>
      <c r="Q211" s="28"/>
      <c r="R211" s="28"/>
      <c r="S211" s="29"/>
      <c r="T211" s="27"/>
      <c r="U211" s="28"/>
      <c r="V211" s="28"/>
      <c r="W211" s="28"/>
      <c r="X211" s="29"/>
      <c r="Y211" s="28"/>
      <c r="Z211" s="28"/>
      <c r="AA211" s="28"/>
      <c r="AB211" s="28"/>
      <c r="AC211" s="27"/>
      <c r="AD211" s="28"/>
      <c r="AE211" s="28"/>
      <c r="AF211" s="29"/>
      <c r="AG211" s="28"/>
      <c r="AH211" s="28"/>
      <c r="AI211" s="28"/>
      <c r="AJ211" s="28"/>
      <c r="AK211" s="29"/>
      <c r="AL211" s="28"/>
      <c r="AM211" s="28"/>
      <c r="AN211" s="28"/>
      <c r="AO211" s="29"/>
      <c r="AP211" s="28"/>
      <c r="AQ211" s="28"/>
      <c r="AR211" s="28"/>
      <c r="AS211" s="29"/>
      <c r="AT211" s="28"/>
      <c r="AU211" s="28"/>
      <c r="AV211" s="28"/>
      <c r="AW211" s="29"/>
      <c r="AX211" s="28"/>
      <c r="AY211" s="28"/>
      <c r="AZ211" s="28"/>
      <c r="BA211" s="28"/>
      <c r="BB211" s="29"/>
      <c r="BC211" s="30"/>
      <c r="BD211" s="28"/>
      <c r="BE211" s="28"/>
      <c r="BF211" s="28"/>
    </row>
    <row r="212" ht="51.0" customHeight="1">
      <c r="A212" s="154" t="s">
        <v>450</v>
      </c>
      <c r="G212" s="27"/>
      <c r="H212" s="28"/>
      <c r="I212" s="28"/>
      <c r="J212" s="29"/>
      <c r="K212" s="27"/>
      <c r="L212" s="28"/>
      <c r="M212" s="28"/>
      <c r="N212" s="28"/>
      <c r="O212" s="29"/>
      <c r="P212" s="27"/>
      <c r="Q212" s="28"/>
      <c r="R212" s="28"/>
      <c r="S212" s="29"/>
      <c r="T212" s="27"/>
      <c r="U212" s="28"/>
      <c r="V212" s="28"/>
      <c r="W212" s="28"/>
      <c r="X212" s="29"/>
      <c r="Y212" s="28"/>
      <c r="Z212" s="28"/>
      <c r="AA212" s="28"/>
      <c r="AB212" s="28"/>
      <c r="AC212" s="27"/>
      <c r="AD212" s="28"/>
      <c r="AE212" s="28"/>
      <c r="AF212" s="29"/>
      <c r="AG212" s="28"/>
      <c r="AH212" s="28"/>
      <c r="AI212" s="28"/>
      <c r="AJ212" s="28"/>
      <c r="AK212" s="29"/>
      <c r="AL212" s="28"/>
      <c r="AM212" s="28"/>
      <c r="AN212" s="28"/>
      <c r="AO212" s="29"/>
      <c r="AP212" s="28"/>
      <c r="AQ212" s="28"/>
      <c r="AR212" s="28"/>
      <c r="AS212" s="29"/>
      <c r="AT212" s="28"/>
      <c r="AU212" s="28"/>
      <c r="AV212" s="28"/>
      <c r="AW212" s="29"/>
      <c r="AX212" s="28"/>
      <c r="AY212" s="28"/>
      <c r="AZ212" s="28"/>
      <c r="BA212" s="28"/>
      <c r="BB212" s="29"/>
      <c r="BC212" s="30"/>
      <c r="BD212" s="28"/>
      <c r="BE212" s="28"/>
      <c r="BF212" s="28"/>
    </row>
    <row r="213">
      <c r="A213" s="155" t="s">
        <v>291</v>
      </c>
      <c r="G213" s="27"/>
      <c r="H213" s="28"/>
      <c r="I213" s="28"/>
      <c r="J213" s="29"/>
      <c r="K213" s="27"/>
      <c r="L213" s="28"/>
      <c r="M213" s="28"/>
      <c r="N213" s="28"/>
      <c r="O213" s="29"/>
      <c r="P213" s="27"/>
      <c r="Q213" s="28"/>
      <c r="R213" s="28"/>
      <c r="S213" s="29"/>
      <c r="T213" s="27"/>
      <c r="U213" s="28"/>
      <c r="V213" s="28"/>
      <c r="W213" s="28"/>
      <c r="X213" s="29"/>
      <c r="Y213" s="28"/>
      <c r="Z213" s="28"/>
      <c r="AA213" s="28"/>
      <c r="AB213" s="28"/>
      <c r="AC213" s="27"/>
      <c r="AD213" s="28"/>
      <c r="AE213" s="28"/>
      <c r="AF213" s="29"/>
      <c r="AG213" s="28"/>
      <c r="AH213" s="28"/>
      <c r="AI213" s="28"/>
      <c r="AJ213" s="28"/>
      <c r="AK213" s="29"/>
      <c r="AL213" s="28"/>
      <c r="AM213" s="28"/>
      <c r="AN213" s="28"/>
      <c r="AO213" s="29"/>
      <c r="AP213" s="28"/>
      <c r="AQ213" s="28"/>
      <c r="AR213" s="28"/>
      <c r="AS213" s="29"/>
      <c r="AT213" s="28"/>
      <c r="AU213" s="28"/>
      <c r="AV213" s="28"/>
      <c r="AW213" s="29"/>
      <c r="AX213" s="28"/>
      <c r="AY213" s="28"/>
      <c r="AZ213" s="28"/>
      <c r="BA213" s="28"/>
      <c r="BB213" s="29"/>
      <c r="BC213" s="30"/>
      <c r="BD213" s="28"/>
      <c r="BE213" s="28"/>
      <c r="BF213" s="28"/>
    </row>
    <row r="214">
      <c r="A214" s="101" t="s">
        <v>451</v>
      </c>
      <c r="B214" s="151" t="s">
        <v>452</v>
      </c>
      <c r="C214" s="156" t="s">
        <v>453</v>
      </c>
      <c r="D214" s="69" t="s">
        <v>454</v>
      </c>
      <c r="E214" s="98" t="s">
        <v>277</v>
      </c>
      <c r="F214" s="28"/>
      <c r="G214" s="27"/>
      <c r="H214" s="28"/>
      <c r="I214" s="28"/>
      <c r="J214" s="29"/>
      <c r="K214" s="27"/>
      <c r="L214" s="28"/>
      <c r="M214" s="28"/>
      <c r="N214" s="28"/>
      <c r="O214" s="29"/>
      <c r="P214" s="27"/>
      <c r="Q214" s="28"/>
      <c r="R214" s="28"/>
      <c r="S214" s="29"/>
      <c r="T214" s="27"/>
      <c r="U214" s="28"/>
      <c r="V214" s="28"/>
      <c r="W214" s="28"/>
      <c r="X214" s="29"/>
      <c r="Y214" s="28"/>
      <c r="Z214" s="28"/>
      <c r="AA214" s="28"/>
      <c r="AB214" s="28"/>
      <c r="AC214" s="27"/>
      <c r="AD214" s="28"/>
      <c r="AE214" s="28"/>
      <c r="AF214" s="29"/>
      <c r="AG214" s="28"/>
      <c r="AH214" s="28"/>
      <c r="AI214" s="28"/>
      <c r="AJ214" s="28"/>
      <c r="AK214" s="29"/>
      <c r="AL214" s="28"/>
      <c r="AM214" s="28"/>
      <c r="AN214" s="28"/>
      <c r="AO214" s="29"/>
      <c r="AP214" s="28"/>
      <c r="AQ214" s="28"/>
      <c r="AR214" s="28"/>
      <c r="AS214" s="29"/>
      <c r="AT214" s="28"/>
      <c r="AU214" s="28"/>
      <c r="AV214" s="28"/>
      <c r="AW214" s="29"/>
      <c r="AX214" s="28"/>
      <c r="AY214" s="28"/>
      <c r="AZ214" s="28"/>
      <c r="BA214" s="28"/>
      <c r="BB214" s="29"/>
      <c r="BC214" s="30"/>
      <c r="BD214" s="28"/>
      <c r="BE214" s="28"/>
      <c r="BF214" s="28"/>
    </row>
    <row r="215">
      <c r="A215" s="101" t="s">
        <v>455</v>
      </c>
      <c r="B215" s="153"/>
      <c r="C215" s="157"/>
      <c r="D215" s="28"/>
      <c r="E215" s="98" t="s">
        <v>277</v>
      </c>
      <c r="F215" s="69" t="s">
        <v>456</v>
      </c>
      <c r="G215" s="27"/>
      <c r="H215" s="28"/>
      <c r="I215" s="28"/>
      <c r="J215" s="29"/>
      <c r="K215" s="27"/>
      <c r="L215" s="28"/>
      <c r="M215" s="28"/>
      <c r="N215" s="28"/>
      <c r="O215" s="29"/>
      <c r="P215" s="27"/>
      <c r="Q215" s="28"/>
      <c r="R215" s="28"/>
      <c r="S215" s="29"/>
      <c r="T215" s="27"/>
      <c r="U215" s="28"/>
      <c r="V215" s="28"/>
      <c r="W215" s="28"/>
      <c r="X215" s="29"/>
      <c r="Y215" s="28"/>
      <c r="Z215" s="28"/>
      <c r="AA215" s="28"/>
      <c r="AB215" s="28"/>
      <c r="AC215" s="27"/>
      <c r="AD215" s="28"/>
      <c r="AE215" s="28"/>
      <c r="AF215" s="29"/>
      <c r="AG215" s="28"/>
      <c r="AH215" s="28"/>
      <c r="AI215" s="28"/>
      <c r="AJ215" s="28"/>
      <c r="AK215" s="29"/>
      <c r="AL215" s="28"/>
      <c r="AM215" s="28"/>
      <c r="AN215" s="28"/>
      <c r="AO215" s="29"/>
      <c r="AP215" s="28"/>
      <c r="AQ215" s="28"/>
      <c r="AR215" s="28"/>
      <c r="AS215" s="29"/>
      <c r="AT215" s="28"/>
      <c r="AU215" s="28"/>
      <c r="AV215" s="28"/>
      <c r="AW215" s="29"/>
      <c r="AX215" s="28"/>
      <c r="AY215" s="28"/>
      <c r="AZ215" s="28"/>
      <c r="BA215" s="28"/>
      <c r="BB215" s="29"/>
      <c r="BC215" s="30"/>
      <c r="BD215" s="28"/>
      <c r="BE215" s="28"/>
      <c r="BF215" s="28"/>
    </row>
    <row r="216">
      <c r="A216" s="101" t="s">
        <v>457</v>
      </c>
      <c r="B216" s="69" t="s">
        <v>458</v>
      </c>
      <c r="C216" s="158" t="s">
        <v>459</v>
      </c>
      <c r="D216" s="69" t="s">
        <v>460</v>
      </c>
      <c r="E216" s="69" t="s">
        <v>277</v>
      </c>
      <c r="F216" s="69" t="s">
        <v>461</v>
      </c>
      <c r="G216" s="27"/>
      <c r="H216" s="28"/>
      <c r="I216" s="28"/>
      <c r="J216" s="29"/>
      <c r="K216" s="27"/>
      <c r="L216" s="28"/>
      <c r="M216" s="28"/>
      <c r="N216" s="28"/>
      <c r="O216" s="29"/>
      <c r="P216" s="27"/>
      <c r="Q216" s="28"/>
      <c r="R216" s="28"/>
      <c r="S216" s="29"/>
      <c r="T216" s="27"/>
      <c r="U216" s="28"/>
      <c r="V216" s="28"/>
      <c r="W216" s="28"/>
      <c r="X216" s="29"/>
      <c r="Y216" s="28"/>
      <c r="Z216" s="28"/>
      <c r="AA216" s="28"/>
      <c r="AB216" s="28"/>
      <c r="AC216" s="27"/>
      <c r="AD216" s="28"/>
      <c r="AE216" s="28"/>
      <c r="AF216" s="29"/>
      <c r="AG216" s="28"/>
      <c r="AH216" s="28"/>
      <c r="AI216" s="28"/>
      <c r="AJ216" s="28"/>
      <c r="AK216" s="29"/>
      <c r="AL216" s="28"/>
      <c r="AM216" s="28"/>
      <c r="AN216" s="28"/>
      <c r="AO216" s="29"/>
      <c r="AP216" s="28"/>
      <c r="AQ216" s="28"/>
      <c r="AR216" s="28"/>
      <c r="AS216" s="29"/>
      <c r="AT216" s="28"/>
      <c r="AU216" s="28"/>
      <c r="AV216" s="28"/>
      <c r="AW216" s="29"/>
      <c r="AX216" s="28"/>
      <c r="AY216" s="28"/>
      <c r="AZ216" s="28"/>
      <c r="BA216" s="28"/>
      <c r="BB216" s="29"/>
      <c r="BC216" s="30"/>
      <c r="BD216" s="28"/>
      <c r="BE216" s="28"/>
      <c r="BF216" s="28"/>
    </row>
    <row r="217">
      <c r="A217" s="101" t="s">
        <v>462</v>
      </c>
      <c r="B217" s="69" t="s">
        <v>463</v>
      </c>
      <c r="C217" s="158" t="s">
        <v>459</v>
      </c>
      <c r="D217" s="69" t="s">
        <v>464</v>
      </c>
      <c r="E217" s="98" t="s">
        <v>277</v>
      </c>
      <c r="F217" s="69" t="s">
        <v>465</v>
      </c>
      <c r="G217" s="27"/>
      <c r="H217" s="28"/>
      <c r="I217" s="28"/>
      <c r="J217" s="29"/>
      <c r="K217" s="27"/>
      <c r="L217" s="28"/>
      <c r="M217" s="28"/>
      <c r="N217" s="28"/>
      <c r="O217" s="29"/>
      <c r="P217" s="27"/>
      <c r="Q217" s="28"/>
      <c r="R217" s="28"/>
      <c r="S217" s="29"/>
      <c r="T217" s="27"/>
      <c r="U217" s="28"/>
      <c r="V217" s="28"/>
      <c r="W217" s="28"/>
      <c r="X217" s="29"/>
      <c r="Y217" s="28"/>
      <c r="Z217" s="28"/>
      <c r="AA217" s="28"/>
      <c r="AB217" s="28"/>
      <c r="AC217" s="27"/>
      <c r="AD217" s="28"/>
      <c r="AE217" s="28"/>
      <c r="AF217" s="29"/>
      <c r="AG217" s="28"/>
      <c r="AH217" s="28"/>
      <c r="AI217" s="28"/>
      <c r="AJ217" s="28"/>
      <c r="AK217" s="29"/>
      <c r="AL217" s="28"/>
      <c r="AM217" s="28"/>
      <c r="AN217" s="28"/>
      <c r="AO217" s="29"/>
      <c r="AP217" s="28"/>
      <c r="AQ217" s="28"/>
      <c r="AR217" s="28"/>
      <c r="AS217" s="29"/>
      <c r="AT217" s="28"/>
      <c r="AU217" s="28"/>
      <c r="AV217" s="28"/>
      <c r="AW217" s="29"/>
      <c r="AX217" s="28"/>
      <c r="AY217" s="28"/>
      <c r="AZ217" s="28"/>
      <c r="BA217" s="28"/>
      <c r="BB217" s="29"/>
      <c r="BC217" s="30"/>
      <c r="BD217" s="28"/>
      <c r="BE217" s="28"/>
      <c r="BF217" s="28"/>
    </row>
    <row r="218">
      <c r="A218" s="159"/>
      <c r="B218" s="153"/>
      <c r="C218" s="157"/>
      <c r="D218" s="28"/>
      <c r="E218" s="98" t="s">
        <v>277</v>
      </c>
      <c r="F218" s="28"/>
      <c r="G218" s="27"/>
      <c r="H218" s="28"/>
      <c r="I218" s="28"/>
      <c r="J218" s="29"/>
      <c r="K218" s="27"/>
      <c r="L218" s="28"/>
      <c r="M218" s="28"/>
      <c r="N218" s="28"/>
      <c r="O218" s="29"/>
      <c r="P218" s="27"/>
      <c r="Q218" s="28"/>
      <c r="R218" s="28"/>
      <c r="S218" s="29"/>
      <c r="T218" s="27"/>
      <c r="U218" s="28"/>
      <c r="V218" s="28"/>
      <c r="W218" s="28"/>
      <c r="X218" s="29"/>
      <c r="Y218" s="28"/>
      <c r="Z218" s="28"/>
      <c r="AA218" s="28"/>
      <c r="AB218" s="28"/>
      <c r="AC218" s="27"/>
      <c r="AD218" s="28"/>
      <c r="AE218" s="28"/>
      <c r="AF218" s="29"/>
      <c r="AG218" s="28"/>
      <c r="AH218" s="28"/>
      <c r="AI218" s="28"/>
      <c r="AJ218" s="28"/>
      <c r="AK218" s="29"/>
      <c r="AL218" s="28"/>
      <c r="AM218" s="28"/>
      <c r="AN218" s="28"/>
      <c r="AO218" s="29"/>
      <c r="AP218" s="28"/>
      <c r="AQ218" s="28"/>
      <c r="AR218" s="28"/>
      <c r="AS218" s="29"/>
      <c r="AT218" s="28"/>
      <c r="AU218" s="28"/>
      <c r="AV218" s="28"/>
      <c r="AW218" s="29"/>
      <c r="AX218" s="28"/>
      <c r="AY218" s="28"/>
      <c r="AZ218" s="28"/>
      <c r="BA218" s="28"/>
      <c r="BB218" s="29"/>
      <c r="BC218" s="30"/>
      <c r="BD218" s="28"/>
      <c r="BE218" s="28"/>
      <c r="BF218" s="28"/>
    </row>
    <row r="219">
      <c r="A219" s="159"/>
      <c r="B219" s="153"/>
      <c r="C219" s="157"/>
      <c r="D219" s="28"/>
      <c r="E219" s="98" t="s">
        <v>277</v>
      </c>
      <c r="F219" s="28"/>
      <c r="G219" s="27"/>
      <c r="H219" s="28"/>
      <c r="I219" s="28"/>
      <c r="J219" s="29"/>
      <c r="K219" s="27"/>
      <c r="L219" s="28"/>
      <c r="M219" s="28"/>
      <c r="N219" s="28"/>
      <c r="O219" s="29"/>
      <c r="P219" s="27"/>
      <c r="Q219" s="28"/>
      <c r="R219" s="28"/>
      <c r="S219" s="29"/>
      <c r="T219" s="27"/>
      <c r="U219" s="28"/>
      <c r="V219" s="28"/>
      <c r="W219" s="28"/>
      <c r="X219" s="29"/>
      <c r="Y219" s="28"/>
      <c r="Z219" s="28"/>
      <c r="AA219" s="28"/>
      <c r="AB219" s="28"/>
      <c r="AC219" s="27"/>
      <c r="AD219" s="28"/>
      <c r="AE219" s="28"/>
      <c r="AF219" s="29"/>
      <c r="AG219" s="28"/>
      <c r="AH219" s="28"/>
      <c r="AI219" s="28"/>
      <c r="AJ219" s="28"/>
      <c r="AK219" s="29"/>
      <c r="AL219" s="28"/>
      <c r="AM219" s="28"/>
      <c r="AN219" s="28"/>
      <c r="AO219" s="29"/>
      <c r="AP219" s="28"/>
      <c r="AQ219" s="28"/>
      <c r="AR219" s="28"/>
      <c r="AS219" s="29"/>
      <c r="AT219" s="28"/>
      <c r="AU219" s="28"/>
      <c r="AV219" s="28"/>
      <c r="AW219" s="29"/>
      <c r="AX219" s="28"/>
      <c r="AY219" s="28"/>
      <c r="AZ219" s="28"/>
      <c r="BA219" s="28"/>
      <c r="BB219" s="29"/>
      <c r="BC219" s="30"/>
      <c r="BD219" s="28"/>
      <c r="BE219" s="28"/>
      <c r="BF219" s="28"/>
    </row>
    <row r="220">
      <c r="A220" s="98"/>
      <c r="B220" s="153"/>
      <c r="C220" s="157"/>
      <c r="D220" s="28"/>
      <c r="E220" s="98"/>
      <c r="F220" s="28"/>
      <c r="G220" s="27"/>
      <c r="H220" s="28"/>
      <c r="I220" s="28"/>
      <c r="J220" s="29"/>
      <c r="K220" s="27"/>
      <c r="L220" s="28"/>
      <c r="M220" s="28"/>
      <c r="N220" s="28"/>
      <c r="O220" s="29"/>
      <c r="P220" s="27"/>
      <c r="Q220" s="28"/>
      <c r="R220" s="28"/>
      <c r="S220" s="29"/>
      <c r="T220" s="27"/>
      <c r="U220" s="28"/>
      <c r="V220" s="28"/>
      <c r="W220" s="28"/>
      <c r="X220" s="29"/>
      <c r="Y220" s="28"/>
      <c r="Z220" s="28"/>
      <c r="AA220" s="28"/>
      <c r="AB220" s="28"/>
      <c r="AC220" s="27"/>
      <c r="AD220" s="28"/>
      <c r="AE220" s="28"/>
      <c r="AF220" s="29"/>
      <c r="AG220" s="28"/>
      <c r="AH220" s="28"/>
      <c r="AI220" s="28"/>
      <c r="AJ220" s="28"/>
      <c r="AK220" s="29"/>
      <c r="AL220" s="28"/>
      <c r="AM220" s="28"/>
      <c r="AN220" s="28"/>
      <c r="AO220" s="29"/>
      <c r="AP220" s="28"/>
      <c r="AQ220" s="28"/>
      <c r="AR220" s="28"/>
      <c r="AS220" s="29"/>
      <c r="AT220" s="28"/>
      <c r="AU220" s="28"/>
      <c r="AV220" s="28"/>
      <c r="AW220" s="29"/>
      <c r="AX220" s="28"/>
      <c r="AY220" s="28"/>
      <c r="AZ220" s="28"/>
      <c r="BA220" s="28"/>
      <c r="BB220" s="29"/>
      <c r="BC220" s="30"/>
      <c r="BD220" s="28"/>
      <c r="BE220" s="28"/>
      <c r="BF220" s="28"/>
    </row>
    <row r="221">
      <c r="A221" s="160" t="s">
        <v>466</v>
      </c>
      <c r="G221" s="27"/>
      <c r="H221" s="28"/>
      <c r="I221" s="28"/>
      <c r="J221" s="29"/>
      <c r="K221" s="27"/>
      <c r="L221" s="28"/>
      <c r="M221" s="28"/>
      <c r="N221" s="28"/>
      <c r="O221" s="29"/>
      <c r="P221" s="27"/>
      <c r="Q221" s="28"/>
      <c r="R221" s="28"/>
      <c r="S221" s="29"/>
      <c r="T221" s="27"/>
      <c r="U221" s="28"/>
      <c r="V221" s="28"/>
      <c r="W221" s="28"/>
      <c r="X221" s="29"/>
      <c r="Y221" s="28"/>
      <c r="Z221" s="28"/>
      <c r="AA221" s="28"/>
      <c r="AB221" s="28"/>
      <c r="AC221" s="27"/>
      <c r="AD221" s="28"/>
      <c r="AE221" s="28"/>
      <c r="AF221" s="29"/>
      <c r="AG221" s="28"/>
      <c r="AH221" s="28"/>
      <c r="AI221" s="28"/>
      <c r="AJ221" s="28"/>
      <c r="AK221" s="29"/>
      <c r="AL221" s="28"/>
      <c r="AM221" s="28"/>
      <c r="AN221" s="28"/>
      <c r="AO221" s="29"/>
      <c r="AP221" s="28"/>
      <c r="AQ221" s="28"/>
      <c r="AR221" s="28"/>
      <c r="AS221" s="29"/>
      <c r="AT221" s="28"/>
      <c r="AU221" s="28"/>
      <c r="AV221" s="28"/>
      <c r="AW221" s="29"/>
      <c r="AX221" s="28"/>
      <c r="AY221" s="28"/>
      <c r="AZ221" s="28"/>
      <c r="BA221" s="28"/>
      <c r="BB221" s="29"/>
      <c r="BC221" s="30"/>
      <c r="BD221" s="28"/>
      <c r="BE221" s="28"/>
      <c r="BF221" s="28"/>
    </row>
    <row r="222">
      <c r="A222" s="69" t="s">
        <v>467</v>
      </c>
      <c r="B222" s="37" t="s">
        <v>468</v>
      </c>
      <c r="C222" s="69" t="s">
        <v>469</v>
      </c>
      <c r="D222" s="69" t="s">
        <v>470</v>
      </c>
      <c r="E222" s="69" t="s">
        <v>300</v>
      </c>
      <c r="F222" s="69" t="s">
        <v>471</v>
      </c>
      <c r="G222" s="27"/>
      <c r="H222" s="28"/>
      <c r="I222" s="28"/>
      <c r="J222" s="29"/>
      <c r="K222" s="27"/>
      <c r="L222" s="28"/>
      <c r="M222" s="28"/>
      <c r="N222" s="28"/>
      <c r="O222" s="29"/>
      <c r="P222" s="27"/>
      <c r="Q222" s="28"/>
      <c r="R222" s="28"/>
      <c r="S222" s="29"/>
      <c r="T222" s="27"/>
      <c r="U222" s="28"/>
      <c r="V222" s="28"/>
      <c r="W222" s="28"/>
      <c r="X222" s="29"/>
      <c r="Y222" s="28"/>
      <c r="Z222" s="28"/>
      <c r="AA222" s="28"/>
      <c r="AB222" s="28"/>
      <c r="AC222" s="27"/>
      <c r="AD222" s="28"/>
      <c r="AE222" s="28"/>
      <c r="AF222" s="29"/>
      <c r="AG222" s="28"/>
      <c r="AH222" s="28"/>
      <c r="AI222" s="28"/>
      <c r="AJ222" s="28"/>
      <c r="AK222" s="29"/>
      <c r="AL222" s="28"/>
      <c r="AM222" s="28"/>
      <c r="AN222" s="28"/>
      <c r="AO222" s="29"/>
      <c r="AP222" s="28"/>
      <c r="AQ222" s="28"/>
      <c r="AR222" s="28"/>
      <c r="AS222" s="29"/>
      <c r="AT222" s="28"/>
      <c r="AU222" s="28"/>
      <c r="AV222" s="28"/>
      <c r="AW222" s="29"/>
      <c r="AX222" s="28"/>
      <c r="AY222" s="28"/>
      <c r="AZ222" s="28"/>
      <c r="BA222" s="28"/>
      <c r="BB222" s="29"/>
      <c r="BC222" s="30"/>
      <c r="BD222" s="28"/>
      <c r="BE222" s="28"/>
      <c r="BF222" s="28"/>
    </row>
    <row r="223">
      <c r="A223" s="69" t="s">
        <v>472</v>
      </c>
      <c r="B223" s="69" t="s">
        <v>473</v>
      </c>
      <c r="C223" s="69" t="s">
        <v>474</v>
      </c>
      <c r="D223" s="69" t="s">
        <v>470</v>
      </c>
      <c r="E223" s="98" t="s">
        <v>277</v>
      </c>
      <c r="F223" s="69" t="s">
        <v>475</v>
      </c>
      <c r="G223" s="27"/>
      <c r="H223" s="28"/>
      <c r="I223" s="28"/>
      <c r="J223" s="29"/>
      <c r="K223" s="27"/>
      <c r="L223" s="28"/>
      <c r="M223" s="28"/>
      <c r="N223" s="28"/>
      <c r="O223" s="29"/>
      <c r="P223" s="27"/>
      <c r="Q223" s="28"/>
      <c r="R223" s="28"/>
      <c r="S223" s="29"/>
      <c r="T223" s="27"/>
      <c r="U223" s="28"/>
      <c r="V223" s="28"/>
      <c r="W223" s="28"/>
      <c r="X223" s="29"/>
      <c r="Y223" s="28"/>
      <c r="Z223" s="28"/>
      <c r="AA223" s="28"/>
      <c r="AB223" s="28"/>
      <c r="AC223" s="27"/>
      <c r="AD223" s="28"/>
      <c r="AE223" s="28"/>
      <c r="AF223" s="29"/>
      <c r="AG223" s="28"/>
      <c r="AH223" s="28"/>
      <c r="AI223" s="28"/>
      <c r="AJ223" s="28"/>
      <c r="AK223" s="29"/>
      <c r="AL223" s="28"/>
      <c r="AM223" s="28"/>
      <c r="AN223" s="28"/>
      <c r="AO223" s="29"/>
      <c r="AP223" s="28"/>
      <c r="AQ223" s="28"/>
      <c r="AR223" s="28"/>
      <c r="AS223" s="29"/>
      <c r="AT223" s="28"/>
      <c r="AU223" s="28"/>
      <c r="AV223" s="28"/>
      <c r="AW223" s="29"/>
      <c r="AX223" s="28"/>
      <c r="AY223" s="28"/>
      <c r="AZ223" s="28"/>
      <c r="BA223" s="28"/>
      <c r="BB223" s="29"/>
      <c r="BC223" s="30"/>
      <c r="BD223" s="28"/>
      <c r="BE223" s="28"/>
      <c r="BF223" s="28"/>
    </row>
    <row r="224">
      <c r="A224" s="161" t="s">
        <v>476</v>
      </c>
      <c r="B224" s="69" t="s">
        <v>477</v>
      </c>
      <c r="C224" s="69" t="s">
        <v>478</v>
      </c>
      <c r="D224" s="69" t="s">
        <v>479</v>
      </c>
      <c r="E224" s="98" t="s">
        <v>277</v>
      </c>
      <c r="F224" s="69" t="s">
        <v>480</v>
      </c>
      <c r="G224" s="27"/>
      <c r="H224" s="28"/>
      <c r="I224" s="28"/>
      <c r="J224" s="29"/>
      <c r="K224" s="27"/>
      <c r="L224" s="28"/>
      <c r="M224" s="28"/>
      <c r="N224" s="28"/>
      <c r="O224" s="29"/>
      <c r="P224" s="27"/>
      <c r="Q224" s="28"/>
      <c r="R224" s="28"/>
      <c r="S224" s="29"/>
      <c r="T224" s="27"/>
      <c r="U224" s="28"/>
      <c r="V224" s="28"/>
      <c r="W224" s="28"/>
      <c r="X224" s="29"/>
      <c r="Y224" s="28"/>
      <c r="Z224" s="28"/>
      <c r="AA224" s="28"/>
      <c r="AB224" s="28"/>
      <c r="AC224" s="27"/>
      <c r="AD224" s="28"/>
      <c r="AE224" s="28"/>
      <c r="AF224" s="29"/>
      <c r="AG224" s="28"/>
      <c r="AH224" s="28"/>
      <c r="AI224" s="28"/>
      <c r="AJ224" s="28"/>
      <c r="AK224" s="29"/>
      <c r="AL224" s="28"/>
      <c r="AM224" s="28"/>
      <c r="AN224" s="28"/>
      <c r="AO224" s="29"/>
      <c r="AP224" s="28"/>
      <c r="AQ224" s="28"/>
      <c r="AR224" s="28"/>
      <c r="AS224" s="29"/>
      <c r="AT224" s="28"/>
      <c r="AU224" s="28"/>
      <c r="AV224" s="28"/>
      <c r="AW224" s="29"/>
      <c r="AX224" s="28"/>
      <c r="AY224" s="28"/>
      <c r="AZ224" s="28"/>
      <c r="BA224" s="28"/>
      <c r="BB224" s="29"/>
      <c r="BC224" s="30"/>
      <c r="BD224" s="28"/>
      <c r="BE224" s="28"/>
      <c r="BF224" s="28"/>
    </row>
    <row r="225">
      <c r="A225" s="69" t="s">
        <v>481</v>
      </c>
      <c r="B225" s="69" t="s">
        <v>469</v>
      </c>
      <c r="C225" s="158" t="s">
        <v>482</v>
      </c>
      <c r="D225" s="69" t="s">
        <v>479</v>
      </c>
      <c r="E225" s="98" t="s">
        <v>277</v>
      </c>
      <c r="F225" s="69" t="s">
        <v>483</v>
      </c>
      <c r="G225" s="27"/>
      <c r="H225" s="28"/>
      <c r="I225" s="28"/>
      <c r="J225" s="29"/>
      <c r="K225" s="27"/>
      <c r="L225" s="28"/>
      <c r="M225" s="28"/>
      <c r="N225" s="28"/>
      <c r="O225" s="29"/>
      <c r="P225" s="27"/>
      <c r="Q225" s="28"/>
      <c r="R225" s="28"/>
      <c r="S225" s="29"/>
      <c r="T225" s="27"/>
      <c r="U225" s="28"/>
      <c r="V225" s="28"/>
      <c r="W225" s="28"/>
      <c r="X225" s="29"/>
      <c r="Y225" s="28"/>
      <c r="Z225" s="28"/>
      <c r="AA225" s="28"/>
      <c r="AB225" s="28"/>
      <c r="AC225" s="27"/>
      <c r="AD225" s="28"/>
      <c r="AE225" s="28"/>
      <c r="AF225" s="29"/>
      <c r="AG225" s="28"/>
      <c r="AH225" s="28"/>
      <c r="AI225" s="28"/>
      <c r="AJ225" s="28"/>
      <c r="AK225" s="29"/>
      <c r="AL225" s="28"/>
      <c r="AM225" s="28"/>
      <c r="AN225" s="28"/>
      <c r="AO225" s="29"/>
      <c r="AP225" s="28"/>
      <c r="AQ225" s="28"/>
      <c r="AR225" s="28"/>
      <c r="AS225" s="29"/>
      <c r="AT225" s="28"/>
      <c r="AU225" s="28"/>
      <c r="AV225" s="28"/>
      <c r="AW225" s="29"/>
      <c r="AX225" s="28"/>
      <c r="AY225" s="28"/>
      <c r="AZ225" s="28"/>
      <c r="BA225" s="28"/>
      <c r="BB225" s="29"/>
      <c r="BC225" s="30"/>
      <c r="BD225" s="28"/>
      <c r="BE225" s="28"/>
      <c r="BF225" s="28"/>
    </row>
    <row r="226">
      <c r="A226" s="98"/>
      <c r="B226" s="153"/>
      <c r="C226" s="153"/>
      <c r="D226" s="28"/>
      <c r="E226" s="98"/>
      <c r="F226" s="28"/>
      <c r="G226" s="27"/>
      <c r="H226" s="28"/>
      <c r="I226" s="28"/>
      <c r="J226" s="29"/>
      <c r="K226" s="27"/>
      <c r="L226" s="28"/>
      <c r="M226" s="28"/>
      <c r="N226" s="28"/>
      <c r="O226" s="29"/>
      <c r="P226" s="27"/>
      <c r="Q226" s="28"/>
      <c r="R226" s="28"/>
      <c r="S226" s="29"/>
      <c r="T226" s="27"/>
      <c r="U226" s="28"/>
      <c r="V226" s="28"/>
      <c r="W226" s="28"/>
      <c r="X226" s="29"/>
      <c r="Y226" s="28"/>
      <c r="Z226" s="28"/>
      <c r="AA226" s="28"/>
      <c r="AB226" s="28"/>
      <c r="AC226" s="27"/>
      <c r="AD226" s="28"/>
      <c r="AE226" s="28"/>
      <c r="AF226" s="29"/>
      <c r="AG226" s="28"/>
      <c r="AH226" s="28"/>
      <c r="AI226" s="28"/>
      <c r="AJ226" s="28"/>
      <c r="AK226" s="29"/>
      <c r="AL226" s="28"/>
      <c r="AM226" s="28"/>
      <c r="AN226" s="28"/>
      <c r="AO226" s="29"/>
      <c r="AP226" s="28"/>
      <c r="AQ226" s="28"/>
      <c r="AR226" s="28"/>
      <c r="AS226" s="29"/>
      <c r="AT226" s="28"/>
      <c r="AU226" s="28"/>
      <c r="AV226" s="28"/>
      <c r="AW226" s="29"/>
      <c r="AX226" s="28"/>
      <c r="AY226" s="28"/>
      <c r="AZ226" s="28"/>
      <c r="BA226" s="28"/>
      <c r="BB226" s="29"/>
      <c r="BC226" s="30"/>
      <c r="BD226" s="28"/>
      <c r="BE226" s="28"/>
      <c r="BF226" s="28"/>
    </row>
    <row r="227">
      <c r="A227" s="160" t="s">
        <v>484</v>
      </c>
      <c r="G227" s="27"/>
      <c r="H227" s="28"/>
      <c r="I227" s="28"/>
      <c r="J227" s="29"/>
      <c r="K227" s="27"/>
      <c r="L227" s="28"/>
      <c r="M227" s="28"/>
      <c r="N227" s="28"/>
      <c r="O227" s="29"/>
      <c r="P227" s="27"/>
      <c r="Q227" s="28"/>
      <c r="R227" s="28"/>
      <c r="S227" s="29"/>
      <c r="T227" s="27"/>
      <c r="U227" s="28"/>
      <c r="V227" s="28"/>
      <c r="W227" s="28"/>
      <c r="X227" s="29"/>
      <c r="Y227" s="28"/>
      <c r="Z227" s="28"/>
      <c r="AA227" s="28"/>
      <c r="AB227" s="28"/>
      <c r="AC227" s="27"/>
      <c r="AD227" s="28"/>
      <c r="AE227" s="28"/>
      <c r="AF227" s="29"/>
      <c r="AG227" s="28"/>
      <c r="AH227" s="28"/>
      <c r="AI227" s="28"/>
      <c r="AJ227" s="28"/>
      <c r="AK227" s="29"/>
      <c r="AL227" s="28"/>
      <c r="AM227" s="28"/>
      <c r="AN227" s="28"/>
      <c r="AO227" s="29"/>
      <c r="AP227" s="28"/>
      <c r="AQ227" s="28"/>
      <c r="AR227" s="28"/>
      <c r="AS227" s="29"/>
      <c r="AT227" s="28"/>
      <c r="AU227" s="28"/>
      <c r="AV227" s="28"/>
      <c r="AW227" s="29"/>
      <c r="AX227" s="28"/>
      <c r="AY227" s="28"/>
      <c r="AZ227" s="28"/>
      <c r="BA227" s="28"/>
      <c r="BB227" s="29"/>
      <c r="BC227" s="30"/>
      <c r="BD227" s="28"/>
      <c r="BE227" s="28"/>
      <c r="BF227" s="28"/>
    </row>
    <row r="228">
      <c r="A228" s="69" t="s">
        <v>485</v>
      </c>
      <c r="B228" s="69" t="s">
        <v>463</v>
      </c>
      <c r="C228" s="69" t="s">
        <v>482</v>
      </c>
      <c r="D228" s="69" t="s">
        <v>486</v>
      </c>
      <c r="E228" s="98" t="s">
        <v>277</v>
      </c>
      <c r="F228" s="69" t="s">
        <v>487</v>
      </c>
      <c r="G228" s="27"/>
      <c r="H228" s="28"/>
      <c r="I228" s="28"/>
      <c r="J228" s="29"/>
      <c r="K228" s="27"/>
      <c r="L228" s="28"/>
      <c r="M228" s="28"/>
      <c r="N228" s="28"/>
      <c r="O228" s="29"/>
      <c r="P228" s="27"/>
      <c r="Q228" s="28"/>
      <c r="R228" s="28"/>
      <c r="S228" s="29"/>
      <c r="T228" s="27"/>
      <c r="U228" s="28"/>
      <c r="V228" s="28"/>
      <c r="W228" s="28"/>
      <c r="X228" s="29"/>
      <c r="Y228" s="28"/>
      <c r="Z228" s="28"/>
      <c r="AA228" s="28"/>
      <c r="AB228" s="28"/>
      <c r="AC228" s="27"/>
      <c r="AD228" s="28"/>
      <c r="AE228" s="28"/>
      <c r="AF228" s="29"/>
      <c r="AG228" s="28"/>
      <c r="AH228" s="28"/>
      <c r="AI228" s="28"/>
      <c r="AJ228" s="28"/>
      <c r="AK228" s="29"/>
      <c r="AL228" s="28"/>
      <c r="AM228" s="28"/>
      <c r="AN228" s="28"/>
      <c r="AO228" s="29"/>
      <c r="AP228" s="28"/>
      <c r="AQ228" s="28"/>
      <c r="AR228" s="28"/>
      <c r="AS228" s="29"/>
      <c r="AT228" s="28"/>
      <c r="AU228" s="28"/>
      <c r="AV228" s="28"/>
      <c r="AW228" s="29"/>
      <c r="AX228" s="28"/>
      <c r="AY228" s="28"/>
      <c r="AZ228" s="28"/>
      <c r="BA228" s="28"/>
      <c r="BB228" s="29"/>
      <c r="BC228" s="30"/>
      <c r="BD228" s="28"/>
      <c r="BE228" s="28"/>
      <c r="BF228" s="28"/>
    </row>
    <row r="229">
      <c r="A229" s="37" t="s">
        <v>488</v>
      </c>
      <c r="B229" s="37" t="s">
        <v>473</v>
      </c>
      <c r="C229" s="37" t="s">
        <v>489</v>
      </c>
      <c r="D229" s="37" t="s">
        <v>486</v>
      </c>
      <c r="E229" s="69" t="s">
        <v>300</v>
      </c>
      <c r="F229" s="37" t="s">
        <v>490</v>
      </c>
      <c r="G229" s="27"/>
      <c r="H229" s="28"/>
      <c r="I229" s="28"/>
      <c r="J229" s="29"/>
      <c r="K229" s="27"/>
      <c r="L229" s="28"/>
      <c r="M229" s="28"/>
      <c r="N229" s="28"/>
      <c r="O229" s="29"/>
      <c r="P229" s="27"/>
      <c r="Q229" s="28"/>
      <c r="R229" s="28"/>
      <c r="S229" s="29"/>
      <c r="T229" s="27"/>
      <c r="U229" s="28"/>
      <c r="V229" s="28"/>
      <c r="W229" s="28"/>
      <c r="X229" s="29"/>
      <c r="Y229" s="28"/>
      <c r="Z229" s="28"/>
      <c r="AA229" s="28"/>
      <c r="AB229" s="28"/>
      <c r="AC229" s="27"/>
      <c r="AD229" s="28"/>
      <c r="AE229" s="28"/>
      <c r="AF229" s="29"/>
      <c r="AG229" s="28"/>
      <c r="AH229" s="28"/>
      <c r="AI229" s="28"/>
      <c r="AJ229" s="28"/>
      <c r="AK229" s="29"/>
      <c r="AL229" s="28"/>
      <c r="AM229" s="28"/>
      <c r="AN229" s="28"/>
      <c r="AO229" s="29"/>
      <c r="AP229" s="28"/>
      <c r="AQ229" s="28"/>
      <c r="AR229" s="28"/>
      <c r="AS229" s="29"/>
      <c r="AT229" s="28"/>
      <c r="AU229" s="28"/>
      <c r="AV229" s="28"/>
      <c r="AW229" s="29"/>
      <c r="AX229" s="28"/>
      <c r="AY229" s="28"/>
      <c r="AZ229" s="28"/>
      <c r="BA229" s="28"/>
      <c r="BB229" s="29"/>
      <c r="BC229" s="30"/>
      <c r="BD229" s="28"/>
      <c r="BE229" s="28"/>
      <c r="BF229" s="28"/>
    </row>
    <row r="230">
      <c r="A230" s="69" t="s">
        <v>491</v>
      </c>
      <c r="B230" s="69" t="s">
        <v>492</v>
      </c>
      <c r="C230" s="158" t="s">
        <v>482</v>
      </c>
      <c r="D230" s="69" t="s">
        <v>486</v>
      </c>
      <c r="E230" s="98" t="s">
        <v>277</v>
      </c>
      <c r="F230" s="69" t="s">
        <v>475</v>
      </c>
      <c r="G230" s="27"/>
      <c r="H230" s="28"/>
      <c r="I230" s="28"/>
      <c r="J230" s="29"/>
      <c r="K230" s="27"/>
      <c r="L230" s="28"/>
      <c r="M230" s="28"/>
      <c r="N230" s="28"/>
      <c r="O230" s="29"/>
      <c r="P230" s="27"/>
      <c r="Q230" s="28"/>
      <c r="R230" s="28"/>
      <c r="S230" s="29"/>
      <c r="T230" s="27"/>
      <c r="U230" s="28"/>
      <c r="V230" s="28"/>
      <c r="W230" s="28"/>
      <c r="X230" s="29"/>
      <c r="Y230" s="28"/>
      <c r="Z230" s="28"/>
      <c r="AA230" s="28"/>
      <c r="AB230" s="28"/>
      <c r="AC230" s="27"/>
      <c r="AD230" s="28"/>
      <c r="AE230" s="28"/>
      <c r="AF230" s="29"/>
      <c r="AG230" s="28"/>
      <c r="AH230" s="28"/>
      <c r="AI230" s="28"/>
      <c r="AJ230" s="28"/>
      <c r="AK230" s="29"/>
      <c r="AL230" s="28"/>
      <c r="AM230" s="28"/>
      <c r="AN230" s="28"/>
      <c r="AO230" s="29"/>
      <c r="AP230" s="28"/>
      <c r="AQ230" s="28"/>
      <c r="AR230" s="28"/>
      <c r="AS230" s="29"/>
      <c r="AT230" s="28"/>
      <c r="AU230" s="28"/>
      <c r="AV230" s="28"/>
      <c r="AW230" s="29"/>
      <c r="AX230" s="28"/>
      <c r="AY230" s="28"/>
      <c r="AZ230" s="28"/>
      <c r="BA230" s="28"/>
      <c r="BB230" s="29"/>
      <c r="BC230" s="30"/>
      <c r="BD230" s="28"/>
      <c r="BE230" s="28"/>
      <c r="BF230" s="28"/>
    </row>
    <row r="231">
      <c r="A231" s="69" t="s">
        <v>493</v>
      </c>
      <c r="B231" s="69" t="s">
        <v>492</v>
      </c>
      <c r="C231" s="69" t="s">
        <v>482</v>
      </c>
      <c r="D231" s="69" t="s">
        <v>494</v>
      </c>
      <c r="E231" s="98" t="s">
        <v>277</v>
      </c>
      <c r="F231" s="69" t="s">
        <v>495</v>
      </c>
      <c r="G231" s="27"/>
      <c r="H231" s="28"/>
      <c r="I231" s="28"/>
      <c r="J231" s="29"/>
      <c r="K231" s="27"/>
      <c r="L231" s="28"/>
      <c r="M231" s="28"/>
      <c r="N231" s="28"/>
      <c r="O231" s="29"/>
      <c r="P231" s="27"/>
      <c r="Q231" s="28"/>
      <c r="R231" s="28"/>
      <c r="S231" s="29"/>
      <c r="T231" s="27"/>
      <c r="U231" s="28"/>
      <c r="V231" s="28"/>
      <c r="W231" s="28"/>
      <c r="X231" s="29"/>
      <c r="Y231" s="28"/>
      <c r="Z231" s="28"/>
      <c r="AA231" s="28"/>
      <c r="AB231" s="28"/>
      <c r="AC231" s="27"/>
      <c r="AD231" s="28"/>
      <c r="AE231" s="28"/>
      <c r="AF231" s="29"/>
      <c r="AG231" s="28"/>
      <c r="AH231" s="28"/>
      <c r="AI231" s="28"/>
      <c r="AJ231" s="28"/>
      <c r="AK231" s="29"/>
      <c r="AL231" s="28"/>
      <c r="AM231" s="28"/>
      <c r="AN231" s="28"/>
      <c r="AO231" s="29"/>
      <c r="AP231" s="28"/>
      <c r="AQ231" s="28"/>
      <c r="AR231" s="28"/>
      <c r="AS231" s="29"/>
      <c r="AT231" s="28"/>
      <c r="AU231" s="28"/>
      <c r="AV231" s="28"/>
      <c r="AW231" s="29"/>
      <c r="AX231" s="28"/>
      <c r="AY231" s="28"/>
      <c r="AZ231" s="28"/>
      <c r="BA231" s="28"/>
      <c r="BB231" s="29"/>
      <c r="BC231" s="30"/>
      <c r="BD231" s="28"/>
      <c r="BE231" s="28"/>
      <c r="BF231" s="28"/>
    </row>
    <row r="232">
      <c r="A232" s="69" t="s">
        <v>496</v>
      </c>
      <c r="B232" s="69" t="s">
        <v>492</v>
      </c>
      <c r="C232" s="69" t="s">
        <v>497</v>
      </c>
      <c r="D232" s="69" t="s">
        <v>470</v>
      </c>
      <c r="E232" s="69" t="s">
        <v>277</v>
      </c>
      <c r="F232" s="69" t="s">
        <v>498</v>
      </c>
      <c r="G232" s="27"/>
      <c r="H232" s="28"/>
      <c r="I232" s="28"/>
      <c r="J232" s="29"/>
      <c r="K232" s="27"/>
      <c r="L232" s="28"/>
      <c r="M232" s="28"/>
      <c r="N232" s="28"/>
      <c r="O232" s="29"/>
      <c r="P232" s="27"/>
      <c r="Q232" s="28"/>
      <c r="R232" s="28"/>
      <c r="S232" s="29"/>
      <c r="T232" s="27"/>
      <c r="U232" s="28"/>
      <c r="V232" s="28"/>
      <c r="W232" s="28"/>
      <c r="X232" s="29"/>
      <c r="Y232" s="28"/>
      <c r="Z232" s="28"/>
      <c r="AA232" s="28"/>
      <c r="AB232" s="28"/>
      <c r="AC232" s="27"/>
      <c r="AD232" s="28"/>
      <c r="AE232" s="28"/>
      <c r="AF232" s="29"/>
      <c r="AG232" s="28"/>
      <c r="AH232" s="28"/>
      <c r="AI232" s="28"/>
      <c r="AJ232" s="28"/>
      <c r="AK232" s="29"/>
      <c r="AL232" s="28"/>
      <c r="AM232" s="28"/>
      <c r="AN232" s="28"/>
      <c r="AO232" s="29"/>
      <c r="AP232" s="28"/>
      <c r="AQ232" s="28"/>
      <c r="AR232" s="28"/>
      <c r="AS232" s="29"/>
      <c r="AT232" s="28"/>
      <c r="AU232" s="28"/>
      <c r="AV232" s="28"/>
      <c r="AW232" s="29"/>
      <c r="AX232" s="28"/>
      <c r="AY232" s="28"/>
      <c r="AZ232" s="28"/>
      <c r="BA232" s="28"/>
      <c r="BB232" s="29"/>
      <c r="BC232" s="30"/>
      <c r="BD232" s="28"/>
      <c r="BE232" s="28"/>
      <c r="BF232" s="28"/>
    </row>
    <row r="233">
      <c r="A233" s="69" t="s">
        <v>499</v>
      </c>
      <c r="B233" s="69" t="s">
        <v>500</v>
      </c>
      <c r="C233" s="69" t="s">
        <v>482</v>
      </c>
      <c r="D233" s="69" t="s">
        <v>470</v>
      </c>
      <c r="E233" s="69" t="s">
        <v>277</v>
      </c>
      <c r="F233" s="69" t="s">
        <v>501</v>
      </c>
      <c r="G233" s="27"/>
      <c r="H233" s="28"/>
      <c r="I233" s="28"/>
      <c r="J233" s="29"/>
      <c r="K233" s="27"/>
      <c r="L233" s="28"/>
      <c r="M233" s="28"/>
      <c r="N233" s="28"/>
      <c r="O233" s="29"/>
      <c r="P233" s="27"/>
      <c r="Q233" s="28"/>
      <c r="R233" s="28"/>
      <c r="S233" s="29"/>
      <c r="T233" s="27"/>
      <c r="U233" s="28"/>
      <c r="V233" s="28"/>
      <c r="W233" s="28"/>
      <c r="X233" s="29"/>
      <c r="Y233" s="28"/>
      <c r="Z233" s="28"/>
      <c r="AA233" s="28"/>
      <c r="AB233" s="28"/>
      <c r="AC233" s="27"/>
      <c r="AD233" s="28"/>
      <c r="AE233" s="28"/>
      <c r="AF233" s="29"/>
      <c r="AG233" s="28"/>
      <c r="AH233" s="28"/>
      <c r="AI233" s="28"/>
      <c r="AJ233" s="28"/>
      <c r="AK233" s="29"/>
      <c r="AL233" s="28"/>
      <c r="AM233" s="28"/>
      <c r="AN233" s="28"/>
      <c r="AO233" s="29"/>
      <c r="AP233" s="28"/>
      <c r="AQ233" s="28"/>
      <c r="AR233" s="28"/>
      <c r="AS233" s="29"/>
      <c r="AT233" s="28"/>
      <c r="AU233" s="28"/>
      <c r="AV233" s="28"/>
      <c r="AW233" s="29"/>
      <c r="AX233" s="28"/>
      <c r="AY233" s="28"/>
      <c r="AZ233" s="28"/>
      <c r="BA233" s="28"/>
      <c r="BB233" s="29"/>
      <c r="BC233" s="30"/>
      <c r="BD233" s="28"/>
      <c r="BE233" s="28"/>
      <c r="BF233" s="28"/>
    </row>
    <row r="234">
      <c r="A234" s="69" t="s">
        <v>502</v>
      </c>
      <c r="B234" s="69" t="s">
        <v>482</v>
      </c>
      <c r="C234" s="69" t="s">
        <v>503</v>
      </c>
      <c r="D234" s="69" t="s">
        <v>470</v>
      </c>
      <c r="E234" s="69" t="s">
        <v>277</v>
      </c>
      <c r="F234" s="69" t="s">
        <v>504</v>
      </c>
      <c r="G234" s="27"/>
      <c r="H234" s="28"/>
      <c r="I234" s="28"/>
      <c r="J234" s="29"/>
      <c r="K234" s="27"/>
      <c r="L234" s="28"/>
      <c r="M234" s="28"/>
      <c r="N234" s="28"/>
      <c r="O234" s="29"/>
      <c r="P234" s="27"/>
      <c r="Q234" s="28"/>
      <c r="R234" s="28"/>
      <c r="S234" s="29"/>
      <c r="T234" s="27"/>
      <c r="U234" s="28"/>
      <c r="V234" s="28"/>
      <c r="W234" s="28"/>
      <c r="X234" s="29"/>
      <c r="Y234" s="28"/>
      <c r="Z234" s="28"/>
      <c r="AA234" s="28"/>
      <c r="AB234" s="28"/>
      <c r="AC234" s="27"/>
      <c r="AD234" s="28"/>
      <c r="AE234" s="28"/>
      <c r="AF234" s="29"/>
      <c r="AG234" s="28"/>
      <c r="AH234" s="28"/>
      <c r="AI234" s="28"/>
      <c r="AJ234" s="28"/>
      <c r="AK234" s="29"/>
      <c r="AL234" s="28"/>
      <c r="AM234" s="28"/>
      <c r="AN234" s="28"/>
      <c r="AO234" s="29"/>
      <c r="AP234" s="28"/>
      <c r="AQ234" s="28"/>
      <c r="AR234" s="28"/>
      <c r="AS234" s="29"/>
      <c r="AT234" s="28"/>
      <c r="AU234" s="28"/>
      <c r="AV234" s="28"/>
      <c r="AW234" s="29"/>
      <c r="AX234" s="28"/>
      <c r="AY234" s="28"/>
      <c r="AZ234" s="28"/>
      <c r="BA234" s="28"/>
      <c r="BB234" s="29"/>
      <c r="BC234" s="30"/>
      <c r="BD234" s="28"/>
      <c r="BE234" s="28"/>
      <c r="BF234" s="28"/>
    </row>
    <row r="235">
      <c r="A235" s="160" t="s">
        <v>505</v>
      </c>
      <c r="G235" s="27"/>
      <c r="H235" s="28"/>
      <c r="I235" s="28"/>
      <c r="J235" s="29"/>
      <c r="K235" s="27"/>
      <c r="L235" s="28"/>
      <c r="M235" s="28"/>
      <c r="N235" s="28"/>
      <c r="O235" s="29"/>
      <c r="P235" s="27"/>
      <c r="Q235" s="28"/>
      <c r="R235" s="28"/>
      <c r="S235" s="29"/>
      <c r="T235" s="27"/>
      <c r="U235" s="28"/>
      <c r="V235" s="28"/>
      <c r="W235" s="28"/>
      <c r="X235" s="29"/>
      <c r="Y235" s="28"/>
      <c r="Z235" s="28"/>
      <c r="AA235" s="28"/>
      <c r="AB235" s="28"/>
      <c r="AC235" s="27"/>
      <c r="AD235" s="28"/>
      <c r="AE235" s="28"/>
      <c r="AF235" s="29"/>
      <c r="AG235" s="28"/>
      <c r="AH235" s="28"/>
      <c r="AI235" s="28"/>
      <c r="AJ235" s="28"/>
      <c r="AK235" s="29"/>
      <c r="AL235" s="28"/>
      <c r="AM235" s="28"/>
      <c r="AN235" s="28"/>
      <c r="AO235" s="29"/>
      <c r="AP235" s="28"/>
      <c r="AQ235" s="28"/>
      <c r="AR235" s="28"/>
      <c r="AS235" s="29"/>
      <c r="AT235" s="28"/>
      <c r="AU235" s="28"/>
      <c r="AV235" s="28"/>
      <c r="AW235" s="29"/>
      <c r="AX235" s="28"/>
      <c r="AY235" s="28"/>
      <c r="AZ235" s="28"/>
      <c r="BA235" s="28"/>
      <c r="BB235" s="29"/>
      <c r="BC235" s="30"/>
      <c r="BD235" s="28"/>
      <c r="BE235" s="28"/>
      <c r="BF235" s="28"/>
    </row>
    <row r="236">
      <c r="A236" s="37" t="s">
        <v>506</v>
      </c>
      <c r="B236" s="37" t="s">
        <v>473</v>
      </c>
      <c r="C236" s="37" t="s">
        <v>507</v>
      </c>
      <c r="D236" s="69" t="s">
        <v>508</v>
      </c>
      <c r="E236" s="69" t="s">
        <v>297</v>
      </c>
      <c r="F236" s="37" t="s">
        <v>509</v>
      </c>
      <c r="G236" s="27"/>
      <c r="H236" s="28"/>
      <c r="I236" s="28"/>
      <c r="J236" s="29"/>
      <c r="K236" s="27"/>
      <c r="L236" s="28"/>
      <c r="M236" s="28"/>
      <c r="N236" s="28"/>
      <c r="O236" s="29"/>
      <c r="P236" s="27"/>
      <c r="Q236" s="28"/>
      <c r="R236" s="28"/>
      <c r="S236" s="29"/>
      <c r="T236" s="27"/>
      <c r="U236" s="28"/>
      <c r="V236" s="28"/>
      <c r="W236" s="28"/>
      <c r="X236" s="29"/>
      <c r="Y236" s="28"/>
      <c r="Z236" s="28"/>
      <c r="AA236" s="28"/>
      <c r="AB236" s="28"/>
      <c r="AC236" s="27"/>
      <c r="AD236" s="28"/>
      <c r="AE236" s="28"/>
      <c r="AF236" s="29"/>
      <c r="AG236" s="28"/>
      <c r="AH236" s="28"/>
      <c r="AI236" s="28"/>
      <c r="AJ236" s="28"/>
      <c r="AK236" s="29"/>
      <c r="AL236" s="28"/>
      <c r="AM236" s="28"/>
      <c r="AN236" s="28"/>
      <c r="AO236" s="29"/>
      <c r="AP236" s="28"/>
      <c r="AQ236" s="28"/>
      <c r="AR236" s="28"/>
      <c r="AS236" s="29"/>
      <c r="AT236" s="28"/>
      <c r="AU236" s="28"/>
      <c r="AV236" s="28"/>
      <c r="AW236" s="29"/>
      <c r="AX236" s="28"/>
      <c r="AY236" s="28"/>
      <c r="AZ236" s="28"/>
      <c r="BA236" s="28"/>
      <c r="BB236" s="29"/>
      <c r="BC236" s="30"/>
      <c r="BD236" s="28"/>
      <c r="BE236" s="28"/>
      <c r="BF236" s="28"/>
    </row>
    <row r="237">
      <c r="A237" s="69" t="s">
        <v>510</v>
      </c>
      <c r="B237" s="69" t="s">
        <v>458</v>
      </c>
      <c r="C237" s="69" t="s">
        <v>511</v>
      </c>
      <c r="D237" s="69" t="s">
        <v>508</v>
      </c>
      <c r="E237" s="69" t="s">
        <v>300</v>
      </c>
      <c r="F237" s="69" t="s">
        <v>512</v>
      </c>
      <c r="G237" s="27"/>
      <c r="H237" s="28"/>
      <c r="I237" s="28"/>
      <c r="J237" s="29"/>
      <c r="K237" s="27"/>
      <c r="L237" s="28"/>
      <c r="M237" s="28"/>
      <c r="N237" s="28"/>
      <c r="O237" s="29"/>
      <c r="P237" s="27"/>
      <c r="Q237" s="28"/>
      <c r="R237" s="28"/>
      <c r="S237" s="29"/>
      <c r="T237" s="27"/>
      <c r="U237" s="28"/>
      <c r="V237" s="28"/>
      <c r="W237" s="28"/>
      <c r="X237" s="29"/>
      <c r="Y237" s="28"/>
      <c r="Z237" s="28"/>
      <c r="AA237" s="28"/>
      <c r="AB237" s="28"/>
      <c r="AC237" s="27"/>
      <c r="AD237" s="28"/>
      <c r="AE237" s="28"/>
      <c r="AF237" s="29"/>
      <c r="AG237" s="28"/>
      <c r="AH237" s="28"/>
      <c r="AI237" s="28"/>
      <c r="AJ237" s="28"/>
      <c r="AK237" s="29"/>
      <c r="AL237" s="28"/>
      <c r="AM237" s="28"/>
      <c r="AN237" s="28"/>
      <c r="AO237" s="29"/>
      <c r="AP237" s="28"/>
      <c r="AQ237" s="28"/>
      <c r="AR237" s="28"/>
      <c r="AS237" s="29"/>
      <c r="AT237" s="28"/>
      <c r="AU237" s="28"/>
      <c r="AV237" s="28"/>
      <c r="AW237" s="29"/>
      <c r="AX237" s="28"/>
      <c r="AY237" s="28"/>
      <c r="AZ237" s="28"/>
      <c r="BA237" s="28"/>
      <c r="BB237" s="29"/>
      <c r="BC237" s="30"/>
      <c r="BD237" s="28"/>
      <c r="BE237" s="28"/>
      <c r="BF237" s="28"/>
    </row>
    <row r="238">
      <c r="A238" s="69" t="s">
        <v>513</v>
      </c>
      <c r="B238" s="69" t="s">
        <v>458</v>
      </c>
      <c r="C238" s="69" t="s">
        <v>514</v>
      </c>
      <c r="D238" s="69" t="s">
        <v>508</v>
      </c>
      <c r="E238" s="69" t="s">
        <v>300</v>
      </c>
      <c r="F238" s="69" t="s">
        <v>515</v>
      </c>
      <c r="G238" s="27"/>
      <c r="H238" s="28"/>
      <c r="I238" s="28"/>
      <c r="J238" s="29"/>
      <c r="K238" s="27"/>
      <c r="L238" s="28"/>
      <c r="M238" s="28"/>
      <c r="N238" s="28"/>
      <c r="O238" s="29"/>
      <c r="P238" s="27"/>
      <c r="Q238" s="28"/>
      <c r="R238" s="28"/>
      <c r="S238" s="29"/>
      <c r="T238" s="27"/>
      <c r="U238" s="28"/>
      <c r="V238" s="28"/>
      <c r="W238" s="28"/>
      <c r="X238" s="29"/>
      <c r="Y238" s="28"/>
      <c r="Z238" s="28"/>
      <c r="AA238" s="28"/>
      <c r="AB238" s="28"/>
      <c r="AC238" s="27"/>
      <c r="AD238" s="28"/>
      <c r="AE238" s="28"/>
      <c r="AF238" s="29"/>
      <c r="AG238" s="28"/>
      <c r="AH238" s="28"/>
      <c r="AI238" s="28"/>
      <c r="AJ238" s="28"/>
      <c r="AK238" s="29"/>
      <c r="AL238" s="28"/>
      <c r="AM238" s="28"/>
      <c r="AN238" s="28"/>
      <c r="AO238" s="29"/>
      <c r="AP238" s="28"/>
      <c r="AQ238" s="28"/>
      <c r="AR238" s="28"/>
      <c r="AS238" s="29"/>
      <c r="AT238" s="28"/>
      <c r="AU238" s="28"/>
      <c r="AV238" s="28"/>
      <c r="AW238" s="29"/>
      <c r="AX238" s="28"/>
      <c r="AY238" s="28"/>
      <c r="AZ238" s="28"/>
      <c r="BA238" s="28"/>
      <c r="BB238" s="29"/>
      <c r="BC238" s="30"/>
      <c r="BD238" s="28"/>
      <c r="BE238" s="28"/>
      <c r="BF238" s="28"/>
    </row>
    <row r="239">
      <c r="A239" s="69" t="s">
        <v>516</v>
      </c>
      <c r="B239" s="69" t="s">
        <v>517</v>
      </c>
      <c r="C239" s="69" t="s">
        <v>514</v>
      </c>
      <c r="D239" s="69" t="s">
        <v>518</v>
      </c>
      <c r="E239" s="69" t="s">
        <v>300</v>
      </c>
      <c r="F239" s="26" t="s">
        <v>519</v>
      </c>
      <c r="G239" s="27"/>
      <c r="H239" s="28"/>
      <c r="I239" s="28"/>
      <c r="J239" s="29"/>
      <c r="K239" s="27"/>
      <c r="L239" s="28"/>
      <c r="M239" s="28"/>
      <c r="N239" s="28"/>
      <c r="O239" s="29"/>
      <c r="P239" s="27"/>
      <c r="Q239" s="28"/>
      <c r="R239" s="28"/>
      <c r="S239" s="29"/>
      <c r="T239" s="27"/>
      <c r="U239" s="28"/>
      <c r="V239" s="28"/>
      <c r="W239" s="28"/>
      <c r="X239" s="29"/>
      <c r="Y239" s="28"/>
      <c r="Z239" s="28"/>
      <c r="AA239" s="28"/>
      <c r="AB239" s="28"/>
      <c r="AC239" s="27"/>
      <c r="AD239" s="28"/>
      <c r="AE239" s="28"/>
      <c r="AF239" s="29"/>
      <c r="AG239" s="28"/>
      <c r="AH239" s="28"/>
      <c r="AI239" s="28"/>
      <c r="AJ239" s="28"/>
      <c r="AK239" s="29"/>
      <c r="AL239" s="28"/>
      <c r="AM239" s="28"/>
      <c r="AN239" s="28"/>
      <c r="AO239" s="29"/>
      <c r="AP239" s="28"/>
      <c r="AQ239" s="28"/>
      <c r="AR239" s="28"/>
      <c r="AS239" s="29"/>
      <c r="AT239" s="28"/>
      <c r="AU239" s="28"/>
      <c r="AV239" s="28"/>
      <c r="AW239" s="29"/>
      <c r="AX239" s="28"/>
      <c r="AY239" s="28"/>
      <c r="AZ239" s="28"/>
      <c r="BA239" s="28"/>
      <c r="BB239" s="29"/>
      <c r="BC239" s="30"/>
      <c r="BD239" s="28"/>
      <c r="BE239" s="28"/>
      <c r="BF239" s="28"/>
    </row>
    <row r="240">
      <c r="A240" s="69" t="s">
        <v>520</v>
      </c>
      <c r="B240" s="69" t="s">
        <v>458</v>
      </c>
      <c r="C240" s="69" t="s">
        <v>514</v>
      </c>
      <c r="D240" s="69" t="s">
        <v>508</v>
      </c>
      <c r="E240" s="69" t="s">
        <v>300</v>
      </c>
      <c r="F240" s="26" t="s">
        <v>521</v>
      </c>
      <c r="G240" s="27"/>
      <c r="H240" s="28"/>
      <c r="I240" s="28"/>
      <c r="J240" s="29"/>
      <c r="K240" s="27"/>
      <c r="L240" s="28"/>
      <c r="M240" s="28"/>
      <c r="N240" s="28"/>
      <c r="O240" s="29"/>
      <c r="P240" s="27"/>
      <c r="Q240" s="28"/>
      <c r="R240" s="28"/>
      <c r="S240" s="29"/>
      <c r="T240" s="27"/>
      <c r="U240" s="28"/>
      <c r="V240" s="28"/>
      <c r="W240" s="28"/>
      <c r="X240" s="29"/>
      <c r="Y240" s="28"/>
      <c r="Z240" s="28"/>
      <c r="AA240" s="28"/>
      <c r="AB240" s="28"/>
      <c r="AC240" s="27"/>
      <c r="AD240" s="28"/>
      <c r="AE240" s="28"/>
      <c r="AF240" s="29"/>
      <c r="AG240" s="28"/>
      <c r="AH240" s="28"/>
      <c r="AI240" s="28"/>
      <c r="AJ240" s="28"/>
      <c r="AK240" s="29"/>
      <c r="AL240" s="28"/>
      <c r="AM240" s="28"/>
      <c r="AN240" s="28"/>
      <c r="AO240" s="29"/>
      <c r="AP240" s="28"/>
      <c r="AQ240" s="28"/>
      <c r="AR240" s="28"/>
      <c r="AS240" s="29"/>
      <c r="AT240" s="28"/>
      <c r="AU240" s="28"/>
      <c r="AV240" s="28"/>
      <c r="AW240" s="29"/>
      <c r="AX240" s="28"/>
      <c r="AY240" s="28"/>
      <c r="AZ240" s="28"/>
      <c r="BA240" s="28"/>
      <c r="BB240" s="29"/>
      <c r="BC240" s="30"/>
      <c r="BD240" s="28"/>
      <c r="BE240" s="28"/>
      <c r="BF240" s="28"/>
    </row>
    <row r="241">
      <c r="A241" s="37" t="s">
        <v>522</v>
      </c>
      <c r="B241" s="37" t="s">
        <v>514</v>
      </c>
      <c r="C241" s="37" t="s">
        <v>523</v>
      </c>
      <c r="D241" s="69" t="s">
        <v>508</v>
      </c>
      <c r="E241" s="69" t="s">
        <v>277</v>
      </c>
      <c r="F241" s="37" t="s">
        <v>524</v>
      </c>
    </row>
    <row r="242">
      <c r="A242" s="69" t="s">
        <v>525</v>
      </c>
      <c r="B242" s="69" t="s">
        <v>469</v>
      </c>
      <c r="C242" s="69" t="s">
        <v>526</v>
      </c>
      <c r="D242" s="69" t="s">
        <v>527</v>
      </c>
      <c r="E242" s="98" t="s">
        <v>277</v>
      </c>
      <c r="F242" s="69" t="s">
        <v>524</v>
      </c>
      <c r="G242" s="27"/>
      <c r="H242" s="28"/>
      <c r="I242" s="28"/>
      <c r="J242" s="29"/>
      <c r="K242" s="27"/>
      <c r="L242" s="28"/>
      <c r="M242" s="28"/>
      <c r="N242" s="28"/>
      <c r="O242" s="29"/>
      <c r="P242" s="27"/>
      <c r="Q242" s="28"/>
      <c r="R242" s="28"/>
      <c r="S242" s="29"/>
      <c r="T242" s="27"/>
      <c r="U242" s="28"/>
      <c r="V242" s="28"/>
      <c r="W242" s="28"/>
      <c r="X242" s="29"/>
      <c r="Y242" s="28"/>
      <c r="Z242" s="28"/>
      <c r="AA242" s="28"/>
      <c r="AB242" s="28"/>
      <c r="AC242" s="27"/>
      <c r="AD242" s="28"/>
      <c r="AE242" s="28"/>
      <c r="AF242" s="29"/>
      <c r="AG242" s="28"/>
      <c r="AH242" s="28"/>
      <c r="AI242" s="28"/>
      <c r="AJ242" s="28"/>
      <c r="AK242" s="29"/>
      <c r="AL242" s="28"/>
      <c r="AM242" s="28"/>
      <c r="AN242" s="28"/>
      <c r="AO242" s="29"/>
      <c r="AP242" s="28"/>
      <c r="AQ242" s="28"/>
      <c r="AR242" s="28"/>
      <c r="AS242" s="29"/>
      <c r="AT242" s="28"/>
      <c r="AU242" s="28"/>
      <c r="AV242" s="28"/>
      <c r="AW242" s="29"/>
      <c r="AX242" s="28"/>
      <c r="AY242" s="28"/>
      <c r="AZ242" s="28"/>
      <c r="BA242" s="28"/>
      <c r="BB242" s="29"/>
      <c r="BC242" s="30"/>
      <c r="BD242" s="28"/>
      <c r="BE242" s="28"/>
      <c r="BF242" s="28"/>
    </row>
    <row r="243">
      <c r="A243" s="69" t="s">
        <v>528</v>
      </c>
      <c r="B243" s="69" t="s">
        <v>469</v>
      </c>
      <c r="C243" s="69" t="s">
        <v>526</v>
      </c>
      <c r="D243" s="69" t="s">
        <v>508</v>
      </c>
      <c r="E243" s="69" t="s">
        <v>277</v>
      </c>
      <c r="F243" s="69" t="s">
        <v>524</v>
      </c>
      <c r="G243" s="27"/>
      <c r="H243" s="28"/>
      <c r="I243" s="28"/>
      <c r="J243" s="29"/>
      <c r="K243" s="27"/>
      <c r="L243" s="28"/>
      <c r="M243" s="28"/>
      <c r="N243" s="28"/>
      <c r="O243" s="29"/>
      <c r="P243" s="27"/>
      <c r="Q243" s="28"/>
      <c r="R243" s="28"/>
      <c r="S243" s="29"/>
      <c r="T243" s="27"/>
      <c r="U243" s="28"/>
      <c r="V243" s="28"/>
      <c r="W243" s="28"/>
      <c r="X243" s="29"/>
      <c r="Y243" s="28"/>
      <c r="Z243" s="28"/>
      <c r="AA243" s="28"/>
      <c r="AB243" s="28"/>
      <c r="AC243" s="27"/>
      <c r="AD243" s="28"/>
      <c r="AE243" s="28"/>
      <c r="AF243" s="29"/>
      <c r="AG243" s="28"/>
      <c r="AH243" s="28"/>
      <c r="AI243" s="28"/>
      <c r="AJ243" s="28"/>
      <c r="AK243" s="29"/>
      <c r="AL243" s="28"/>
      <c r="AM243" s="28"/>
      <c r="AN243" s="28"/>
      <c r="AO243" s="29"/>
      <c r="AP243" s="28"/>
      <c r="AQ243" s="28"/>
      <c r="AR243" s="28"/>
      <c r="AS243" s="29"/>
      <c r="AT243" s="28"/>
      <c r="AU243" s="28"/>
      <c r="AV243" s="28"/>
      <c r="AW243" s="29"/>
      <c r="AX243" s="28"/>
      <c r="AY243" s="28"/>
      <c r="AZ243" s="28"/>
      <c r="BA243" s="28"/>
      <c r="BB243" s="29"/>
      <c r="BC243" s="30"/>
      <c r="BD243" s="28"/>
      <c r="BE243" s="28"/>
      <c r="BF243" s="28"/>
    </row>
    <row r="244">
      <c r="A244" s="69" t="s">
        <v>529</v>
      </c>
      <c r="B244" s="69" t="s">
        <v>526</v>
      </c>
      <c r="C244" s="69" t="s">
        <v>482</v>
      </c>
      <c r="D244" s="69" t="s">
        <v>527</v>
      </c>
      <c r="E244" s="69" t="s">
        <v>277</v>
      </c>
      <c r="F244" s="69"/>
      <c r="G244" s="27"/>
      <c r="H244" s="28"/>
      <c r="I244" s="28"/>
      <c r="J244" s="29"/>
      <c r="K244" s="27"/>
      <c r="L244" s="28"/>
      <c r="M244" s="28"/>
      <c r="N244" s="28"/>
      <c r="O244" s="29"/>
      <c r="P244" s="27"/>
      <c r="Q244" s="28"/>
      <c r="R244" s="28"/>
      <c r="S244" s="29"/>
      <c r="T244" s="27"/>
      <c r="U244" s="28"/>
      <c r="V244" s="28"/>
      <c r="W244" s="28"/>
      <c r="X244" s="29"/>
      <c r="Y244" s="28"/>
      <c r="Z244" s="28"/>
      <c r="AA244" s="28"/>
      <c r="AB244" s="28"/>
      <c r="AC244" s="27"/>
      <c r="AD244" s="28"/>
      <c r="AE244" s="28"/>
      <c r="AF244" s="29"/>
      <c r="AG244" s="28"/>
      <c r="AH244" s="28"/>
      <c r="AI244" s="28"/>
      <c r="AJ244" s="28"/>
      <c r="AK244" s="29"/>
      <c r="AL244" s="28"/>
      <c r="AM244" s="28"/>
      <c r="AN244" s="28"/>
      <c r="AO244" s="29"/>
      <c r="AP244" s="28"/>
      <c r="AQ244" s="28"/>
      <c r="AR244" s="28"/>
      <c r="AS244" s="29"/>
      <c r="AT244" s="28"/>
      <c r="AU244" s="28"/>
      <c r="AV244" s="28"/>
      <c r="AW244" s="29"/>
      <c r="AX244" s="28"/>
      <c r="AY244" s="28"/>
      <c r="AZ244" s="28"/>
      <c r="BA244" s="28"/>
      <c r="BB244" s="29"/>
      <c r="BC244" s="30"/>
      <c r="BD244" s="28"/>
      <c r="BE244" s="28"/>
      <c r="BF244" s="28"/>
    </row>
    <row r="245">
      <c r="A245" s="160" t="s">
        <v>530</v>
      </c>
      <c r="G245" s="27"/>
      <c r="H245" s="28"/>
      <c r="I245" s="28"/>
      <c r="J245" s="29"/>
      <c r="K245" s="27"/>
      <c r="L245" s="28"/>
      <c r="M245" s="28"/>
      <c r="N245" s="28"/>
      <c r="O245" s="29"/>
      <c r="P245" s="27"/>
      <c r="Q245" s="28"/>
      <c r="R245" s="28"/>
      <c r="S245" s="29"/>
      <c r="T245" s="27"/>
      <c r="U245" s="28"/>
      <c r="V245" s="28"/>
      <c r="W245" s="28"/>
      <c r="X245" s="29"/>
      <c r="Y245" s="28"/>
      <c r="Z245" s="28"/>
      <c r="AA245" s="28"/>
      <c r="AB245" s="28"/>
      <c r="AC245" s="27"/>
      <c r="AD245" s="28"/>
      <c r="AE245" s="28"/>
      <c r="AF245" s="29"/>
      <c r="AG245" s="28"/>
      <c r="AH245" s="28"/>
      <c r="AI245" s="28"/>
      <c r="AJ245" s="28"/>
      <c r="AK245" s="29"/>
      <c r="AL245" s="28"/>
      <c r="AM245" s="28"/>
      <c r="AN245" s="28"/>
      <c r="AO245" s="29"/>
      <c r="AP245" s="28"/>
      <c r="AQ245" s="28"/>
      <c r="AR245" s="28"/>
      <c r="AS245" s="29"/>
      <c r="AT245" s="28"/>
      <c r="AU245" s="28"/>
      <c r="AV245" s="28"/>
      <c r="AW245" s="29"/>
      <c r="AX245" s="28"/>
      <c r="AY245" s="28"/>
      <c r="AZ245" s="28"/>
      <c r="BA245" s="28"/>
      <c r="BB245" s="29"/>
      <c r="BC245" s="30"/>
      <c r="BD245" s="28"/>
      <c r="BE245" s="28"/>
      <c r="BF245" s="28"/>
    </row>
    <row r="246">
      <c r="A246" s="69" t="s">
        <v>531</v>
      </c>
      <c r="B246" s="69" t="s">
        <v>492</v>
      </c>
      <c r="C246" s="69" t="s">
        <v>477</v>
      </c>
      <c r="D246" s="69" t="s">
        <v>470</v>
      </c>
      <c r="E246" s="98" t="s">
        <v>277</v>
      </c>
      <c r="F246" s="28"/>
      <c r="G246" s="27"/>
      <c r="H246" s="28"/>
      <c r="I246" s="28"/>
      <c r="J246" s="29"/>
      <c r="K246" s="27"/>
      <c r="L246" s="28"/>
      <c r="M246" s="28"/>
      <c r="N246" s="28"/>
      <c r="O246" s="29"/>
      <c r="P246" s="27"/>
      <c r="Q246" s="28"/>
      <c r="R246" s="28"/>
      <c r="S246" s="29"/>
      <c r="T246" s="27"/>
      <c r="U246" s="28"/>
      <c r="V246" s="28"/>
      <c r="W246" s="28"/>
      <c r="X246" s="29"/>
      <c r="Y246" s="28"/>
      <c r="Z246" s="28"/>
      <c r="AA246" s="28"/>
      <c r="AB246" s="28"/>
      <c r="AC246" s="27"/>
      <c r="AD246" s="28"/>
      <c r="AE246" s="28"/>
      <c r="AF246" s="29"/>
      <c r="AG246" s="28"/>
      <c r="AH246" s="28"/>
      <c r="AI246" s="28"/>
      <c r="AJ246" s="28"/>
      <c r="AK246" s="29"/>
      <c r="AL246" s="28"/>
      <c r="AM246" s="28"/>
      <c r="AN246" s="28"/>
      <c r="AO246" s="29"/>
      <c r="AP246" s="28"/>
      <c r="AQ246" s="28"/>
      <c r="AR246" s="28"/>
      <c r="AS246" s="29"/>
      <c r="AT246" s="28"/>
      <c r="AU246" s="28"/>
      <c r="AV246" s="28"/>
      <c r="AW246" s="29"/>
      <c r="AX246" s="28"/>
      <c r="AY246" s="28"/>
      <c r="AZ246" s="28"/>
      <c r="BA246" s="28"/>
      <c r="BB246" s="29"/>
      <c r="BC246" s="30"/>
      <c r="BD246" s="28"/>
      <c r="BE246" s="28"/>
      <c r="BF246" s="28"/>
    </row>
    <row r="247">
      <c r="A247" s="69" t="s">
        <v>532</v>
      </c>
      <c r="B247" s="69" t="s">
        <v>477</v>
      </c>
      <c r="C247" s="158" t="s">
        <v>459</v>
      </c>
      <c r="D247" s="69" t="s">
        <v>470</v>
      </c>
      <c r="E247" s="98" t="s">
        <v>277</v>
      </c>
      <c r="F247" s="69" t="s">
        <v>533</v>
      </c>
      <c r="G247" s="27"/>
      <c r="H247" s="28"/>
      <c r="I247" s="28"/>
      <c r="J247" s="29"/>
      <c r="K247" s="27"/>
      <c r="L247" s="28"/>
      <c r="M247" s="28"/>
      <c r="N247" s="28"/>
      <c r="O247" s="29"/>
      <c r="P247" s="27"/>
      <c r="Q247" s="28"/>
      <c r="R247" s="28"/>
      <c r="S247" s="29"/>
      <c r="T247" s="27"/>
      <c r="U247" s="28"/>
      <c r="V247" s="28"/>
      <c r="W247" s="28"/>
      <c r="X247" s="29"/>
      <c r="Y247" s="28"/>
      <c r="Z247" s="28"/>
      <c r="AA247" s="28"/>
      <c r="AB247" s="28"/>
      <c r="AC247" s="27"/>
      <c r="AD247" s="28"/>
      <c r="AE247" s="28"/>
      <c r="AF247" s="29"/>
      <c r="AG247" s="28"/>
      <c r="AH247" s="28"/>
      <c r="AI247" s="28"/>
      <c r="AJ247" s="28"/>
      <c r="AK247" s="29"/>
      <c r="AL247" s="28"/>
      <c r="AM247" s="28"/>
      <c r="AN247" s="28"/>
      <c r="AO247" s="29"/>
      <c r="AP247" s="28"/>
      <c r="AQ247" s="28"/>
      <c r="AR247" s="28"/>
      <c r="AS247" s="29"/>
      <c r="AT247" s="28"/>
      <c r="AU247" s="28"/>
      <c r="AV247" s="28"/>
      <c r="AW247" s="29"/>
      <c r="AX247" s="28"/>
      <c r="AY247" s="28"/>
      <c r="AZ247" s="28"/>
      <c r="BA247" s="28"/>
      <c r="BB247" s="29"/>
      <c r="BC247" s="30"/>
      <c r="BD247" s="28"/>
      <c r="BE247" s="28"/>
      <c r="BF247" s="28"/>
    </row>
    <row r="248">
      <c r="A248" s="69" t="s">
        <v>534</v>
      </c>
      <c r="B248" s="69" t="s">
        <v>535</v>
      </c>
      <c r="C248" s="69" t="s">
        <v>469</v>
      </c>
      <c r="D248" s="69" t="s">
        <v>470</v>
      </c>
      <c r="E248" s="69" t="s">
        <v>300</v>
      </c>
      <c r="F248" s="69" t="s">
        <v>536</v>
      </c>
      <c r="G248" s="27"/>
      <c r="H248" s="28"/>
      <c r="I248" s="28"/>
      <c r="J248" s="29"/>
      <c r="K248" s="27"/>
      <c r="L248" s="28"/>
      <c r="M248" s="28"/>
      <c r="N248" s="28"/>
      <c r="O248" s="29"/>
      <c r="P248" s="27"/>
      <c r="Q248" s="28"/>
      <c r="R248" s="28"/>
      <c r="S248" s="29"/>
      <c r="T248" s="27"/>
      <c r="U248" s="28"/>
      <c r="V248" s="28"/>
      <c r="W248" s="28"/>
      <c r="X248" s="29"/>
      <c r="Y248" s="28"/>
      <c r="Z248" s="28"/>
      <c r="AA248" s="28"/>
      <c r="AB248" s="28"/>
      <c r="AC248" s="27"/>
      <c r="AD248" s="28"/>
      <c r="AE248" s="28"/>
      <c r="AF248" s="29"/>
      <c r="AG248" s="28"/>
      <c r="AH248" s="28"/>
      <c r="AI248" s="28"/>
      <c r="AJ248" s="28"/>
      <c r="AK248" s="29"/>
      <c r="AL248" s="28"/>
      <c r="AM248" s="28"/>
      <c r="AN248" s="28"/>
      <c r="AO248" s="29"/>
      <c r="AP248" s="28"/>
      <c r="AQ248" s="28"/>
      <c r="AR248" s="28"/>
      <c r="AS248" s="29"/>
      <c r="AT248" s="28"/>
      <c r="AU248" s="28"/>
      <c r="AV248" s="28"/>
      <c r="AW248" s="29"/>
      <c r="AX248" s="28"/>
      <c r="AY248" s="28"/>
      <c r="AZ248" s="28"/>
      <c r="BA248" s="28"/>
      <c r="BB248" s="29"/>
      <c r="BC248" s="30"/>
      <c r="BD248" s="28"/>
      <c r="BE248" s="28"/>
      <c r="BF248" s="28"/>
    </row>
    <row r="249">
      <c r="A249" s="69" t="s">
        <v>537</v>
      </c>
      <c r="B249" s="69" t="s">
        <v>535</v>
      </c>
      <c r="C249" s="158" t="s">
        <v>469</v>
      </c>
      <c r="D249" s="69" t="s">
        <v>470</v>
      </c>
      <c r="E249" s="69" t="s">
        <v>300</v>
      </c>
      <c r="F249" s="69" t="s">
        <v>538</v>
      </c>
      <c r="G249" s="27"/>
      <c r="H249" s="28"/>
      <c r="I249" s="28"/>
      <c r="J249" s="29"/>
      <c r="K249" s="27"/>
      <c r="L249" s="28"/>
      <c r="M249" s="28"/>
      <c r="N249" s="28"/>
      <c r="O249" s="29"/>
      <c r="P249" s="27"/>
      <c r="Q249" s="28"/>
      <c r="R249" s="28"/>
      <c r="S249" s="29"/>
      <c r="T249" s="27"/>
      <c r="U249" s="28"/>
      <c r="V249" s="28"/>
      <c r="W249" s="28"/>
      <c r="X249" s="29"/>
      <c r="Y249" s="28"/>
      <c r="Z249" s="28"/>
      <c r="AA249" s="28"/>
      <c r="AB249" s="28"/>
      <c r="AC249" s="27"/>
      <c r="AD249" s="28"/>
      <c r="AE249" s="28"/>
      <c r="AF249" s="29"/>
      <c r="AG249" s="28"/>
      <c r="AH249" s="28"/>
      <c r="AI249" s="28"/>
      <c r="AJ249" s="28"/>
      <c r="AK249" s="29"/>
      <c r="AL249" s="28"/>
      <c r="AM249" s="28"/>
      <c r="AN249" s="28"/>
      <c r="AO249" s="29"/>
      <c r="AP249" s="28"/>
      <c r="AQ249" s="28"/>
      <c r="AR249" s="28"/>
      <c r="AS249" s="29"/>
      <c r="AT249" s="28"/>
      <c r="AU249" s="28"/>
      <c r="AV249" s="28"/>
      <c r="AW249" s="29"/>
      <c r="AX249" s="28"/>
      <c r="AY249" s="28"/>
      <c r="AZ249" s="28"/>
      <c r="BA249" s="28"/>
      <c r="BB249" s="29"/>
      <c r="BC249" s="30"/>
      <c r="BD249" s="28"/>
      <c r="BE249" s="28"/>
      <c r="BF249" s="28"/>
    </row>
    <row r="250">
      <c r="A250" s="69" t="s">
        <v>539</v>
      </c>
      <c r="B250" s="69" t="s">
        <v>492</v>
      </c>
      <c r="C250" s="69" t="s">
        <v>482</v>
      </c>
      <c r="D250" s="69" t="s">
        <v>470</v>
      </c>
      <c r="E250" s="98" t="s">
        <v>277</v>
      </c>
      <c r="F250" s="69" t="s">
        <v>540</v>
      </c>
      <c r="G250" s="27"/>
      <c r="H250" s="28"/>
      <c r="I250" s="28"/>
      <c r="J250" s="29"/>
      <c r="K250" s="27"/>
      <c r="L250" s="28"/>
      <c r="M250" s="28"/>
      <c r="N250" s="28"/>
      <c r="O250" s="29"/>
      <c r="P250" s="27"/>
      <c r="Q250" s="28"/>
      <c r="R250" s="28"/>
      <c r="S250" s="29"/>
      <c r="T250" s="27"/>
      <c r="U250" s="28"/>
      <c r="V250" s="28"/>
      <c r="W250" s="28"/>
      <c r="X250" s="29"/>
      <c r="Y250" s="28"/>
      <c r="Z250" s="28"/>
      <c r="AA250" s="28"/>
      <c r="AB250" s="28"/>
      <c r="AC250" s="27"/>
      <c r="AD250" s="28"/>
      <c r="AE250" s="28"/>
      <c r="AF250" s="29"/>
      <c r="AG250" s="28"/>
      <c r="AH250" s="28"/>
      <c r="AI250" s="28"/>
      <c r="AJ250" s="28"/>
      <c r="AK250" s="29"/>
      <c r="AL250" s="28"/>
      <c r="AM250" s="28"/>
      <c r="AN250" s="28"/>
      <c r="AO250" s="29"/>
      <c r="AP250" s="28"/>
      <c r="AQ250" s="28"/>
      <c r="AR250" s="28"/>
      <c r="AS250" s="29"/>
      <c r="AT250" s="28"/>
      <c r="AU250" s="28"/>
      <c r="AV250" s="28"/>
      <c r="AW250" s="29"/>
      <c r="AX250" s="28"/>
      <c r="AY250" s="28"/>
      <c r="AZ250" s="28"/>
      <c r="BA250" s="28"/>
      <c r="BB250" s="29"/>
      <c r="BC250" s="30"/>
      <c r="BD250" s="28"/>
      <c r="BE250" s="28"/>
      <c r="BF250" s="28"/>
    </row>
    <row r="251">
      <c r="A251" s="69" t="s">
        <v>541</v>
      </c>
      <c r="B251" s="69" t="s">
        <v>492</v>
      </c>
      <c r="C251" s="69" t="s">
        <v>482</v>
      </c>
      <c r="D251" s="69" t="s">
        <v>470</v>
      </c>
      <c r="E251" s="98" t="s">
        <v>277</v>
      </c>
      <c r="F251" s="28"/>
      <c r="G251" s="27"/>
      <c r="H251" s="28"/>
      <c r="I251" s="28"/>
      <c r="J251" s="29"/>
      <c r="K251" s="27"/>
      <c r="L251" s="28"/>
      <c r="M251" s="28"/>
      <c r="N251" s="28"/>
      <c r="O251" s="29"/>
      <c r="P251" s="27"/>
      <c r="Q251" s="28"/>
      <c r="R251" s="28"/>
      <c r="S251" s="29"/>
      <c r="T251" s="27"/>
      <c r="U251" s="28"/>
      <c r="V251" s="28"/>
      <c r="W251" s="28"/>
      <c r="X251" s="29"/>
      <c r="Y251" s="28"/>
      <c r="Z251" s="28"/>
      <c r="AA251" s="28"/>
      <c r="AB251" s="28"/>
      <c r="AC251" s="27"/>
      <c r="AD251" s="28"/>
      <c r="AE251" s="28"/>
      <c r="AF251" s="29"/>
      <c r="AG251" s="28"/>
      <c r="AH251" s="28"/>
      <c r="AI251" s="28"/>
      <c r="AJ251" s="28"/>
      <c r="AK251" s="29"/>
      <c r="AL251" s="28"/>
      <c r="AM251" s="28"/>
      <c r="AN251" s="28"/>
      <c r="AO251" s="29"/>
      <c r="AP251" s="28"/>
      <c r="AQ251" s="28"/>
      <c r="AR251" s="28"/>
      <c r="AS251" s="29"/>
      <c r="AT251" s="28"/>
      <c r="AU251" s="28"/>
      <c r="AV251" s="28"/>
      <c r="AW251" s="29"/>
      <c r="AX251" s="28"/>
      <c r="AY251" s="28"/>
      <c r="AZ251" s="28"/>
      <c r="BA251" s="28"/>
      <c r="BB251" s="29"/>
      <c r="BC251" s="30"/>
      <c r="BD251" s="28"/>
      <c r="BE251" s="28"/>
      <c r="BF251" s="28"/>
    </row>
    <row r="252">
      <c r="A252" s="98"/>
      <c r="B252" s="153"/>
      <c r="C252" s="153"/>
      <c r="D252" s="28"/>
      <c r="E252" s="98"/>
      <c r="F252" s="28"/>
      <c r="G252" s="27"/>
      <c r="H252" s="28"/>
      <c r="I252" s="28"/>
      <c r="J252" s="29"/>
      <c r="K252" s="27"/>
      <c r="L252" s="28"/>
      <c r="M252" s="28"/>
      <c r="N252" s="28"/>
      <c r="O252" s="29"/>
      <c r="P252" s="27"/>
      <c r="Q252" s="28"/>
      <c r="R252" s="28"/>
      <c r="S252" s="29"/>
      <c r="T252" s="27"/>
      <c r="U252" s="28"/>
      <c r="V252" s="28"/>
      <c r="W252" s="28"/>
      <c r="X252" s="29"/>
      <c r="Y252" s="28"/>
      <c r="Z252" s="28"/>
      <c r="AA252" s="28"/>
      <c r="AB252" s="28"/>
      <c r="AC252" s="27"/>
      <c r="AD252" s="28"/>
      <c r="AE252" s="28"/>
      <c r="AF252" s="29"/>
      <c r="AG252" s="28"/>
      <c r="AH252" s="28"/>
      <c r="AI252" s="28"/>
      <c r="AJ252" s="28"/>
      <c r="AK252" s="29"/>
      <c r="AL252" s="28"/>
      <c r="AM252" s="28"/>
      <c r="AN252" s="28"/>
      <c r="AO252" s="29"/>
      <c r="AP252" s="28"/>
      <c r="AQ252" s="28"/>
      <c r="AR252" s="28"/>
      <c r="AS252" s="29"/>
      <c r="AT252" s="28"/>
      <c r="AU252" s="28"/>
      <c r="AV252" s="28"/>
      <c r="AW252" s="29"/>
      <c r="AX252" s="28"/>
      <c r="AY252" s="28"/>
      <c r="AZ252" s="28"/>
      <c r="BA252" s="28"/>
      <c r="BB252" s="29"/>
      <c r="BC252" s="30"/>
      <c r="BD252" s="28"/>
      <c r="BE252" s="28"/>
      <c r="BF252" s="28"/>
    </row>
    <row r="253">
      <c r="A253" s="160" t="s">
        <v>542</v>
      </c>
      <c r="G253" s="27"/>
      <c r="H253" s="28"/>
      <c r="I253" s="28"/>
      <c r="J253" s="29"/>
      <c r="K253" s="27"/>
      <c r="L253" s="28"/>
      <c r="M253" s="28"/>
      <c r="N253" s="28"/>
      <c r="O253" s="29"/>
      <c r="P253" s="27"/>
      <c r="Q253" s="28"/>
      <c r="R253" s="28"/>
      <c r="S253" s="29"/>
      <c r="T253" s="27"/>
      <c r="U253" s="28"/>
      <c r="V253" s="28"/>
      <c r="W253" s="28"/>
      <c r="X253" s="29"/>
      <c r="Y253" s="28"/>
      <c r="Z253" s="28"/>
      <c r="AA253" s="28"/>
      <c r="AB253" s="28"/>
      <c r="AC253" s="27"/>
      <c r="AD253" s="28"/>
      <c r="AE253" s="28"/>
      <c r="AF253" s="29"/>
      <c r="AG253" s="28"/>
      <c r="AH253" s="28"/>
      <c r="AI253" s="28"/>
      <c r="AJ253" s="28"/>
      <c r="AK253" s="29"/>
      <c r="AL253" s="28"/>
      <c r="AM253" s="28"/>
      <c r="AN253" s="28"/>
      <c r="AO253" s="29"/>
      <c r="AP253" s="28"/>
      <c r="AQ253" s="28"/>
      <c r="AR253" s="28"/>
      <c r="AS253" s="29"/>
      <c r="AT253" s="28"/>
      <c r="AU253" s="28"/>
      <c r="AV253" s="28"/>
      <c r="AW253" s="29"/>
      <c r="AX253" s="28"/>
      <c r="AY253" s="28"/>
      <c r="AZ253" s="28"/>
      <c r="BA253" s="28"/>
      <c r="BB253" s="29"/>
      <c r="BC253" s="30"/>
      <c r="BD253" s="28"/>
      <c r="BE253" s="28"/>
      <c r="BF253" s="28"/>
    </row>
    <row r="254">
      <c r="A254" s="69" t="s">
        <v>543</v>
      </c>
      <c r="B254" s="69" t="s">
        <v>517</v>
      </c>
      <c r="C254" s="69" t="s">
        <v>469</v>
      </c>
      <c r="D254" s="69" t="s">
        <v>544</v>
      </c>
      <c r="E254" s="69" t="s">
        <v>300</v>
      </c>
      <c r="F254" s="28"/>
      <c r="G254" s="27"/>
      <c r="H254" s="28"/>
      <c r="I254" s="28"/>
      <c r="J254" s="29"/>
      <c r="K254" s="27"/>
      <c r="L254" s="28"/>
      <c r="M254" s="28"/>
      <c r="N254" s="28"/>
      <c r="O254" s="29"/>
      <c r="P254" s="27"/>
      <c r="Q254" s="28"/>
      <c r="R254" s="28"/>
      <c r="S254" s="29"/>
      <c r="T254" s="27"/>
      <c r="U254" s="28"/>
      <c r="V254" s="28"/>
      <c r="W254" s="28"/>
      <c r="X254" s="29"/>
      <c r="Y254" s="28"/>
      <c r="Z254" s="28"/>
      <c r="AA254" s="28"/>
      <c r="AB254" s="28"/>
      <c r="AC254" s="27"/>
      <c r="AD254" s="28"/>
      <c r="AE254" s="28"/>
      <c r="AF254" s="29"/>
      <c r="AG254" s="28"/>
      <c r="AH254" s="28"/>
      <c r="AI254" s="28"/>
      <c r="AJ254" s="28"/>
      <c r="AK254" s="29"/>
      <c r="AL254" s="28"/>
      <c r="AM254" s="28"/>
      <c r="AN254" s="28"/>
      <c r="AO254" s="29"/>
      <c r="AP254" s="28"/>
      <c r="AQ254" s="28"/>
      <c r="AR254" s="28"/>
      <c r="AS254" s="29"/>
      <c r="AT254" s="28"/>
      <c r="AU254" s="28"/>
      <c r="AV254" s="28"/>
      <c r="AW254" s="29"/>
      <c r="AX254" s="28"/>
      <c r="AY254" s="28"/>
      <c r="AZ254" s="28"/>
      <c r="BA254" s="28"/>
      <c r="BB254" s="29"/>
      <c r="BC254" s="30"/>
      <c r="BD254" s="28"/>
      <c r="BE254" s="28"/>
      <c r="BF254" s="28"/>
    </row>
    <row r="255">
      <c r="A255" s="69" t="s">
        <v>545</v>
      </c>
      <c r="B255" s="69" t="s">
        <v>517</v>
      </c>
      <c r="C255" s="69" t="s">
        <v>469</v>
      </c>
      <c r="D255" s="69" t="s">
        <v>544</v>
      </c>
      <c r="E255" s="98" t="s">
        <v>277</v>
      </c>
      <c r="F255" s="69" t="s">
        <v>546</v>
      </c>
      <c r="G255" s="27"/>
      <c r="H255" s="28"/>
      <c r="I255" s="28"/>
      <c r="J255" s="29"/>
      <c r="K255" s="27"/>
      <c r="L255" s="28"/>
      <c r="M255" s="28"/>
      <c r="N255" s="28"/>
      <c r="O255" s="29"/>
      <c r="P255" s="27"/>
      <c r="Q255" s="28"/>
      <c r="R255" s="28"/>
      <c r="S255" s="29"/>
      <c r="T255" s="27"/>
      <c r="U255" s="28"/>
      <c r="V255" s="28"/>
      <c r="W255" s="28"/>
      <c r="X255" s="29"/>
      <c r="Y255" s="28"/>
      <c r="Z255" s="28"/>
      <c r="AA255" s="28"/>
      <c r="AB255" s="28"/>
      <c r="AC255" s="27"/>
      <c r="AD255" s="28"/>
      <c r="AE255" s="28"/>
      <c r="AF255" s="29"/>
      <c r="AG255" s="28"/>
      <c r="AH255" s="28"/>
      <c r="AI255" s="28"/>
      <c r="AJ255" s="28"/>
      <c r="AK255" s="29"/>
      <c r="AL255" s="28"/>
      <c r="AM255" s="28"/>
      <c r="AN255" s="28"/>
      <c r="AO255" s="29"/>
      <c r="AP255" s="28"/>
      <c r="AQ255" s="28"/>
      <c r="AR255" s="28"/>
      <c r="AS255" s="29"/>
      <c r="AT255" s="28"/>
      <c r="AU255" s="28"/>
      <c r="AV255" s="28"/>
      <c r="AW255" s="29"/>
      <c r="AX255" s="28"/>
      <c r="AY255" s="28"/>
      <c r="AZ255" s="28"/>
      <c r="BA255" s="28"/>
      <c r="BB255" s="29"/>
      <c r="BC255" s="30"/>
      <c r="BD255" s="28"/>
      <c r="BE255" s="28"/>
      <c r="BF255" s="28"/>
    </row>
    <row r="256">
      <c r="A256" s="69" t="s">
        <v>547</v>
      </c>
      <c r="B256" s="69" t="s">
        <v>548</v>
      </c>
      <c r="C256" s="69" t="s">
        <v>469</v>
      </c>
      <c r="D256" s="69" t="s">
        <v>544</v>
      </c>
      <c r="E256" s="69" t="s">
        <v>300</v>
      </c>
      <c r="F256" s="69" t="s">
        <v>549</v>
      </c>
      <c r="G256" s="27"/>
      <c r="H256" s="28"/>
      <c r="I256" s="28"/>
      <c r="J256" s="29"/>
      <c r="K256" s="27"/>
      <c r="L256" s="28"/>
      <c r="M256" s="28"/>
      <c r="N256" s="28"/>
      <c r="O256" s="29"/>
      <c r="P256" s="27"/>
      <c r="Q256" s="28"/>
      <c r="R256" s="28"/>
      <c r="S256" s="29"/>
      <c r="T256" s="27"/>
      <c r="U256" s="28"/>
      <c r="V256" s="28"/>
      <c r="W256" s="28"/>
      <c r="X256" s="29"/>
      <c r="Y256" s="28"/>
      <c r="Z256" s="28"/>
      <c r="AA256" s="28"/>
      <c r="AB256" s="28"/>
      <c r="AC256" s="27"/>
      <c r="AD256" s="28"/>
      <c r="AE256" s="28"/>
      <c r="AF256" s="29"/>
      <c r="AG256" s="28"/>
      <c r="AH256" s="28"/>
      <c r="AI256" s="28"/>
      <c r="AJ256" s="28"/>
      <c r="AK256" s="29"/>
      <c r="AL256" s="28"/>
      <c r="AM256" s="28"/>
      <c r="AN256" s="28"/>
      <c r="AO256" s="29"/>
      <c r="AP256" s="28"/>
      <c r="AQ256" s="28"/>
      <c r="AR256" s="28"/>
      <c r="AS256" s="29"/>
      <c r="AT256" s="28"/>
      <c r="AU256" s="28"/>
      <c r="AV256" s="28"/>
      <c r="AW256" s="29"/>
      <c r="AX256" s="28"/>
      <c r="AY256" s="28"/>
      <c r="AZ256" s="28"/>
      <c r="BA256" s="28"/>
      <c r="BB256" s="29"/>
      <c r="BC256" s="30"/>
      <c r="BD256" s="28"/>
      <c r="BE256" s="28"/>
      <c r="BF256" s="28"/>
    </row>
    <row r="257">
      <c r="A257" s="69" t="s">
        <v>550</v>
      </c>
      <c r="B257" s="69" t="s">
        <v>469</v>
      </c>
      <c r="C257" s="69" t="s">
        <v>474</v>
      </c>
      <c r="D257" s="69" t="s">
        <v>544</v>
      </c>
      <c r="E257" s="98" t="s">
        <v>277</v>
      </c>
      <c r="F257" s="69" t="s">
        <v>551</v>
      </c>
      <c r="G257" s="27"/>
      <c r="H257" s="28"/>
      <c r="I257" s="28"/>
      <c r="J257" s="29"/>
      <c r="K257" s="27"/>
      <c r="L257" s="28"/>
      <c r="M257" s="28"/>
      <c r="N257" s="28"/>
      <c r="O257" s="29"/>
      <c r="P257" s="27"/>
      <c r="Q257" s="28"/>
      <c r="R257" s="28"/>
      <c r="S257" s="29"/>
      <c r="T257" s="27"/>
      <c r="U257" s="28"/>
      <c r="V257" s="28"/>
      <c r="W257" s="28"/>
      <c r="X257" s="29"/>
      <c r="Y257" s="28"/>
      <c r="Z257" s="28"/>
      <c r="AA257" s="28"/>
      <c r="AB257" s="28"/>
      <c r="AC257" s="27"/>
      <c r="AD257" s="28"/>
      <c r="AE257" s="28"/>
      <c r="AF257" s="29"/>
      <c r="AG257" s="28"/>
      <c r="AH257" s="28"/>
      <c r="AI257" s="28"/>
      <c r="AJ257" s="28"/>
      <c r="AK257" s="29"/>
      <c r="AL257" s="28"/>
      <c r="AM257" s="28"/>
      <c r="AN257" s="28"/>
      <c r="AO257" s="29"/>
      <c r="AP257" s="28"/>
      <c r="AQ257" s="28"/>
      <c r="AR257" s="28"/>
      <c r="AS257" s="29"/>
      <c r="AT257" s="28"/>
      <c r="AU257" s="28"/>
      <c r="AV257" s="28"/>
      <c r="AW257" s="29"/>
      <c r="AX257" s="28"/>
      <c r="AY257" s="28"/>
      <c r="AZ257" s="28"/>
      <c r="BA257" s="28"/>
      <c r="BB257" s="29"/>
      <c r="BC257" s="30"/>
      <c r="BD257" s="28"/>
      <c r="BE257" s="28"/>
      <c r="BF257" s="28"/>
    </row>
    <row r="258">
      <c r="A258" s="69" t="s">
        <v>552</v>
      </c>
      <c r="B258" s="69" t="s">
        <v>469</v>
      </c>
      <c r="C258" s="69" t="s">
        <v>474</v>
      </c>
      <c r="D258" s="69" t="s">
        <v>544</v>
      </c>
      <c r="E258" s="69" t="s">
        <v>277</v>
      </c>
      <c r="F258" s="69" t="s">
        <v>553</v>
      </c>
      <c r="G258" s="27"/>
      <c r="H258" s="28"/>
      <c r="I258" s="28"/>
      <c r="J258" s="29"/>
      <c r="K258" s="27"/>
      <c r="L258" s="28"/>
      <c r="M258" s="28"/>
      <c r="N258" s="28"/>
      <c r="O258" s="29"/>
      <c r="P258" s="27"/>
      <c r="Q258" s="28"/>
      <c r="R258" s="28"/>
      <c r="S258" s="29"/>
      <c r="T258" s="27"/>
      <c r="U258" s="28"/>
      <c r="V258" s="28"/>
      <c r="W258" s="28"/>
      <c r="X258" s="29"/>
      <c r="Y258" s="28"/>
      <c r="Z258" s="28"/>
      <c r="AA258" s="28"/>
      <c r="AB258" s="28"/>
      <c r="AC258" s="27"/>
      <c r="AD258" s="28"/>
      <c r="AE258" s="28"/>
      <c r="AF258" s="29"/>
      <c r="AG258" s="28"/>
      <c r="AH258" s="28"/>
      <c r="AI258" s="28"/>
      <c r="AJ258" s="28"/>
      <c r="AK258" s="29"/>
      <c r="AL258" s="28"/>
      <c r="AM258" s="28"/>
      <c r="AN258" s="28"/>
      <c r="AO258" s="29"/>
      <c r="AP258" s="28"/>
      <c r="AQ258" s="28"/>
      <c r="AR258" s="28"/>
      <c r="AS258" s="29"/>
      <c r="AT258" s="28"/>
      <c r="AU258" s="28"/>
      <c r="AV258" s="28"/>
      <c r="AW258" s="29"/>
      <c r="AX258" s="28"/>
      <c r="AY258" s="28"/>
      <c r="AZ258" s="28"/>
      <c r="BA258" s="28"/>
      <c r="BB258" s="29"/>
      <c r="BC258" s="30"/>
      <c r="BD258" s="28"/>
      <c r="BE258" s="28"/>
      <c r="BF258" s="28"/>
    </row>
    <row r="259">
      <c r="A259" s="69" t="s">
        <v>554</v>
      </c>
      <c r="B259" s="69" t="s">
        <v>482</v>
      </c>
      <c r="C259" s="69" t="s">
        <v>555</v>
      </c>
      <c r="D259" s="69" t="s">
        <v>544</v>
      </c>
      <c r="E259" s="69" t="s">
        <v>277</v>
      </c>
      <c r="F259" s="69"/>
      <c r="G259" s="27"/>
      <c r="H259" s="28"/>
      <c r="I259" s="28"/>
      <c r="J259" s="29"/>
      <c r="K259" s="27"/>
      <c r="L259" s="28"/>
      <c r="M259" s="28"/>
      <c r="N259" s="28"/>
      <c r="O259" s="29"/>
      <c r="P259" s="27"/>
      <c r="Q259" s="28"/>
      <c r="R259" s="28"/>
      <c r="S259" s="29"/>
      <c r="T259" s="27"/>
      <c r="U259" s="28"/>
      <c r="V259" s="28"/>
      <c r="W259" s="28"/>
      <c r="X259" s="29"/>
      <c r="Y259" s="28"/>
      <c r="Z259" s="28"/>
      <c r="AA259" s="28"/>
      <c r="AB259" s="28"/>
      <c r="AC259" s="27"/>
      <c r="AD259" s="28"/>
      <c r="AE259" s="28"/>
      <c r="AF259" s="29"/>
      <c r="AG259" s="28"/>
      <c r="AH259" s="28"/>
      <c r="AI259" s="28"/>
      <c r="AJ259" s="28"/>
      <c r="AK259" s="29"/>
      <c r="AL259" s="28"/>
      <c r="AM259" s="28"/>
      <c r="AN259" s="28"/>
      <c r="AO259" s="29"/>
      <c r="AP259" s="28"/>
      <c r="AQ259" s="28"/>
      <c r="AR259" s="28"/>
      <c r="AS259" s="29"/>
      <c r="AT259" s="28"/>
      <c r="AU259" s="28"/>
      <c r="AV259" s="28"/>
      <c r="AW259" s="29"/>
      <c r="AX259" s="28"/>
      <c r="AY259" s="28"/>
      <c r="AZ259" s="28"/>
      <c r="BA259" s="28"/>
      <c r="BB259" s="29"/>
      <c r="BC259" s="30"/>
      <c r="BD259" s="28"/>
      <c r="BE259" s="28"/>
      <c r="BF259" s="28"/>
    </row>
    <row r="260">
      <c r="A260" s="69" t="s">
        <v>556</v>
      </c>
      <c r="B260" s="69" t="s">
        <v>469</v>
      </c>
      <c r="C260" s="69" t="s">
        <v>474</v>
      </c>
      <c r="D260" s="69" t="s">
        <v>544</v>
      </c>
      <c r="E260" s="69" t="s">
        <v>277</v>
      </c>
      <c r="F260" s="69"/>
      <c r="G260" s="27"/>
      <c r="H260" s="28"/>
      <c r="I260" s="28"/>
      <c r="J260" s="29"/>
      <c r="K260" s="27"/>
      <c r="L260" s="28"/>
      <c r="M260" s="28"/>
      <c r="N260" s="28"/>
      <c r="O260" s="29"/>
      <c r="P260" s="27"/>
      <c r="Q260" s="28"/>
      <c r="R260" s="28"/>
      <c r="S260" s="29"/>
      <c r="T260" s="27"/>
      <c r="U260" s="28"/>
      <c r="V260" s="28"/>
      <c r="W260" s="28"/>
      <c r="X260" s="29"/>
      <c r="Y260" s="28"/>
      <c r="Z260" s="28"/>
      <c r="AA260" s="28"/>
      <c r="AB260" s="28"/>
      <c r="AC260" s="27"/>
      <c r="AD260" s="28"/>
      <c r="AE260" s="28"/>
      <c r="AF260" s="29"/>
      <c r="AG260" s="28"/>
      <c r="AH260" s="28"/>
      <c r="AI260" s="28"/>
      <c r="AJ260" s="28"/>
      <c r="AK260" s="29"/>
      <c r="AL260" s="28"/>
      <c r="AM260" s="28"/>
      <c r="AN260" s="28"/>
      <c r="AO260" s="29"/>
      <c r="AP260" s="28"/>
      <c r="AQ260" s="28"/>
      <c r="AR260" s="28"/>
      <c r="AS260" s="29"/>
      <c r="AT260" s="28"/>
      <c r="AU260" s="28"/>
      <c r="AV260" s="28"/>
      <c r="AW260" s="29"/>
      <c r="AX260" s="28"/>
      <c r="AY260" s="28"/>
      <c r="AZ260" s="28"/>
      <c r="BA260" s="28"/>
      <c r="BB260" s="29"/>
      <c r="BC260" s="30"/>
      <c r="BD260" s="28"/>
      <c r="BE260" s="28"/>
      <c r="BF260" s="28"/>
    </row>
    <row r="261">
      <c r="A261" s="69" t="s">
        <v>557</v>
      </c>
      <c r="B261" s="69" t="s">
        <v>469</v>
      </c>
      <c r="C261" s="69" t="s">
        <v>482</v>
      </c>
      <c r="D261" s="69" t="s">
        <v>558</v>
      </c>
      <c r="E261" s="69" t="s">
        <v>277</v>
      </c>
      <c r="F261" s="69"/>
      <c r="G261" s="27"/>
      <c r="H261" s="28"/>
      <c r="I261" s="28"/>
      <c r="J261" s="29"/>
      <c r="K261" s="27"/>
      <c r="L261" s="28"/>
      <c r="M261" s="28"/>
      <c r="N261" s="28"/>
      <c r="O261" s="29"/>
      <c r="P261" s="27"/>
      <c r="Q261" s="28"/>
      <c r="R261" s="28"/>
      <c r="S261" s="29"/>
      <c r="T261" s="27"/>
      <c r="U261" s="28"/>
      <c r="V261" s="28"/>
      <c r="W261" s="28"/>
      <c r="X261" s="29"/>
      <c r="Y261" s="28"/>
      <c r="Z261" s="28"/>
      <c r="AA261" s="28"/>
      <c r="AB261" s="28"/>
      <c r="AC261" s="27"/>
      <c r="AD261" s="28"/>
      <c r="AE261" s="28"/>
      <c r="AF261" s="29"/>
      <c r="AG261" s="28"/>
      <c r="AH261" s="28"/>
      <c r="AI261" s="28"/>
      <c r="AJ261" s="28"/>
      <c r="AK261" s="29"/>
      <c r="AL261" s="28"/>
      <c r="AM261" s="28"/>
      <c r="AN261" s="28"/>
      <c r="AO261" s="29"/>
      <c r="AP261" s="28"/>
      <c r="AQ261" s="28"/>
      <c r="AR261" s="28"/>
      <c r="AS261" s="29"/>
      <c r="AT261" s="28"/>
      <c r="AU261" s="28"/>
      <c r="AV261" s="28"/>
      <c r="AW261" s="29"/>
      <c r="AX261" s="28"/>
      <c r="AY261" s="28"/>
      <c r="AZ261" s="28"/>
      <c r="BA261" s="28"/>
      <c r="BB261" s="29"/>
      <c r="BC261" s="30"/>
      <c r="BD261" s="28"/>
      <c r="BE261" s="28"/>
      <c r="BF261" s="28"/>
    </row>
    <row r="262">
      <c r="A262" s="69"/>
      <c r="B262" s="69"/>
      <c r="C262" s="69"/>
      <c r="D262" s="69"/>
      <c r="E262" s="69"/>
      <c r="F262" s="69"/>
      <c r="G262" s="27"/>
      <c r="H262" s="28"/>
      <c r="I262" s="28"/>
      <c r="J262" s="29"/>
      <c r="K262" s="27"/>
      <c r="L262" s="28"/>
      <c r="M262" s="28"/>
      <c r="N262" s="28"/>
      <c r="O262" s="29"/>
      <c r="P262" s="27"/>
      <c r="Q262" s="28"/>
      <c r="R262" s="28"/>
      <c r="S262" s="29"/>
      <c r="T262" s="27"/>
      <c r="U262" s="28"/>
      <c r="V262" s="28"/>
      <c r="W262" s="28"/>
      <c r="X262" s="29"/>
      <c r="Y262" s="28"/>
      <c r="Z262" s="28"/>
      <c r="AA262" s="28"/>
      <c r="AB262" s="28"/>
      <c r="AC262" s="27"/>
      <c r="AD262" s="28"/>
      <c r="AE262" s="28"/>
      <c r="AF262" s="29"/>
      <c r="AG262" s="28"/>
      <c r="AH262" s="28"/>
      <c r="AI262" s="28"/>
      <c r="AJ262" s="28"/>
      <c r="AK262" s="29"/>
      <c r="AL262" s="28"/>
      <c r="AM262" s="28"/>
      <c r="AN262" s="28"/>
      <c r="AO262" s="29"/>
      <c r="AP262" s="28"/>
      <c r="AQ262" s="28"/>
      <c r="AR262" s="28"/>
      <c r="AS262" s="29"/>
      <c r="AT262" s="28"/>
      <c r="AU262" s="28"/>
      <c r="AV262" s="28"/>
      <c r="AW262" s="29"/>
      <c r="AX262" s="28"/>
      <c r="AY262" s="28"/>
      <c r="AZ262" s="28"/>
      <c r="BA262" s="28"/>
      <c r="BB262" s="29"/>
      <c r="BC262" s="30"/>
      <c r="BD262" s="28"/>
      <c r="BE262" s="28"/>
      <c r="BF262" s="28"/>
    </row>
    <row r="263">
      <c r="A263" s="160" t="s">
        <v>559</v>
      </c>
      <c r="G263" s="27"/>
      <c r="H263" s="28"/>
      <c r="I263" s="28"/>
      <c r="J263" s="29"/>
      <c r="K263" s="27"/>
      <c r="L263" s="28"/>
      <c r="M263" s="28"/>
      <c r="N263" s="28"/>
      <c r="O263" s="29"/>
      <c r="P263" s="27"/>
      <c r="Q263" s="28"/>
      <c r="R263" s="28"/>
      <c r="S263" s="29"/>
      <c r="T263" s="27"/>
      <c r="U263" s="28"/>
      <c r="V263" s="28"/>
      <c r="W263" s="28"/>
      <c r="X263" s="29"/>
      <c r="Y263" s="28"/>
      <c r="Z263" s="28"/>
      <c r="AA263" s="28"/>
      <c r="AB263" s="28"/>
      <c r="AC263" s="27"/>
      <c r="AD263" s="28"/>
      <c r="AE263" s="28"/>
      <c r="AF263" s="29"/>
      <c r="AG263" s="28"/>
      <c r="AH263" s="28"/>
      <c r="AI263" s="28"/>
      <c r="AJ263" s="28"/>
      <c r="AK263" s="29"/>
      <c r="AL263" s="28"/>
      <c r="AM263" s="28"/>
      <c r="AN263" s="28"/>
      <c r="AO263" s="29"/>
      <c r="AP263" s="28"/>
      <c r="AQ263" s="28"/>
      <c r="AR263" s="28"/>
      <c r="AS263" s="29"/>
      <c r="AT263" s="28"/>
      <c r="AU263" s="28"/>
      <c r="AV263" s="28"/>
      <c r="AW263" s="29"/>
      <c r="AX263" s="28"/>
      <c r="AY263" s="28"/>
      <c r="AZ263" s="28"/>
      <c r="BA263" s="28"/>
      <c r="BB263" s="29"/>
      <c r="BC263" s="30"/>
      <c r="BD263" s="28"/>
      <c r="BE263" s="28"/>
      <c r="BF263" s="28"/>
    </row>
    <row r="264">
      <c r="A264" s="37" t="s">
        <v>560</v>
      </c>
      <c r="B264" s="37" t="s">
        <v>526</v>
      </c>
      <c r="C264" s="37" t="s">
        <v>482</v>
      </c>
      <c r="D264" s="69" t="s">
        <v>464</v>
      </c>
      <c r="E264" s="98" t="s">
        <v>277</v>
      </c>
      <c r="F264" s="158" t="s">
        <v>561</v>
      </c>
      <c r="G264" s="27"/>
      <c r="H264" s="28"/>
      <c r="I264" s="28"/>
      <c r="J264" s="29"/>
      <c r="K264" s="27"/>
      <c r="L264" s="28"/>
      <c r="M264" s="28"/>
      <c r="N264" s="28"/>
      <c r="O264" s="29"/>
      <c r="P264" s="27"/>
      <c r="Q264" s="28"/>
      <c r="R264" s="28"/>
      <c r="S264" s="29"/>
      <c r="T264" s="27"/>
      <c r="U264" s="28"/>
      <c r="V264" s="28"/>
      <c r="W264" s="28"/>
      <c r="X264" s="29"/>
      <c r="Y264" s="28"/>
      <c r="Z264" s="28"/>
      <c r="AA264" s="28"/>
      <c r="AB264" s="28"/>
      <c r="AC264" s="27"/>
      <c r="AD264" s="28"/>
      <c r="AE264" s="28"/>
      <c r="AF264" s="29"/>
      <c r="AG264" s="28"/>
      <c r="AH264" s="28"/>
      <c r="AI264" s="28"/>
      <c r="AJ264" s="28"/>
      <c r="AK264" s="29"/>
      <c r="AL264" s="28"/>
      <c r="AM264" s="28"/>
      <c r="AN264" s="28"/>
      <c r="AO264" s="29"/>
      <c r="AP264" s="28"/>
      <c r="AQ264" s="28"/>
      <c r="AR264" s="28"/>
      <c r="AS264" s="29"/>
      <c r="AT264" s="28"/>
      <c r="AU264" s="28"/>
      <c r="AV264" s="28"/>
      <c r="AW264" s="29"/>
      <c r="AX264" s="28"/>
      <c r="AY264" s="28"/>
      <c r="AZ264" s="28"/>
      <c r="BA264" s="28"/>
      <c r="BB264" s="29"/>
      <c r="BC264" s="30"/>
      <c r="BD264" s="28"/>
      <c r="BE264" s="28"/>
      <c r="BF264" s="28"/>
    </row>
    <row r="265">
      <c r="A265" s="69" t="s">
        <v>562</v>
      </c>
      <c r="B265" s="158" t="s">
        <v>526</v>
      </c>
      <c r="C265" s="158" t="s">
        <v>563</v>
      </c>
      <c r="D265" s="69" t="s">
        <v>464</v>
      </c>
      <c r="E265" s="98" t="s">
        <v>277</v>
      </c>
      <c r="F265" s="158" t="s">
        <v>561</v>
      </c>
      <c r="G265" s="27"/>
      <c r="H265" s="28"/>
      <c r="I265" s="28"/>
      <c r="J265" s="29"/>
      <c r="K265" s="27"/>
      <c r="L265" s="28"/>
      <c r="M265" s="28"/>
      <c r="N265" s="28"/>
      <c r="O265" s="29"/>
      <c r="P265" s="27"/>
      <c r="Q265" s="28"/>
      <c r="R265" s="28"/>
      <c r="S265" s="29"/>
      <c r="T265" s="27"/>
      <c r="U265" s="28"/>
      <c r="V265" s="28"/>
      <c r="W265" s="28"/>
      <c r="X265" s="29"/>
      <c r="Y265" s="28"/>
      <c r="Z265" s="28"/>
      <c r="AA265" s="28"/>
      <c r="AB265" s="28"/>
      <c r="AC265" s="27"/>
      <c r="AD265" s="28"/>
      <c r="AE265" s="28"/>
      <c r="AF265" s="29"/>
      <c r="AG265" s="28"/>
      <c r="AH265" s="28"/>
      <c r="AI265" s="28"/>
      <c r="AJ265" s="28"/>
      <c r="AK265" s="29"/>
      <c r="AL265" s="28"/>
      <c r="AM265" s="28"/>
      <c r="AN265" s="28"/>
      <c r="AO265" s="29"/>
      <c r="AP265" s="28"/>
      <c r="AQ265" s="28"/>
      <c r="AR265" s="28"/>
      <c r="AS265" s="29"/>
      <c r="AT265" s="28"/>
      <c r="AU265" s="28"/>
      <c r="AV265" s="28"/>
      <c r="AW265" s="29"/>
      <c r="AX265" s="28"/>
      <c r="AY265" s="28"/>
      <c r="AZ265" s="28"/>
      <c r="BA265" s="28"/>
      <c r="BB265" s="29"/>
      <c r="BC265" s="30"/>
      <c r="BD265" s="28"/>
      <c r="BE265" s="28"/>
      <c r="BF265" s="28"/>
    </row>
    <row r="266">
      <c r="A266" s="98"/>
      <c r="B266" s="157"/>
      <c r="C266" s="157"/>
      <c r="D266" s="28"/>
      <c r="E266" s="98"/>
      <c r="F266" s="162"/>
      <c r="G266" s="27"/>
      <c r="H266" s="28"/>
      <c r="I266" s="28"/>
      <c r="J266" s="29"/>
      <c r="K266" s="27"/>
      <c r="L266" s="28"/>
      <c r="M266" s="28"/>
      <c r="N266" s="28"/>
      <c r="O266" s="29"/>
      <c r="P266" s="27"/>
      <c r="Q266" s="28"/>
      <c r="R266" s="28"/>
      <c r="S266" s="29"/>
      <c r="T266" s="27"/>
      <c r="U266" s="28"/>
      <c r="V266" s="28"/>
      <c r="W266" s="28"/>
      <c r="X266" s="29"/>
      <c r="Y266" s="28"/>
      <c r="Z266" s="28"/>
      <c r="AA266" s="28"/>
      <c r="AB266" s="28"/>
      <c r="AC266" s="27"/>
      <c r="AD266" s="28"/>
      <c r="AE266" s="28"/>
      <c r="AF266" s="29"/>
      <c r="AG266" s="28"/>
      <c r="AH266" s="28"/>
      <c r="AI266" s="28"/>
      <c r="AJ266" s="28"/>
      <c r="AK266" s="29"/>
      <c r="AL266" s="28"/>
      <c r="AM266" s="28"/>
      <c r="AN266" s="28"/>
      <c r="AO266" s="29"/>
      <c r="AP266" s="28"/>
      <c r="AQ266" s="28"/>
      <c r="AR266" s="28"/>
      <c r="AS266" s="29"/>
      <c r="AT266" s="28"/>
      <c r="AU266" s="28"/>
      <c r="AV266" s="28"/>
      <c r="AW266" s="29"/>
      <c r="AX266" s="28"/>
      <c r="AY266" s="28"/>
      <c r="AZ266" s="28"/>
      <c r="BA266" s="28"/>
      <c r="BB266" s="29"/>
      <c r="BC266" s="30"/>
      <c r="BD266" s="28"/>
      <c r="BE266" s="28"/>
      <c r="BF266" s="28"/>
    </row>
    <row r="267">
      <c r="A267" s="160" t="s">
        <v>564</v>
      </c>
      <c r="G267" s="27"/>
      <c r="H267" s="28"/>
      <c r="I267" s="28"/>
      <c r="J267" s="29"/>
      <c r="K267" s="27"/>
      <c r="L267" s="28"/>
      <c r="M267" s="28"/>
      <c r="N267" s="28"/>
      <c r="O267" s="29"/>
      <c r="P267" s="27"/>
      <c r="Q267" s="28"/>
      <c r="R267" s="28"/>
      <c r="S267" s="29"/>
      <c r="T267" s="27"/>
      <c r="U267" s="28"/>
      <c r="V267" s="28"/>
      <c r="W267" s="28"/>
      <c r="X267" s="29"/>
      <c r="Y267" s="28"/>
      <c r="Z267" s="28"/>
      <c r="AA267" s="28"/>
      <c r="AB267" s="28"/>
      <c r="AC267" s="27"/>
      <c r="AD267" s="28"/>
      <c r="AE267" s="28"/>
      <c r="AF267" s="29"/>
      <c r="AG267" s="28"/>
      <c r="AH267" s="28"/>
      <c r="AI267" s="28"/>
      <c r="AJ267" s="28"/>
      <c r="AK267" s="29"/>
      <c r="AL267" s="28"/>
      <c r="AM267" s="28"/>
      <c r="AN267" s="28"/>
      <c r="AO267" s="29"/>
      <c r="AP267" s="28"/>
      <c r="AQ267" s="28"/>
      <c r="AR267" s="28"/>
      <c r="AS267" s="29"/>
      <c r="AT267" s="28"/>
      <c r="AU267" s="28"/>
      <c r="AV267" s="28"/>
      <c r="AW267" s="29"/>
      <c r="AX267" s="28"/>
      <c r="AY267" s="28"/>
      <c r="AZ267" s="28"/>
      <c r="BA267" s="28"/>
      <c r="BB267" s="29"/>
      <c r="BC267" s="30"/>
      <c r="BD267" s="28"/>
      <c r="BE267" s="28"/>
      <c r="BF267" s="28"/>
    </row>
    <row r="268">
      <c r="A268" s="69" t="s">
        <v>565</v>
      </c>
      <c r="B268" s="158" t="s">
        <v>566</v>
      </c>
      <c r="C268" s="158" t="s">
        <v>469</v>
      </c>
      <c r="D268" s="69" t="s">
        <v>567</v>
      </c>
      <c r="E268" s="69" t="s">
        <v>300</v>
      </c>
      <c r="F268" s="162"/>
      <c r="G268" s="27"/>
      <c r="H268" s="28"/>
      <c r="I268" s="28"/>
      <c r="J268" s="29"/>
      <c r="K268" s="27"/>
      <c r="L268" s="28"/>
      <c r="M268" s="28"/>
      <c r="N268" s="28"/>
      <c r="O268" s="29"/>
      <c r="P268" s="27"/>
      <c r="Q268" s="28"/>
      <c r="R268" s="28"/>
      <c r="S268" s="29"/>
      <c r="T268" s="27"/>
      <c r="U268" s="28"/>
      <c r="V268" s="28"/>
      <c r="W268" s="28"/>
      <c r="X268" s="29"/>
      <c r="Y268" s="28"/>
      <c r="Z268" s="28"/>
      <c r="AA268" s="28"/>
      <c r="AB268" s="28"/>
      <c r="AC268" s="27"/>
      <c r="AD268" s="28"/>
      <c r="AE268" s="28"/>
      <c r="AF268" s="29"/>
      <c r="AG268" s="28"/>
      <c r="AH268" s="28"/>
      <c r="AI268" s="28"/>
      <c r="AJ268" s="28"/>
      <c r="AK268" s="29"/>
      <c r="AL268" s="28"/>
      <c r="AM268" s="28"/>
      <c r="AN268" s="28"/>
      <c r="AO268" s="29"/>
      <c r="AP268" s="28"/>
      <c r="AQ268" s="28"/>
      <c r="AR268" s="28"/>
      <c r="AS268" s="29"/>
      <c r="AT268" s="28"/>
      <c r="AU268" s="28"/>
      <c r="AV268" s="28"/>
      <c r="AW268" s="29"/>
      <c r="AX268" s="28"/>
      <c r="AY268" s="28"/>
      <c r="AZ268" s="28"/>
      <c r="BA268" s="28"/>
      <c r="BB268" s="29"/>
      <c r="BC268" s="30"/>
      <c r="BD268" s="28"/>
      <c r="BE268" s="28"/>
      <c r="BF268" s="28"/>
    </row>
    <row r="269">
      <c r="A269" s="69" t="s">
        <v>568</v>
      </c>
      <c r="B269" s="158" t="s">
        <v>458</v>
      </c>
      <c r="C269" s="158" t="s">
        <v>469</v>
      </c>
      <c r="D269" s="69" t="s">
        <v>569</v>
      </c>
      <c r="E269" s="98" t="s">
        <v>277</v>
      </c>
      <c r="F269" s="162"/>
      <c r="G269" s="27"/>
      <c r="H269" s="28"/>
      <c r="I269" s="28"/>
      <c r="J269" s="29"/>
      <c r="K269" s="27"/>
      <c r="L269" s="28"/>
      <c r="M269" s="28"/>
      <c r="N269" s="28"/>
      <c r="O269" s="29"/>
      <c r="P269" s="27"/>
      <c r="Q269" s="28"/>
      <c r="R269" s="28"/>
      <c r="S269" s="29"/>
      <c r="T269" s="27"/>
      <c r="U269" s="28"/>
      <c r="V269" s="28"/>
      <c r="W269" s="28"/>
      <c r="X269" s="29"/>
      <c r="Y269" s="28"/>
      <c r="Z269" s="28"/>
      <c r="AA269" s="28"/>
      <c r="AB269" s="28"/>
      <c r="AC269" s="27"/>
      <c r="AD269" s="28"/>
      <c r="AE269" s="28"/>
      <c r="AF269" s="29"/>
      <c r="AG269" s="28"/>
      <c r="AH269" s="28"/>
      <c r="AI269" s="28"/>
      <c r="AJ269" s="28"/>
      <c r="AK269" s="29"/>
      <c r="AL269" s="28"/>
      <c r="AM269" s="28"/>
      <c r="AN269" s="28"/>
      <c r="AO269" s="29"/>
      <c r="AP269" s="28"/>
      <c r="AQ269" s="28"/>
      <c r="AR269" s="28"/>
      <c r="AS269" s="29"/>
      <c r="AT269" s="28"/>
      <c r="AU269" s="28"/>
      <c r="AV269" s="28"/>
      <c r="AW269" s="29"/>
      <c r="AX269" s="28"/>
      <c r="AY269" s="28"/>
      <c r="AZ269" s="28"/>
      <c r="BA269" s="28"/>
      <c r="BB269" s="29"/>
      <c r="BC269" s="30"/>
      <c r="BD269" s="28"/>
      <c r="BE269" s="28"/>
      <c r="BF269" s="28"/>
    </row>
    <row r="270">
      <c r="A270" s="69" t="s">
        <v>570</v>
      </c>
      <c r="B270" s="158" t="s">
        <v>571</v>
      </c>
      <c r="C270" s="158" t="s">
        <v>482</v>
      </c>
      <c r="D270" s="69" t="s">
        <v>567</v>
      </c>
      <c r="E270" s="69" t="s">
        <v>277</v>
      </c>
      <c r="F270" s="162"/>
      <c r="G270" s="27"/>
      <c r="H270" s="28"/>
      <c r="I270" s="28"/>
      <c r="J270" s="29"/>
      <c r="K270" s="27"/>
      <c r="L270" s="28"/>
      <c r="M270" s="28"/>
      <c r="N270" s="28"/>
      <c r="O270" s="29"/>
      <c r="P270" s="27"/>
      <c r="Q270" s="28"/>
      <c r="R270" s="28"/>
      <c r="S270" s="29"/>
      <c r="T270" s="27"/>
      <c r="U270" s="28"/>
      <c r="V270" s="28"/>
      <c r="W270" s="28"/>
      <c r="X270" s="29"/>
      <c r="Y270" s="28"/>
      <c r="Z270" s="28"/>
      <c r="AA270" s="28"/>
      <c r="AB270" s="28"/>
      <c r="AC270" s="27"/>
      <c r="AD270" s="28"/>
      <c r="AE270" s="28"/>
      <c r="AF270" s="29"/>
      <c r="AG270" s="28"/>
      <c r="AH270" s="28"/>
      <c r="AI270" s="28"/>
      <c r="AJ270" s="28"/>
      <c r="AK270" s="29"/>
      <c r="AL270" s="28"/>
      <c r="AM270" s="28"/>
      <c r="AN270" s="28"/>
      <c r="AO270" s="29"/>
      <c r="AP270" s="28"/>
      <c r="AQ270" s="28"/>
      <c r="AR270" s="28"/>
      <c r="AS270" s="29"/>
      <c r="AT270" s="28"/>
      <c r="AU270" s="28"/>
      <c r="AV270" s="28"/>
      <c r="AW270" s="29"/>
      <c r="AX270" s="28"/>
      <c r="AY270" s="28"/>
      <c r="AZ270" s="28"/>
      <c r="BA270" s="28"/>
      <c r="BB270" s="29"/>
      <c r="BC270" s="30"/>
      <c r="BD270" s="28"/>
      <c r="BE270" s="28"/>
      <c r="BF270" s="28"/>
    </row>
    <row r="271">
      <c r="A271" s="69" t="s">
        <v>572</v>
      </c>
      <c r="B271" s="158" t="s">
        <v>458</v>
      </c>
      <c r="C271" s="158" t="s">
        <v>469</v>
      </c>
      <c r="D271" s="69" t="s">
        <v>567</v>
      </c>
      <c r="E271" s="69" t="s">
        <v>300</v>
      </c>
      <c r="F271" s="158" t="s">
        <v>573</v>
      </c>
      <c r="G271" s="27"/>
      <c r="H271" s="28"/>
      <c r="I271" s="28"/>
      <c r="J271" s="29"/>
      <c r="K271" s="27"/>
      <c r="L271" s="28"/>
      <c r="M271" s="28"/>
      <c r="N271" s="28"/>
      <c r="O271" s="29"/>
      <c r="P271" s="27"/>
      <c r="Q271" s="28"/>
      <c r="R271" s="28"/>
      <c r="S271" s="29"/>
      <c r="T271" s="27"/>
      <c r="U271" s="28"/>
      <c r="V271" s="28"/>
      <c r="W271" s="28"/>
      <c r="X271" s="29"/>
      <c r="Y271" s="28"/>
      <c r="Z271" s="28"/>
      <c r="AA271" s="28"/>
      <c r="AB271" s="28"/>
      <c r="AC271" s="27"/>
      <c r="AD271" s="28"/>
      <c r="AE271" s="28"/>
      <c r="AF271" s="29"/>
      <c r="AG271" s="28"/>
      <c r="AH271" s="28"/>
      <c r="AI271" s="28"/>
      <c r="AJ271" s="28"/>
      <c r="AK271" s="29"/>
      <c r="AL271" s="28"/>
      <c r="AM271" s="28"/>
      <c r="AN271" s="28"/>
      <c r="AO271" s="29"/>
      <c r="AP271" s="28"/>
      <c r="AQ271" s="28"/>
      <c r="AR271" s="28"/>
      <c r="AS271" s="29"/>
      <c r="AT271" s="28"/>
      <c r="AU271" s="28"/>
      <c r="AV271" s="28"/>
      <c r="AW271" s="29"/>
      <c r="AX271" s="28"/>
      <c r="AY271" s="28"/>
      <c r="AZ271" s="28"/>
      <c r="BA271" s="28"/>
      <c r="BB271" s="29"/>
      <c r="BC271" s="30"/>
      <c r="BD271" s="28"/>
      <c r="BE271" s="28"/>
      <c r="BF271" s="28"/>
    </row>
    <row r="272">
      <c r="A272" s="69" t="s">
        <v>574</v>
      </c>
      <c r="B272" s="158" t="s">
        <v>482</v>
      </c>
      <c r="C272" s="158" t="s">
        <v>575</v>
      </c>
      <c r="D272" s="69" t="s">
        <v>567</v>
      </c>
      <c r="E272" s="69" t="s">
        <v>277</v>
      </c>
      <c r="F272" s="158" t="s">
        <v>576</v>
      </c>
      <c r="G272" s="27"/>
      <c r="H272" s="28"/>
      <c r="I272" s="28"/>
      <c r="J272" s="29"/>
      <c r="K272" s="27"/>
      <c r="L272" s="28"/>
      <c r="M272" s="28"/>
      <c r="N272" s="28"/>
      <c r="O272" s="29"/>
      <c r="P272" s="27"/>
      <c r="Q272" s="28"/>
      <c r="R272" s="28"/>
      <c r="S272" s="29"/>
      <c r="T272" s="27"/>
      <c r="U272" s="28"/>
      <c r="V272" s="28"/>
      <c r="W272" s="28"/>
      <c r="X272" s="29"/>
      <c r="Y272" s="28"/>
      <c r="Z272" s="28"/>
      <c r="AA272" s="28"/>
      <c r="AB272" s="28"/>
      <c r="AC272" s="27"/>
      <c r="AD272" s="28"/>
      <c r="AE272" s="28"/>
      <c r="AF272" s="29"/>
      <c r="AG272" s="28"/>
      <c r="AH272" s="28"/>
      <c r="AI272" s="28"/>
      <c r="AJ272" s="28"/>
      <c r="AK272" s="29"/>
      <c r="AL272" s="28"/>
      <c r="AM272" s="28"/>
      <c r="AN272" s="28"/>
      <c r="AO272" s="29"/>
      <c r="AP272" s="28"/>
      <c r="AQ272" s="28"/>
      <c r="AR272" s="28"/>
      <c r="AS272" s="29"/>
      <c r="AT272" s="28"/>
      <c r="AU272" s="28"/>
      <c r="AV272" s="28"/>
      <c r="AW272" s="29"/>
      <c r="AX272" s="28"/>
      <c r="AY272" s="28"/>
      <c r="AZ272" s="28"/>
      <c r="BA272" s="28"/>
      <c r="BB272" s="29"/>
      <c r="BC272" s="30"/>
      <c r="BD272" s="28"/>
      <c r="BE272" s="28"/>
      <c r="BF272" s="28"/>
    </row>
    <row r="273">
      <c r="A273" s="69" t="s">
        <v>577</v>
      </c>
      <c r="B273" s="158" t="s">
        <v>566</v>
      </c>
      <c r="C273" s="158" t="s">
        <v>469</v>
      </c>
      <c r="D273" s="69" t="s">
        <v>567</v>
      </c>
      <c r="E273" s="69" t="s">
        <v>277</v>
      </c>
      <c r="F273" s="158"/>
      <c r="G273" s="27"/>
      <c r="H273" s="28"/>
      <c r="I273" s="28"/>
      <c r="J273" s="29"/>
      <c r="K273" s="27"/>
      <c r="L273" s="28"/>
      <c r="M273" s="28"/>
      <c r="N273" s="28"/>
      <c r="O273" s="29"/>
      <c r="P273" s="27"/>
      <c r="Q273" s="28"/>
      <c r="R273" s="28"/>
      <c r="S273" s="29"/>
      <c r="T273" s="27"/>
      <c r="U273" s="28"/>
      <c r="V273" s="28"/>
      <c r="W273" s="28"/>
      <c r="X273" s="29"/>
      <c r="Y273" s="28"/>
      <c r="Z273" s="28"/>
      <c r="AA273" s="28"/>
      <c r="AB273" s="28"/>
      <c r="AC273" s="27"/>
      <c r="AD273" s="28"/>
      <c r="AE273" s="28"/>
      <c r="AF273" s="29"/>
      <c r="AG273" s="28"/>
      <c r="AH273" s="28"/>
      <c r="AI273" s="28"/>
      <c r="AJ273" s="28"/>
      <c r="AK273" s="29"/>
      <c r="AL273" s="28"/>
      <c r="AM273" s="28"/>
      <c r="AN273" s="28"/>
      <c r="AO273" s="29"/>
      <c r="AP273" s="28"/>
      <c r="AQ273" s="28"/>
      <c r="AR273" s="28"/>
      <c r="AS273" s="29"/>
      <c r="AT273" s="28"/>
      <c r="AU273" s="28"/>
      <c r="AV273" s="28"/>
      <c r="AW273" s="29"/>
      <c r="AX273" s="28"/>
      <c r="AY273" s="28"/>
      <c r="AZ273" s="28"/>
      <c r="BA273" s="28"/>
      <c r="BB273" s="29"/>
      <c r="BC273" s="30"/>
      <c r="BD273" s="28"/>
      <c r="BE273" s="28"/>
      <c r="BF273" s="28"/>
    </row>
    <row r="274">
      <c r="A274" s="69"/>
      <c r="B274" s="158"/>
      <c r="C274" s="158"/>
      <c r="D274" s="69"/>
      <c r="E274" s="69"/>
      <c r="F274" s="158"/>
      <c r="G274" s="27"/>
      <c r="H274" s="28"/>
      <c r="I274" s="28"/>
      <c r="J274" s="29"/>
      <c r="K274" s="27"/>
      <c r="L274" s="28"/>
      <c r="M274" s="28"/>
      <c r="N274" s="28"/>
      <c r="O274" s="29"/>
      <c r="P274" s="27"/>
      <c r="Q274" s="28"/>
      <c r="R274" s="28"/>
      <c r="S274" s="29"/>
      <c r="T274" s="27"/>
      <c r="U274" s="28"/>
      <c r="V274" s="28"/>
      <c r="W274" s="28"/>
      <c r="X274" s="29"/>
      <c r="Y274" s="28"/>
      <c r="Z274" s="28"/>
      <c r="AA274" s="28"/>
      <c r="AB274" s="28"/>
      <c r="AC274" s="27"/>
      <c r="AD274" s="28"/>
      <c r="AE274" s="28"/>
      <c r="AF274" s="29"/>
      <c r="AG274" s="28"/>
      <c r="AH274" s="28"/>
      <c r="AI274" s="28"/>
      <c r="AJ274" s="28"/>
      <c r="AK274" s="29"/>
      <c r="AL274" s="28"/>
      <c r="AM274" s="28"/>
      <c r="AN274" s="28"/>
      <c r="AO274" s="29"/>
      <c r="AP274" s="28"/>
      <c r="AQ274" s="28"/>
      <c r="AR274" s="28"/>
      <c r="AS274" s="29"/>
      <c r="AT274" s="28"/>
      <c r="AU274" s="28"/>
      <c r="AV274" s="28"/>
      <c r="AW274" s="29"/>
      <c r="AX274" s="28"/>
      <c r="AY274" s="28"/>
      <c r="AZ274" s="28"/>
      <c r="BA274" s="28"/>
      <c r="BB274" s="29"/>
      <c r="BC274" s="30"/>
      <c r="BD274" s="28"/>
      <c r="BE274" s="28"/>
      <c r="BF274" s="28"/>
    </row>
    <row r="275">
      <c r="A275" s="69"/>
      <c r="B275" s="158"/>
      <c r="C275" s="158"/>
      <c r="D275" s="69"/>
      <c r="E275" s="69"/>
      <c r="F275" s="158"/>
      <c r="G275" s="27"/>
      <c r="H275" s="28"/>
      <c r="I275" s="28"/>
      <c r="J275" s="29"/>
      <c r="K275" s="27"/>
      <c r="L275" s="28"/>
      <c r="M275" s="28"/>
      <c r="N275" s="28"/>
      <c r="O275" s="29"/>
      <c r="P275" s="27"/>
      <c r="Q275" s="28"/>
      <c r="R275" s="28"/>
      <c r="S275" s="29"/>
      <c r="T275" s="27"/>
      <c r="U275" s="28"/>
      <c r="V275" s="28"/>
      <c r="W275" s="28"/>
      <c r="X275" s="29"/>
      <c r="Y275" s="28"/>
      <c r="Z275" s="28"/>
      <c r="AA275" s="28"/>
      <c r="AB275" s="28"/>
      <c r="AC275" s="27"/>
      <c r="AD275" s="28"/>
      <c r="AE275" s="28"/>
      <c r="AF275" s="29"/>
      <c r="AG275" s="28"/>
      <c r="AH275" s="28"/>
      <c r="AI275" s="28"/>
      <c r="AJ275" s="28"/>
      <c r="AK275" s="29"/>
      <c r="AL275" s="28"/>
      <c r="AM275" s="28"/>
      <c r="AN275" s="28"/>
      <c r="AO275" s="29"/>
      <c r="AP275" s="28"/>
      <c r="AQ275" s="28"/>
      <c r="AR275" s="28"/>
      <c r="AS275" s="29"/>
      <c r="AT275" s="28"/>
      <c r="AU275" s="28"/>
      <c r="AV275" s="28"/>
      <c r="AW275" s="29"/>
      <c r="AX275" s="28"/>
      <c r="AY275" s="28"/>
      <c r="AZ275" s="28"/>
      <c r="BA275" s="28"/>
      <c r="BB275" s="29"/>
      <c r="BC275" s="30"/>
      <c r="BD275" s="28"/>
      <c r="BE275" s="28"/>
      <c r="BF275" s="28"/>
    </row>
    <row r="276">
      <c r="A276" s="160" t="s">
        <v>578</v>
      </c>
      <c r="G276" s="27"/>
      <c r="H276" s="28"/>
      <c r="I276" s="28"/>
      <c r="J276" s="29"/>
      <c r="K276" s="27"/>
      <c r="L276" s="28"/>
      <c r="M276" s="28"/>
      <c r="N276" s="28"/>
      <c r="O276" s="29"/>
      <c r="P276" s="27"/>
      <c r="Q276" s="28"/>
      <c r="R276" s="28"/>
      <c r="S276" s="29"/>
      <c r="T276" s="27"/>
      <c r="U276" s="28"/>
      <c r="V276" s="28"/>
      <c r="W276" s="28"/>
      <c r="X276" s="29"/>
      <c r="Y276" s="28"/>
      <c r="Z276" s="28"/>
      <c r="AA276" s="28"/>
      <c r="AB276" s="28"/>
      <c r="AC276" s="27"/>
      <c r="AD276" s="28"/>
      <c r="AE276" s="28"/>
      <c r="AF276" s="29"/>
      <c r="AG276" s="28"/>
      <c r="AH276" s="28"/>
      <c r="AI276" s="28"/>
      <c r="AJ276" s="28"/>
      <c r="AK276" s="29"/>
      <c r="AL276" s="28"/>
      <c r="AM276" s="28"/>
      <c r="AN276" s="28"/>
      <c r="AO276" s="29"/>
      <c r="AP276" s="28"/>
      <c r="AQ276" s="28"/>
      <c r="AR276" s="28"/>
      <c r="AS276" s="29"/>
      <c r="AT276" s="28"/>
      <c r="AU276" s="28"/>
      <c r="AV276" s="28"/>
      <c r="AW276" s="29"/>
      <c r="AX276" s="28"/>
      <c r="AY276" s="28"/>
      <c r="AZ276" s="28"/>
      <c r="BA276" s="28"/>
      <c r="BB276" s="29"/>
      <c r="BC276" s="30"/>
      <c r="BD276" s="28"/>
      <c r="BE276" s="28"/>
      <c r="BF276" s="28"/>
    </row>
    <row r="277">
      <c r="A277" s="69" t="s">
        <v>579</v>
      </c>
      <c r="B277" s="157"/>
      <c r="C277" s="157"/>
      <c r="D277" s="28"/>
      <c r="E277" s="98" t="s">
        <v>277</v>
      </c>
      <c r="F277" s="162"/>
      <c r="G277" s="27"/>
      <c r="H277" s="28"/>
      <c r="I277" s="28"/>
      <c r="J277" s="29"/>
      <c r="K277" s="27"/>
      <c r="L277" s="28"/>
      <c r="M277" s="28"/>
      <c r="N277" s="28"/>
      <c r="O277" s="29"/>
      <c r="P277" s="27"/>
      <c r="Q277" s="28"/>
      <c r="R277" s="28"/>
      <c r="S277" s="29"/>
      <c r="T277" s="27"/>
      <c r="U277" s="28"/>
      <c r="V277" s="28"/>
      <c r="W277" s="28"/>
      <c r="X277" s="29"/>
      <c r="Y277" s="28"/>
      <c r="Z277" s="28"/>
      <c r="AA277" s="28"/>
      <c r="AB277" s="28"/>
      <c r="AC277" s="27"/>
      <c r="AD277" s="28"/>
      <c r="AE277" s="28"/>
      <c r="AF277" s="29"/>
      <c r="AG277" s="28"/>
      <c r="AH277" s="28"/>
      <c r="AI277" s="28"/>
      <c r="AJ277" s="28"/>
      <c r="AK277" s="29"/>
      <c r="AL277" s="28"/>
      <c r="AM277" s="28"/>
      <c r="AN277" s="28"/>
      <c r="AO277" s="29"/>
      <c r="AP277" s="28"/>
      <c r="AQ277" s="28"/>
      <c r="AR277" s="28"/>
      <c r="AS277" s="29"/>
      <c r="AT277" s="28"/>
      <c r="AU277" s="28"/>
      <c r="AV277" s="28"/>
      <c r="AW277" s="29"/>
      <c r="AX277" s="28"/>
      <c r="AY277" s="28"/>
      <c r="AZ277" s="28"/>
      <c r="BA277" s="28"/>
      <c r="BB277" s="29"/>
      <c r="BC277" s="30"/>
      <c r="BD277" s="28"/>
      <c r="BE277" s="28"/>
      <c r="BF277" s="28"/>
    </row>
    <row r="278">
      <c r="A278" s="98"/>
      <c r="B278" s="157"/>
      <c r="C278" s="157"/>
      <c r="D278" s="28"/>
      <c r="E278" s="98" t="s">
        <v>277</v>
      </c>
      <c r="F278" s="162"/>
      <c r="G278" s="27"/>
      <c r="H278" s="28"/>
      <c r="I278" s="28"/>
      <c r="J278" s="29"/>
      <c r="K278" s="27"/>
      <c r="L278" s="28"/>
      <c r="M278" s="28"/>
      <c r="N278" s="28"/>
      <c r="O278" s="29"/>
      <c r="P278" s="27"/>
      <c r="Q278" s="28"/>
      <c r="R278" s="28"/>
      <c r="S278" s="29"/>
      <c r="T278" s="27"/>
      <c r="U278" s="28"/>
      <c r="V278" s="28"/>
      <c r="W278" s="28"/>
      <c r="X278" s="29"/>
      <c r="Y278" s="28"/>
      <c r="Z278" s="28"/>
      <c r="AA278" s="28"/>
      <c r="AB278" s="28"/>
      <c r="AC278" s="27"/>
      <c r="AD278" s="28"/>
      <c r="AE278" s="28"/>
      <c r="AF278" s="29"/>
      <c r="AG278" s="28"/>
      <c r="AH278" s="28"/>
      <c r="AI278" s="28"/>
      <c r="AJ278" s="28"/>
      <c r="AK278" s="29"/>
      <c r="AL278" s="28"/>
      <c r="AM278" s="28"/>
      <c r="AN278" s="28"/>
      <c r="AO278" s="29"/>
      <c r="AP278" s="28"/>
      <c r="AQ278" s="28"/>
      <c r="AR278" s="28"/>
      <c r="AS278" s="29"/>
      <c r="AT278" s="28"/>
      <c r="AU278" s="28"/>
      <c r="AV278" s="28"/>
      <c r="AW278" s="29"/>
      <c r="AX278" s="28"/>
      <c r="AY278" s="28"/>
      <c r="AZ278" s="28"/>
      <c r="BA278" s="28"/>
      <c r="BB278" s="29"/>
      <c r="BC278" s="30"/>
      <c r="BD278" s="28"/>
      <c r="BE278" s="28"/>
      <c r="BF278" s="28"/>
    </row>
    <row r="279">
      <c r="A279" s="98"/>
      <c r="B279" s="157"/>
      <c r="C279" s="157"/>
      <c r="D279" s="28"/>
      <c r="E279" s="98" t="s">
        <v>277</v>
      </c>
      <c r="F279" s="162"/>
      <c r="G279" s="27"/>
      <c r="H279" s="28"/>
      <c r="I279" s="28"/>
      <c r="J279" s="29"/>
      <c r="K279" s="27"/>
      <c r="L279" s="28"/>
      <c r="M279" s="28"/>
      <c r="N279" s="28"/>
      <c r="O279" s="29"/>
      <c r="P279" s="27"/>
      <c r="Q279" s="28"/>
      <c r="R279" s="28"/>
      <c r="S279" s="29"/>
      <c r="T279" s="27"/>
      <c r="U279" s="28"/>
      <c r="V279" s="28"/>
      <c r="W279" s="28"/>
      <c r="X279" s="29"/>
      <c r="Y279" s="28"/>
      <c r="Z279" s="28"/>
      <c r="AA279" s="28"/>
      <c r="AB279" s="28"/>
      <c r="AC279" s="27"/>
      <c r="AD279" s="28"/>
      <c r="AE279" s="28"/>
      <c r="AF279" s="29"/>
      <c r="AG279" s="28"/>
      <c r="AH279" s="28"/>
      <c r="AI279" s="28"/>
      <c r="AJ279" s="28"/>
      <c r="AK279" s="29"/>
      <c r="AL279" s="28"/>
      <c r="AM279" s="28"/>
      <c r="AN279" s="28"/>
      <c r="AO279" s="29"/>
      <c r="AP279" s="28"/>
      <c r="AQ279" s="28"/>
      <c r="AR279" s="28"/>
      <c r="AS279" s="29"/>
      <c r="AT279" s="28"/>
      <c r="AU279" s="28"/>
      <c r="AV279" s="28"/>
      <c r="AW279" s="29"/>
      <c r="AX279" s="28"/>
      <c r="AY279" s="28"/>
      <c r="AZ279" s="28"/>
      <c r="BA279" s="28"/>
      <c r="BB279" s="29"/>
      <c r="BC279" s="30"/>
      <c r="BD279" s="28"/>
      <c r="BE279" s="28"/>
      <c r="BF279" s="28"/>
    </row>
    <row r="280">
      <c r="A280" s="98"/>
      <c r="B280" s="157"/>
      <c r="C280" s="157"/>
      <c r="D280" s="28"/>
      <c r="E280" s="98" t="s">
        <v>277</v>
      </c>
      <c r="F280" s="162"/>
      <c r="G280" s="27"/>
      <c r="H280" s="28"/>
      <c r="I280" s="28"/>
      <c r="J280" s="29"/>
      <c r="K280" s="27"/>
      <c r="L280" s="28"/>
      <c r="M280" s="28"/>
      <c r="N280" s="28"/>
      <c r="O280" s="29"/>
      <c r="P280" s="27"/>
      <c r="Q280" s="28"/>
      <c r="R280" s="28"/>
      <c r="S280" s="29"/>
      <c r="T280" s="27"/>
      <c r="U280" s="28"/>
      <c r="V280" s="28"/>
      <c r="W280" s="28"/>
      <c r="X280" s="29"/>
      <c r="Y280" s="28"/>
      <c r="Z280" s="28"/>
      <c r="AA280" s="28"/>
      <c r="AB280" s="28"/>
      <c r="AC280" s="27"/>
      <c r="AD280" s="28"/>
      <c r="AE280" s="28"/>
      <c r="AF280" s="29"/>
      <c r="AG280" s="28"/>
      <c r="AH280" s="28"/>
      <c r="AI280" s="28"/>
      <c r="AJ280" s="28"/>
      <c r="AK280" s="29"/>
      <c r="AL280" s="28"/>
      <c r="AM280" s="28"/>
      <c r="AN280" s="28"/>
      <c r="AO280" s="29"/>
      <c r="AP280" s="28"/>
      <c r="AQ280" s="28"/>
      <c r="AR280" s="28"/>
      <c r="AS280" s="29"/>
      <c r="AT280" s="28"/>
      <c r="AU280" s="28"/>
      <c r="AV280" s="28"/>
      <c r="AW280" s="29"/>
      <c r="AX280" s="28"/>
      <c r="AY280" s="28"/>
      <c r="AZ280" s="28"/>
      <c r="BA280" s="28"/>
      <c r="BB280" s="29"/>
      <c r="BC280" s="30"/>
      <c r="BD280" s="28"/>
      <c r="BE280" s="28"/>
      <c r="BF280" s="28"/>
    </row>
    <row r="281">
      <c r="A281" s="98"/>
      <c r="B281" s="157"/>
      <c r="C281" s="157"/>
      <c r="D281" s="28"/>
      <c r="E281" s="98"/>
      <c r="F281" s="162"/>
      <c r="G281" s="27"/>
      <c r="H281" s="28"/>
      <c r="I281" s="28"/>
      <c r="J281" s="29"/>
      <c r="K281" s="27"/>
      <c r="L281" s="28"/>
      <c r="M281" s="28"/>
      <c r="N281" s="28"/>
      <c r="O281" s="29"/>
      <c r="P281" s="27"/>
      <c r="Q281" s="28"/>
      <c r="R281" s="28"/>
      <c r="S281" s="29"/>
      <c r="T281" s="27"/>
      <c r="U281" s="28"/>
      <c r="V281" s="28"/>
      <c r="W281" s="28"/>
      <c r="X281" s="29"/>
      <c r="Y281" s="28"/>
      <c r="Z281" s="28"/>
      <c r="AA281" s="28"/>
      <c r="AB281" s="28"/>
      <c r="AC281" s="27"/>
      <c r="AD281" s="28"/>
      <c r="AE281" s="28"/>
      <c r="AF281" s="29"/>
      <c r="AG281" s="28"/>
      <c r="AH281" s="28"/>
      <c r="AI281" s="28"/>
      <c r="AJ281" s="28"/>
      <c r="AK281" s="29"/>
      <c r="AL281" s="28"/>
      <c r="AM281" s="28"/>
      <c r="AN281" s="28"/>
      <c r="AO281" s="29"/>
      <c r="AP281" s="28"/>
      <c r="AQ281" s="28"/>
      <c r="AR281" s="28"/>
      <c r="AS281" s="29"/>
      <c r="AT281" s="28"/>
      <c r="AU281" s="28"/>
      <c r="AV281" s="28"/>
      <c r="AW281" s="29"/>
      <c r="AX281" s="28"/>
      <c r="AY281" s="28"/>
      <c r="AZ281" s="28"/>
      <c r="BA281" s="28"/>
      <c r="BB281" s="29"/>
      <c r="BC281" s="30"/>
      <c r="BD281" s="28"/>
      <c r="BE281" s="28"/>
      <c r="BF281" s="28"/>
    </row>
    <row r="282">
      <c r="A282" s="160"/>
      <c r="G282" s="27"/>
      <c r="H282" s="28"/>
      <c r="I282" s="28"/>
      <c r="J282" s="29"/>
      <c r="K282" s="27"/>
      <c r="L282" s="28"/>
      <c r="M282" s="28"/>
      <c r="N282" s="28"/>
      <c r="O282" s="29"/>
      <c r="P282" s="27"/>
      <c r="Q282" s="28"/>
      <c r="R282" s="28"/>
      <c r="S282" s="29"/>
      <c r="T282" s="27"/>
      <c r="U282" s="28"/>
      <c r="V282" s="28"/>
      <c r="W282" s="28"/>
      <c r="X282" s="29"/>
      <c r="Y282" s="28"/>
      <c r="Z282" s="28"/>
      <c r="AA282" s="28"/>
      <c r="AB282" s="28"/>
      <c r="AC282" s="27"/>
      <c r="AD282" s="28"/>
      <c r="AE282" s="28"/>
      <c r="AF282" s="29"/>
      <c r="AG282" s="28"/>
      <c r="AH282" s="28"/>
      <c r="AI282" s="28"/>
      <c r="AJ282" s="28"/>
      <c r="AK282" s="29"/>
      <c r="AL282" s="28"/>
      <c r="AM282" s="28"/>
      <c r="AN282" s="28"/>
      <c r="AO282" s="29"/>
      <c r="AP282" s="28"/>
      <c r="AQ282" s="28"/>
      <c r="AR282" s="28"/>
      <c r="AS282" s="29"/>
      <c r="AT282" s="28"/>
      <c r="AU282" s="28"/>
      <c r="AV282" s="28"/>
      <c r="AW282" s="29"/>
      <c r="AX282" s="28"/>
      <c r="AY282" s="28"/>
      <c r="AZ282" s="28"/>
      <c r="BA282" s="28"/>
      <c r="BB282" s="29"/>
      <c r="BC282" s="30"/>
      <c r="BD282" s="28"/>
      <c r="BE282" s="28"/>
      <c r="BF282" s="28"/>
    </row>
    <row r="283">
      <c r="A283" s="98"/>
      <c r="B283" s="157"/>
      <c r="C283" s="157"/>
      <c r="D283" s="28"/>
      <c r="E283" s="98" t="s">
        <v>277</v>
      </c>
      <c r="F283" s="162"/>
      <c r="G283" s="27"/>
      <c r="H283" s="28"/>
      <c r="I283" s="28"/>
      <c r="J283" s="29"/>
      <c r="K283" s="27"/>
      <c r="L283" s="28"/>
      <c r="M283" s="28"/>
      <c r="N283" s="28"/>
      <c r="O283" s="29"/>
      <c r="P283" s="27"/>
      <c r="Q283" s="28"/>
      <c r="R283" s="28"/>
      <c r="S283" s="29"/>
      <c r="T283" s="27"/>
      <c r="U283" s="28"/>
      <c r="V283" s="28"/>
      <c r="W283" s="28"/>
      <c r="X283" s="29"/>
      <c r="Y283" s="28"/>
      <c r="Z283" s="28"/>
      <c r="AA283" s="28"/>
      <c r="AB283" s="28"/>
      <c r="AC283" s="27"/>
      <c r="AD283" s="28"/>
      <c r="AE283" s="28"/>
      <c r="AF283" s="29"/>
      <c r="AG283" s="28"/>
      <c r="AH283" s="28"/>
      <c r="AI283" s="28"/>
      <c r="AJ283" s="28"/>
      <c r="AK283" s="29"/>
      <c r="AL283" s="28"/>
      <c r="AM283" s="28"/>
      <c r="AN283" s="28"/>
      <c r="AO283" s="29"/>
      <c r="AP283" s="28"/>
      <c r="AQ283" s="28"/>
      <c r="AR283" s="28"/>
      <c r="AS283" s="29"/>
      <c r="AT283" s="28"/>
      <c r="AU283" s="28"/>
      <c r="AV283" s="28"/>
      <c r="AW283" s="29"/>
      <c r="AX283" s="28"/>
      <c r="AY283" s="28"/>
      <c r="AZ283" s="28"/>
      <c r="BA283" s="28"/>
      <c r="BB283" s="29"/>
      <c r="BC283" s="30"/>
      <c r="BD283" s="28"/>
      <c r="BE283" s="28"/>
      <c r="BF283" s="28"/>
    </row>
    <row r="284">
      <c r="A284" s="98"/>
      <c r="B284" s="157"/>
      <c r="C284" s="157"/>
      <c r="D284" s="28"/>
      <c r="E284" s="98" t="s">
        <v>277</v>
      </c>
      <c r="F284" s="162"/>
      <c r="G284" s="27"/>
      <c r="H284" s="28"/>
      <c r="I284" s="28"/>
      <c r="J284" s="29"/>
      <c r="K284" s="27"/>
      <c r="L284" s="28"/>
      <c r="M284" s="28"/>
      <c r="N284" s="28"/>
      <c r="O284" s="29"/>
      <c r="P284" s="27"/>
      <c r="Q284" s="28"/>
      <c r="R284" s="28"/>
      <c r="S284" s="29"/>
      <c r="T284" s="27"/>
      <c r="U284" s="28"/>
      <c r="V284" s="28"/>
      <c r="W284" s="28"/>
      <c r="X284" s="29"/>
      <c r="Y284" s="28"/>
      <c r="Z284" s="28"/>
      <c r="AA284" s="28"/>
      <c r="AB284" s="28"/>
      <c r="AC284" s="27"/>
      <c r="AD284" s="28"/>
      <c r="AE284" s="28"/>
      <c r="AF284" s="29"/>
      <c r="AG284" s="28"/>
      <c r="AH284" s="28"/>
      <c r="AI284" s="28"/>
      <c r="AJ284" s="28"/>
      <c r="AK284" s="29"/>
      <c r="AL284" s="28"/>
      <c r="AM284" s="28"/>
      <c r="AN284" s="28"/>
      <c r="AO284" s="29"/>
      <c r="AP284" s="28"/>
      <c r="AQ284" s="28"/>
      <c r="AR284" s="28"/>
      <c r="AS284" s="29"/>
      <c r="AT284" s="28"/>
      <c r="AU284" s="28"/>
      <c r="AV284" s="28"/>
      <c r="AW284" s="29"/>
      <c r="AX284" s="28"/>
      <c r="AY284" s="28"/>
      <c r="AZ284" s="28"/>
      <c r="BA284" s="28"/>
      <c r="BB284" s="29"/>
      <c r="BC284" s="30"/>
      <c r="BD284" s="28"/>
      <c r="BE284" s="28"/>
      <c r="BF284" s="28"/>
    </row>
    <row r="285">
      <c r="A285" s="98"/>
      <c r="B285" s="157"/>
      <c r="C285" s="157"/>
      <c r="D285" s="28"/>
      <c r="E285" s="98" t="s">
        <v>277</v>
      </c>
      <c r="F285" s="162"/>
      <c r="G285" s="27"/>
      <c r="H285" s="28"/>
      <c r="I285" s="28"/>
      <c r="J285" s="29"/>
      <c r="K285" s="27"/>
      <c r="L285" s="28"/>
      <c r="M285" s="28"/>
      <c r="N285" s="28"/>
      <c r="O285" s="29"/>
      <c r="P285" s="27"/>
      <c r="Q285" s="28"/>
      <c r="R285" s="28"/>
      <c r="S285" s="29"/>
      <c r="T285" s="27"/>
      <c r="U285" s="28"/>
      <c r="V285" s="28"/>
      <c r="W285" s="28"/>
      <c r="X285" s="29"/>
      <c r="Y285" s="28"/>
      <c r="Z285" s="28"/>
      <c r="AA285" s="28"/>
      <c r="AB285" s="28"/>
      <c r="AC285" s="27"/>
      <c r="AD285" s="28"/>
      <c r="AE285" s="28"/>
      <c r="AF285" s="29"/>
      <c r="AG285" s="28"/>
      <c r="AH285" s="28"/>
      <c r="AI285" s="28"/>
      <c r="AJ285" s="28"/>
      <c r="AK285" s="29"/>
      <c r="AL285" s="28"/>
      <c r="AM285" s="28"/>
      <c r="AN285" s="28"/>
      <c r="AO285" s="29"/>
      <c r="AP285" s="28"/>
      <c r="AQ285" s="28"/>
      <c r="AR285" s="28"/>
      <c r="AS285" s="29"/>
      <c r="AT285" s="28"/>
      <c r="AU285" s="28"/>
      <c r="AV285" s="28"/>
      <c r="AW285" s="29"/>
      <c r="AX285" s="28"/>
      <c r="AY285" s="28"/>
      <c r="AZ285" s="28"/>
      <c r="BA285" s="28"/>
      <c r="BB285" s="29"/>
      <c r="BC285" s="30"/>
      <c r="BD285" s="28"/>
      <c r="BE285" s="28"/>
      <c r="BF285" s="28"/>
    </row>
    <row r="286" ht="15.75" customHeight="1">
      <c r="A286" s="98"/>
      <c r="B286" s="157"/>
      <c r="C286" s="157"/>
      <c r="D286" s="28"/>
      <c r="E286" s="98" t="s">
        <v>277</v>
      </c>
      <c r="F286" s="162"/>
      <c r="G286" s="27"/>
      <c r="H286" s="28"/>
      <c r="I286" s="28"/>
      <c r="J286" s="29"/>
      <c r="K286" s="27"/>
      <c r="L286" s="28"/>
      <c r="M286" s="28"/>
      <c r="N286" s="28"/>
      <c r="O286" s="29"/>
      <c r="P286" s="27"/>
      <c r="Q286" s="28"/>
      <c r="R286" s="28"/>
      <c r="S286" s="29"/>
      <c r="T286" s="27"/>
      <c r="U286" s="28"/>
      <c r="V286" s="28"/>
      <c r="W286" s="28"/>
      <c r="X286" s="29"/>
      <c r="Y286" s="28"/>
      <c r="Z286" s="28"/>
      <c r="AA286" s="28"/>
      <c r="AB286" s="28"/>
      <c r="AC286" s="27"/>
      <c r="AD286" s="28"/>
      <c r="AE286" s="28"/>
      <c r="AF286" s="29"/>
      <c r="AG286" s="28"/>
      <c r="AH286" s="28"/>
      <c r="AI286" s="28"/>
      <c r="AJ286" s="28"/>
      <c r="AK286" s="29"/>
      <c r="AL286" s="28"/>
      <c r="AM286" s="28"/>
      <c r="AN286" s="28"/>
      <c r="AO286" s="29"/>
      <c r="AP286" s="28"/>
      <c r="AQ286" s="28"/>
      <c r="AR286" s="28"/>
      <c r="AS286" s="29"/>
      <c r="AT286" s="28"/>
      <c r="AU286" s="28"/>
      <c r="AV286" s="28"/>
      <c r="AW286" s="29"/>
      <c r="AX286" s="28"/>
      <c r="AY286" s="28"/>
      <c r="AZ286" s="28"/>
      <c r="BA286" s="28"/>
      <c r="BB286" s="29"/>
      <c r="BC286" s="30"/>
      <c r="BD286" s="28"/>
      <c r="BE286" s="28"/>
      <c r="BF286" s="28"/>
    </row>
    <row r="287" ht="15.75" customHeight="1">
      <c r="A287" s="98"/>
      <c r="B287" s="157"/>
      <c r="C287" s="157"/>
      <c r="D287" s="28"/>
      <c r="E287" s="98"/>
      <c r="F287" s="162"/>
      <c r="G287" s="27"/>
      <c r="H287" s="28"/>
      <c r="I287" s="28"/>
      <c r="J287" s="29"/>
      <c r="K287" s="27"/>
      <c r="L287" s="28"/>
      <c r="M287" s="28"/>
      <c r="N287" s="28"/>
      <c r="O287" s="29"/>
      <c r="P287" s="27"/>
      <c r="Q287" s="28"/>
      <c r="R287" s="28"/>
      <c r="S287" s="29"/>
      <c r="T287" s="27"/>
      <c r="U287" s="28"/>
      <c r="V287" s="28"/>
      <c r="W287" s="28"/>
      <c r="X287" s="29"/>
      <c r="Y287" s="28"/>
      <c r="Z287" s="28"/>
      <c r="AA287" s="28"/>
      <c r="AB287" s="28"/>
      <c r="AC287" s="27"/>
      <c r="AD287" s="28"/>
      <c r="AE287" s="28"/>
      <c r="AF287" s="29"/>
      <c r="AG287" s="28"/>
      <c r="AH287" s="28"/>
      <c r="AI287" s="28"/>
      <c r="AJ287" s="28"/>
      <c r="AK287" s="29"/>
      <c r="AL287" s="28"/>
      <c r="AM287" s="28"/>
      <c r="AN287" s="28"/>
      <c r="AO287" s="29"/>
      <c r="AP287" s="28"/>
      <c r="AQ287" s="28"/>
      <c r="AR287" s="28"/>
      <c r="AS287" s="29"/>
      <c r="AT287" s="28"/>
      <c r="AU287" s="28"/>
      <c r="AV287" s="28"/>
      <c r="AW287" s="29"/>
      <c r="AX287" s="28"/>
      <c r="AY287" s="28"/>
      <c r="AZ287" s="28"/>
      <c r="BA287" s="28"/>
      <c r="BB287" s="29"/>
      <c r="BC287" s="30"/>
      <c r="BD287" s="28"/>
      <c r="BE287" s="28"/>
      <c r="BF287" s="28"/>
    </row>
    <row r="288" ht="36.0" customHeight="1">
      <c r="A288" s="163" t="s">
        <v>580</v>
      </c>
      <c r="G288" s="27"/>
      <c r="H288" s="28"/>
      <c r="I288" s="28"/>
      <c r="J288" s="29"/>
      <c r="K288" s="27"/>
      <c r="L288" s="28"/>
      <c r="M288" s="28"/>
      <c r="N288" s="28"/>
      <c r="O288" s="29"/>
      <c r="P288" s="27"/>
      <c r="Q288" s="28"/>
      <c r="R288" s="28"/>
      <c r="S288" s="29"/>
      <c r="T288" s="27"/>
      <c r="U288" s="28"/>
      <c r="V288" s="28"/>
      <c r="W288" s="28"/>
      <c r="X288" s="29"/>
      <c r="Y288" s="28"/>
      <c r="Z288" s="28"/>
      <c r="AA288" s="28"/>
      <c r="AB288" s="28"/>
      <c r="AC288" s="27"/>
      <c r="AD288" s="28"/>
      <c r="AE288" s="28"/>
      <c r="AF288" s="29"/>
      <c r="AG288" s="28"/>
      <c r="AH288" s="28"/>
      <c r="AI288" s="28"/>
      <c r="AJ288" s="28"/>
      <c r="AK288" s="29"/>
      <c r="AL288" s="28"/>
      <c r="AM288" s="28"/>
      <c r="AN288" s="28"/>
      <c r="AO288" s="29"/>
      <c r="AP288" s="28"/>
      <c r="AQ288" s="28"/>
      <c r="AR288" s="28"/>
      <c r="AS288" s="29"/>
      <c r="AT288" s="28"/>
      <c r="AU288" s="28"/>
      <c r="AV288" s="28"/>
      <c r="AW288" s="29"/>
      <c r="AX288" s="28"/>
      <c r="AY288" s="28"/>
      <c r="AZ288" s="28"/>
      <c r="BA288" s="28"/>
      <c r="BB288" s="29"/>
      <c r="BC288" s="30"/>
      <c r="BD288" s="28"/>
      <c r="BE288" s="28"/>
      <c r="BF288" s="28"/>
    </row>
    <row r="289" outlineLevel="1">
      <c r="A289" s="164" t="s">
        <v>581</v>
      </c>
      <c r="G289" s="27"/>
      <c r="H289" s="28"/>
      <c r="I289" s="28"/>
      <c r="J289" s="29"/>
      <c r="K289" s="27"/>
      <c r="L289" s="28"/>
      <c r="M289" s="28"/>
      <c r="N289" s="28"/>
      <c r="O289" s="29"/>
      <c r="P289" s="27"/>
      <c r="Q289" s="28"/>
      <c r="R289" s="28"/>
      <c r="S289" s="29"/>
      <c r="T289" s="27"/>
      <c r="U289" s="28"/>
      <c r="V289" s="28"/>
      <c r="W289" s="28"/>
      <c r="X289" s="29"/>
      <c r="Y289" s="28"/>
      <c r="Z289" s="28"/>
      <c r="AA289" s="28"/>
      <c r="AB289" s="28"/>
      <c r="AC289" s="27"/>
      <c r="AD289" s="28"/>
      <c r="AE289" s="28"/>
      <c r="AF289" s="29"/>
      <c r="AG289" s="28"/>
      <c r="AH289" s="28"/>
      <c r="AI289" s="28"/>
      <c r="AJ289" s="28"/>
      <c r="AK289" s="29"/>
      <c r="AL289" s="28"/>
      <c r="AM289" s="28"/>
      <c r="AN289" s="28"/>
      <c r="AO289" s="29"/>
      <c r="AP289" s="28"/>
      <c r="AQ289" s="28"/>
      <c r="AR289" s="28"/>
      <c r="AS289" s="29"/>
      <c r="AT289" s="28"/>
      <c r="AU289" s="28"/>
      <c r="AV289" s="28"/>
      <c r="AW289" s="29"/>
      <c r="AX289" s="28"/>
      <c r="AY289" s="28"/>
      <c r="AZ289" s="28"/>
      <c r="BA289" s="28"/>
      <c r="BB289" s="29"/>
      <c r="BC289" s="30"/>
      <c r="BD289" s="28"/>
      <c r="BE289" s="28"/>
      <c r="BF289" s="28"/>
    </row>
    <row r="290">
      <c r="A290" s="37" t="s">
        <v>582</v>
      </c>
      <c r="B290" s="92"/>
      <c r="C290" s="130"/>
      <c r="D290" s="69" t="s">
        <v>416</v>
      </c>
      <c r="E290" s="37" t="s">
        <v>297</v>
      </c>
      <c r="G290" s="27"/>
      <c r="H290" s="28"/>
      <c r="I290" s="28"/>
      <c r="J290" s="29"/>
      <c r="K290" s="27"/>
      <c r="L290" s="28"/>
      <c r="M290" s="28"/>
      <c r="N290" s="28"/>
      <c r="O290" s="29"/>
      <c r="P290" s="27"/>
      <c r="Q290" s="28"/>
      <c r="R290" s="28"/>
      <c r="S290" s="29"/>
      <c r="T290" s="27"/>
      <c r="U290" s="28"/>
      <c r="V290" s="28"/>
      <c r="W290" s="28"/>
      <c r="X290" s="29"/>
      <c r="Y290" s="28"/>
      <c r="Z290" s="28"/>
      <c r="AA290" s="28"/>
      <c r="AB290" s="28"/>
      <c r="AC290" s="27"/>
      <c r="AD290" s="28"/>
      <c r="AE290" s="28"/>
      <c r="AF290" s="29"/>
      <c r="AG290" s="28"/>
      <c r="AH290" s="28"/>
      <c r="AI290" s="28"/>
      <c r="AJ290" s="28"/>
      <c r="AK290" s="29"/>
      <c r="AL290" s="28"/>
      <c r="AM290" s="28"/>
      <c r="AN290" s="28"/>
      <c r="AO290" s="29"/>
      <c r="AP290" s="28"/>
      <c r="AQ290" s="28"/>
      <c r="AR290" s="28"/>
      <c r="AS290" s="29"/>
      <c r="AT290" s="28"/>
      <c r="AU290" s="28"/>
      <c r="AV290" s="28"/>
      <c r="AW290" s="29"/>
      <c r="AX290" s="28"/>
      <c r="AY290" s="28"/>
      <c r="AZ290" s="28"/>
      <c r="BA290" s="28"/>
      <c r="BB290" s="29"/>
      <c r="BC290" s="30"/>
      <c r="BD290" s="28"/>
      <c r="BE290" s="28"/>
      <c r="BF290" s="28"/>
    </row>
    <row r="291">
      <c r="A291" s="37" t="s">
        <v>583</v>
      </c>
      <c r="B291" s="92"/>
      <c r="C291" s="130"/>
      <c r="D291" s="69" t="s">
        <v>584</v>
      </c>
      <c r="E291" s="37" t="s">
        <v>277</v>
      </c>
      <c r="G291" s="27"/>
      <c r="H291" s="28"/>
      <c r="I291" s="28"/>
      <c r="J291" s="29"/>
      <c r="K291" s="27"/>
      <c r="L291" s="28"/>
      <c r="M291" s="28"/>
      <c r="N291" s="28"/>
      <c r="O291" s="29"/>
      <c r="P291" s="27"/>
      <c r="Q291" s="28"/>
      <c r="R291" s="28"/>
      <c r="S291" s="29"/>
      <c r="T291" s="27"/>
      <c r="U291" s="28"/>
      <c r="V291" s="28"/>
      <c r="W291" s="28"/>
      <c r="X291" s="29"/>
      <c r="Y291" s="28"/>
      <c r="Z291" s="28"/>
      <c r="AA291" s="28"/>
      <c r="AB291" s="28"/>
      <c r="AC291" s="27"/>
      <c r="AD291" s="28"/>
      <c r="AE291" s="28"/>
      <c r="AF291" s="29"/>
      <c r="AG291" s="28"/>
      <c r="AH291" s="28"/>
      <c r="AI291" s="28"/>
      <c r="AJ291" s="28"/>
      <c r="AK291" s="29"/>
      <c r="AL291" s="28"/>
      <c r="AM291" s="28"/>
      <c r="AN291" s="28"/>
      <c r="AO291" s="29"/>
      <c r="AP291" s="28"/>
      <c r="AQ291" s="28"/>
      <c r="AR291" s="28"/>
      <c r="AS291" s="29"/>
      <c r="AT291" s="28"/>
      <c r="AU291" s="28"/>
      <c r="AV291" s="28"/>
      <c r="AW291" s="29"/>
      <c r="AX291" s="28"/>
      <c r="AY291" s="28"/>
      <c r="AZ291" s="28"/>
      <c r="BA291" s="28"/>
      <c r="BB291" s="29"/>
      <c r="BC291" s="30"/>
      <c r="BD291" s="28"/>
      <c r="BE291" s="28"/>
      <c r="BF291" s="28"/>
    </row>
    <row r="292">
      <c r="A292" s="37" t="s">
        <v>585</v>
      </c>
      <c r="B292" s="92"/>
      <c r="C292" s="130"/>
      <c r="D292" s="69" t="s">
        <v>584</v>
      </c>
      <c r="E292" s="37" t="s">
        <v>277</v>
      </c>
      <c r="G292" s="27"/>
      <c r="H292" s="28"/>
      <c r="I292" s="28"/>
      <c r="J292" s="29"/>
      <c r="K292" s="27"/>
      <c r="L292" s="28"/>
      <c r="M292" s="28"/>
      <c r="N292" s="28"/>
      <c r="O292" s="29"/>
      <c r="P292" s="27"/>
      <c r="Q292" s="28"/>
      <c r="R292" s="28"/>
      <c r="S292" s="29"/>
      <c r="T292" s="27"/>
      <c r="U292" s="28"/>
      <c r="V292" s="28"/>
      <c r="W292" s="28"/>
      <c r="X292" s="29"/>
      <c r="Y292" s="28"/>
      <c r="Z292" s="28"/>
      <c r="AA292" s="28"/>
      <c r="AB292" s="28"/>
      <c r="AC292" s="27"/>
      <c r="AD292" s="28"/>
      <c r="AE292" s="28"/>
      <c r="AF292" s="29"/>
      <c r="AG292" s="28"/>
      <c r="AH292" s="28"/>
      <c r="AI292" s="28"/>
      <c r="AJ292" s="28"/>
      <c r="AK292" s="29"/>
      <c r="AL292" s="28"/>
      <c r="AM292" s="28"/>
      <c r="AN292" s="28"/>
      <c r="AO292" s="29"/>
      <c r="AP292" s="28"/>
      <c r="AQ292" s="28"/>
      <c r="AR292" s="28"/>
      <c r="AS292" s="29"/>
      <c r="AT292" s="28"/>
      <c r="AU292" s="28"/>
      <c r="AV292" s="28"/>
      <c r="AW292" s="29"/>
      <c r="AX292" s="28"/>
      <c r="AY292" s="28"/>
      <c r="AZ292" s="28"/>
      <c r="BA292" s="28"/>
      <c r="BB292" s="29"/>
      <c r="BC292" s="30"/>
      <c r="BD292" s="28"/>
      <c r="BE292" s="28"/>
      <c r="BF292" s="28"/>
    </row>
    <row r="293">
      <c r="A293" s="37" t="s">
        <v>586</v>
      </c>
      <c r="B293" s="92"/>
      <c r="C293" s="130"/>
      <c r="D293" s="69" t="s">
        <v>584</v>
      </c>
      <c r="E293" s="37" t="s">
        <v>277</v>
      </c>
      <c r="G293" s="27"/>
      <c r="H293" s="28"/>
      <c r="I293" s="28"/>
      <c r="J293" s="29"/>
      <c r="K293" s="27"/>
      <c r="L293" s="28"/>
      <c r="M293" s="28"/>
      <c r="N293" s="28"/>
      <c r="O293" s="29"/>
      <c r="P293" s="27"/>
      <c r="Q293" s="28"/>
      <c r="R293" s="28"/>
      <c r="S293" s="29"/>
      <c r="T293" s="27"/>
      <c r="U293" s="28"/>
      <c r="V293" s="28"/>
      <c r="W293" s="28"/>
      <c r="X293" s="29"/>
      <c r="Y293" s="28"/>
      <c r="Z293" s="28"/>
      <c r="AA293" s="28"/>
      <c r="AB293" s="28"/>
      <c r="AC293" s="27"/>
      <c r="AD293" s="28"/>
      <c r="AE293" s="28"/>
      <c r="AF293" s="29"/>
      <c r="AG293" s="28"/>
      <c r="AH293" s="28"/>
      <c r="AI293" s="28"/>
      <c r="AJ293" s="28"/>
      <c r="AK293" s="29"/>
      <c r="AL293" s="28"/>
      <c r="AM293" s="28"/>
      <c r="AN293" s="28"/>
      <c r="AO293" s="29"/>
      <c r="AP293" s="28"/>
      <c r="AQ293" s="28"/>
      <c r="AR293" s="28"/>
      <c r="AS293" s="29"/>
      <c r="AT293" s="28"/>
      <c r="AU293" s="28"/>
      <c r="AV293" s="28"/>
      <c r="AW293" s="29"/>
      <c r="AX293" s="28"/>
      <c r="AY293" s="28"/>
      <c r="AZ293" s="28"/>
      <c r="BA293" s="28"/>
      <c r="BB293" s="29"/>
      <c r="BC293" s="30"/>
      <c r="BD293" s="28"/>
      <c r="BE293" s="28"/>
      <c r="BF293" s="28"/>
    </row>
    <row r="294">
      <c r="A294" s="37" t="s">
        <v>587</v>
      </c>
      <c r="B294" s="92"/>
      <c r="C294" s="130"/>
      <c r="D294" s="69" t="s">
        <v>584</v>
      </c>
      <c r="E294" s="37" t="s">
        <v>277</v>
      </c>
      <c r="G294" s="27"/>
      <c r="H294" s="28"/>
      <c r="I294" s="28"/>
      <c r="J294" s="29"/>
      <c r="K294" s="27"/>
      <c r="L294" s="28"/>
      <c r="M294" s="28"/>
      <c r="N294" s="28"/>
      <c r="O294" s="29"/>
      <c r="P294" s="27"/>
      <c r="Q294" s="28"/>
      <c r="R294" s="28"/>
      <c r="S294" s="29"/>
      <c r="T294" s="27"/>
      <c r="U294" s="28"/>
      <c r="V294" s="28"/>
      <c r="W294" s="28"/>
      <c r="X294" s="29"/>
      <c r="Y294" s="28"/>
      <c r="Z294" s="28"/>
      <c r="AA294" s="28"/>
      <c r="AB294" s="28"/>
      <c r="AC294" s="27"/>
      <c r="AD294" s="28"/>
      <c r="AE294" s="28"/>
      <c r="AF294" s="29"/>
      <c r="AG294" s="28"/>
      <c r="AH294" s="28"/>
      <c r="AI294" s="28"/>
      <c r="AJ294" s="28"/>
      <c r="AK294" s="29"/>
      <c r="AL294" s="28"/>
      <c r="AM294" s="28"/>
      <c r="AN294" s="28"/>
      <c r="AO294" s="29"/>
      <c r="AP294" s="28"/>
      <c r="AQ294" s="28"/>
      <c r="AR294" s="28"/>
      <c r="AS294" s="29"/>
      <c r="AT294" s="28"/>
      <c r="AU294" s="28"/>
      <c r="AV294" s="28"/>
      <c r="AW294" s="29"/>
      <c r="AX294" s="28"/>
      <c r="AY294" s="28"/>
      <c r="AZ294" s="28"/>
      <c r="BA294" s="28"/>
      <c r="BB294" s="29"/>
      <c r="BC294" s="30"/>
      <c r="BD294" s="28"/>
      <c r="BE294" s="28"/>
      <c r="BF294" s="28"/>
    </row>
    <row r="295">
      <c r="A295" s="37" t="s">
        <v>588</v>
      </c>
      <c r="B295" s="130"/>
      <c r="C295" s="130"/>
      <c r="D295" s="69"/>
      <c r="E295" s="122"/>
      <c r="G295" s="27"/>
      <c r="H295" s="28"/>
      <c r="I295" s="28"/>
      <c r="J295" s="29"/>
      <c r="K295" s="27"/>
      <c r="L295" s="28"/>
      <c r="M295" s="28"/>
      <c r="N295" s="28"/>
      <c r="O295" s="29"/>
      <c r="P295" s="27"/>
      <c r="Q295" s="28"/>
      <c r="R295" s="28"/>
      <c r="S295" s="29"/>
      <c r="T295" s="27"/>
      <c r="U295" s="28"/>
      <c r="V295" s="28"/>
      <c r="W295" s="28"/>
      <c r="X295" s="29"/>
      <c r="Y295" s="28"/>
      <c r="Z295" s="28"/>
      <c r="AA295" s="28"/>
      <c r="AB295" s="28"/>
      <c r="AC295" s="27"/>
      <c r="AD295" s="28"/>
      <c r="AE295" s="28"/>
      <c r="AF295" s="29"/>
      <c r="AG295" s="28"/>
      <c r="AH295" s="28"/>
      <c r="AI295" s="28"/>
      <c r="AJ295" s="28"/>
      <c r="AK295" s="29"/>
      <c r="AL295" s="28"/>
      <c r="AM295" s="28"/>
      <c r="AN295" s="28"/>
      <c r="AO295" s="29"/>
      <c r="AP295" s="28"/>
      <c r="AQ295" s="28"/>
      <c r="AR295" s="28"/>
      <c r="AS295" s="29"/>
      <c r="AT295" s="28"/>
      <c r="AU295" s="28"/>
      <c r="AV295" s="28"/>
      <c r="AW295" s="29"/>
      <c r="AX295" s="28"/>
      <c r="AY295" s="28"/>
      <c r="AZ295" s="28"/>
      <c r="BA295" s="28"/>
      <c r="BB295" s="29"/>
      <c r="BC295" s="30"/>
      <c r="BD295" s="28"/>
      <c r="BE295" s="28"/>
      <c r="BF295" s="28"/>
    </row>
    <row r="296" outlineLevel="1">
      <c r="A296" s="164" t="s">
        <v>251</v>
      </c>
      <c r="G296" s="27"/>
      <c r="H296" s="28"/>
      <c r="I296" s="28"/>
      <c r="J296" s="29"/>
      <c r="K296" s="27"/>
      <c r="L296" s="28"/>
      <c r="M296" s="28"/>
      <c r="N296" s="28"/>
      <c r="O296" s="29"/>
      <c r="P296" s="27"/>
      <c r="Q296" s="28"/>
      <c r="R296" s="28"/>
      <c r="S296" s="29"/>
      <c r="T296" s="27"/>
      <c r="U296" s="28"/>
      <c r="V296" s="28"/>
      <c r="W296" s="28"/>
      <c r="X296" s="29"/>
      <c r="Y296" s="28"/>
      <c r="Z296" s="28"/>
      <c r="AA296" s="28"/>
      <c r="AB296" s="28"/>
      <c r="AC296" s="27"/>
      <c r="AD296" s="28"/>
      <c r="AE296" s="28"/>
      <c r="AF296" s="29"/>
      <c r="AG296" s="28"/>
      <c r="AH296" s="28"/>
      <c r="AI296" s="28"/>
      <c r="AJ296" s="28"/>
      <c r="AK296" s="29"/>
      <c r="AL296" s="28"/>
      <c r="AM296" s="28"/>
      <c r="AN296" s="28"/>
      <c r="AO296" s="29"/>
      <c r="AP296" s="28"/>
      <c r="AQ296" s="28"/>
      <c r="AR296" s="28"/>
      <c r="AS296" s="29"/>
      <c r="AT296" s="28"/>
      <c r="AU296" s="28"/>
      <c r="AV296" s="28"/>
      <c r="AW296" s="29"/>
      <c r="AX296" s="28"/>
      <c r="AY296" s="28"/>
      <c r="AZ296" s="28"/>
      <c r="BA296" s="28"/>
      <c r="BB296" s="29"/>
      <c r="BC296" s="30"/>
      <c r="BD296" s="28"/>
      <c r="BE296" s="28"/>
      <c r="BF296" s="28"/>
    </row>
    <row r="297" ht="16.5" customHeight="1" outlineLevel="1">
      <c r="A297" s="70" t="s">
        <v>252</v>
      </c>
      <c r="B297" s="165"/>
      <c r="C297" s="165">
        <v>45897.0</v>
      </c>
      <c r="D297" s="69" t="s">
        <v>584</v>
      </c>
      <c r="E297" s="37" t="s">
        <v>277</v>
      </c>
      <c r="F297" s="166"/>
      <c r="G297" s="27"/>
      <c r="H297" s="28"/>
      <c r="I297" s="28"/>
      <c r="J297" s="29"/>
      <c r="K297" s="27"/>
      <c r="L297" s="28"/>
      <c r="M297" s="28"/>
      <c r="N297" s="28"/>
      <c r="O297" s="29"/>
      <c r="P297" s="27"/>
      <c r="Q297" s="28"/>
      <c r="R297" s="28"/>
      <c r="S297" s="29"/>
      <c r="T297" s="27"/>
      <c r="U297" s="28"/>
      <c r="V297" s="28"/>
      <c r="W297" s="28"/>
      <c r="X297" s="29"/>
      <c r="Y297" s="28"/>
      <c r="Z297" s="28"/>
      <c r="AA297" s="28"/>
      <c r="AB297" s="28"/>
      <c r="AC297" s="27"/>
      <c r="AD297" s="28"/>
      <c r="AE297" s="28"/>
      <c r="AF297" s="29"/>
      <c r="AG297" s="28"/>
      <c r="AH297" s="28"/>
      <c r="AI297" s="28"/>
      <c r="AJ297" s="28"/>
      <c r="AK297" s="29"/>
      <c r="AL297" s="28"/>
      <c r="AM297" s="28"/>
      <c r="AN297" s="28"/>
      <c r="AO297" s="29"/>
      <c r="AP297" s="28"/>
      <c r="AQ297" s="28"/>
      <c r="AR297" s="28"/>
      <c r="AS297" s="29"/>
      <c r="AT297" s="28"/>
      <c r="AU297" s="28"/>
      <c r="AV297" s="28"/>
      <c r="AW297" s="29"/>
      <c r="AX297" s="28"/>
      <c r="AY297" s="28"/>
      <c r="AZ297" s="28"/>
      <c r="BA297" s="28"/>
      <c r="BB297" s="29"/>
      <c r="BC297" s="30"/>
      <c r="BD297" s="28"/>
      <c r="BE297" s="28"/>
      <c r="BF297" s="28"/>
    </row>
    <row r="298" outlineLevel="1">
      <c r="A298" s="70" t="s">
        <v>253</v>
      </c>
      <c r="B298" s="165">
        <v>45915.0</v>
      </c>
      <c r="C298" s="165">
        <v>45925.0</v>
      </c>
      <c r="D298" s="69" t="s">
        <v>584</v>
      </c>
      <c r="E298" s="37" t="s">
        <v>277</v>
      </c>
      <c r="F298" s="166"/>
      <c r="G298" s="27"/>
      <c r="H298" s="28"/>
      <c r="I298" s="28"/>
      <c r="J298" s="29"/>
      <c r="K298" s="27"/>
      <c r="L298" s="28"/>
      <c r="M298" s="28"/>
      <c r="N298" s="28"/>
      <c r="O298" s="29"/>
      <c r="P298" s="27"/>
      <c r="Q298" s="28"/>
      <c r="R298" s="28"/>
      <c r="S298" s="29"/>
      <c r="T298" s="27"/>
      <c r="U298" s="28"/>
      <c r="V298" s="28"/>
      <c r="W298" s="28"/>
      <c r="X298" s="29"/>
      <c r="Y298" s="28"/>
      <c r="Z298" s="28"/>
      <c r="AA298" s="28"/>
      <c r="AB298" s="28"/>
      <c r="AC298" s="27"/>
      <c r="AD298" s="28"/>
      <c r="AE298" s="28"/>
      <c r="AF298" s="29"/>
      <c r="AG298" s="28"/>
      <c r="AH298" s="28"/>
      <c r="AI298" s="28"/>
      <c r="AJ298" s="28"/>
      <c r="AK298" s="29"/>
      <c r="AL298" s="28"/>
      <c r="AM298" s="28"/>
      <c r="AN298" s="28"/>
      <c r="AO298" s="29"/>
      <c r="AP298" s="28"/>
      <c r="AQ298" s="28"/>
      <c r="AR298" s="28"/>
      <c r="AS298" s="29"/>
      <c r="AT298" s="28"/>
      <c r="AU298" s="28"/>
      <c r="AV298" s="28"/>
      <c r="AW298" s="29"/>
      <c r="AX298" s="28"/>
      <c r="AY298" s="28"/>
      <c r="AZ298" s="28"/>
      <c r="BA298" s="28"/>
      <c r="BB298" s="29"/>
      <c r="BC298" s="30"/>
      <c r="BD298" s="28"/>
      <c r="BE298" s="28"/>
      <c r="BF298" s="28"/>
    </row>
    <row r="299" outlineLevel="1">
      <c r="A299" s="70" t="s">
        <v>254</v>
      </c>
      <c r="B299" s="165" t="s">
        <v>589</v>
      </c>
      <c r="C299" s="165">
        <v>45955.0</v>
      </c>
      <c r="D299" s="69" t="s">
        <v>584</v>
      </c>
      <c r="E299" s="37" t="s">
        <v>277</v>
      </c>
      <c r="F299" s="166"/>
      <c r="G299" s="27"/>
      <c r="H299" s="28"/>
      <c r="I299" s="28"/>
      <c r="J299" s="29"/>
      <c r="K299" s="27"/>
      <c r="L299" s="28"/>
      <c r="M299" s="28"/>
      <c r="N299" s="28"/>
      <c r="O299" s="29"/>
      <c r="P299" s="27"/>
      <c r="Q299" s="28"/>
      <c r="R299" s="28"/>
      <c r="S299" s="29"/>
      <c r="T299" s="27"/>
      <c r="U299" s="28"/>
      <c r="V299" s="28"/>
      <c r="W299" s="28"/>
      <c r="X299" s="29"/>
      <c r="Y299" s="28"/>
      <c r="Z299" s="28"/>
      <c r="AA299" s="28"/>
      <c r="AB299" s="28"/>
      <c r="AC299" s="27"/>
      <c r="AD299" s="28"/>
      <c r="AE299" s="28"/>
      <c r="AF299" s="29"/>
      <c r="AG299" s="28"/>
      <c r="AH299" s="28"/>
      <c r="AI299" s="28"/>
      <c r="AJ299" s="28"/>
      <c r="AK299" s="29"/>
      <c r="AL299" s="28"/>
      <c r="AM299" s="28"/>
      <c r="AN299" s="28"/>
      <c r="AO299" s="29"/>
      <c r="AP299" s="28"/>
      <c r="AQ299" s="28"/>
      <c r="AR299" s="28"/>
      <c r="AS299" s="29"/>
      <c r="AT299" s="28"/>
      <c r="AU299" s="28"/>
      <c r="AV299" s="28"/>
      <c r="AW299" s="29"/>
      <c r="AX299" s="28"/>
      <c r="AY299" s="28"/>
      <c r="AZ299" s="28"/>
      <c r="BA299" s="28"/>
      <c r="BB299" s="29"/>
      <c r="BC299" s="30"/>
      <c r="BD299" s="28"/>
      <c r="BE299" s="28"/>
      <c r="BF299" s="28"/>
    </row>
    <row r="300" outlineLevel="1">
      <c r="A300" s="70" t="s">
        <v>590</v>
      </c>
      <c r="B300" s="165">
        <v>45956.0</v>
      </c>
      <c r="C300" s="165">
        <v>45963.0</v>
      </c>
      <c r="D300" s="69" t="s">
        <v>584</v>
      </c>
      <c r="E300" s="37" t="s">
        <v>277</v>
      </c>
      <c r="F300" s="166"/>
      <c r="G300" s="27"/>
      <c r="H300" s="28"/>
      <c r="I300" s="28"/>
      <c r="J300" s="29"/>
      <c r="K300" s="27"/>
      <c r="L300" s="28"/>
      <c r="M300" s="28"/>
      <c r="N300" s="28"/>
      <c r="O300" s="29"/>
      <c r="P300" s="27"/>
      <c r="Q300" s="28"/>
      <c r="R300" s="28"/>
      <c r="S300" s="29"/>
      <c r="T300" s="27"/>
      <c r="U300" s="28"/>
      <c r="V300" s="28"/>
      <c r="W300" s="28"/>
      <c r="X300" s="29"/>
      <c r="Y300" s="28"/>
      <c r="Z300" s="28"/>
      <c r="AA300" s="28"/>
      <c r="AB300" s="28"/>
      <c r="AC300" s="27"/>
      <c r="AD300" s="28"/>
      <c r="AE300" s="28"/>
      <c r="AF300" s="29"/>
      <c r="AG300" s="28"/>
      <c r="AH300" s="28"/>
      <c r="AI300" s="28"/>
      <c r="AJ300" s="28"/>
      <c r="AK300" s="29"/>
      <c r="AL300" s="28"/>
      <c r="AM300" s="28"/>
      <c r="AN300" s="28"/>
      <c r="AO300" s="29"/>
      <c r="AP300" s="28"/>
      <c r="AQ300" s="28"/>
      <c r="AR300" s="28"/>
      <c r="AS300" s="29"/>
      <c r="AT300" s="28"/>
      <c r="AU300" s="28"/>
      <c r="AV300" s="28"/>
      <c r="AW300" s="29"/>
      <c r="AX300" s="28"/>
      <c r="AY300" s="28"/>
      <c r="AZ300" s="28"/>
      <c r="BA300" s="28"/>
      <c r="BB300" s="29"/>
      <c r="BC300" s="30"/>
      <c r="BD300" s="28"/>
      <c r="BE300" s="28"/>
      <c r="BF300" s="28"/>
    </row>
    <row r="301" outlineLevel="1">
      <c r="A301" s="70" t="s">
        <v>256</v>
      </c>
      <c r="B301" s="167"/>
      <c r="C301" s="165">
        <v>45669.0</v>
      </c>
      <c r="D301" s="69" t="s">
        <v>584</v>
      </c>
      <c r="E301" s="37" t="s">
        <v>277</v>
      </c>
      <c r="F301" s="166"/>
      <c r="G301" s="27"/>
      <c r="H301" s="28"/>
      <c r="I301" s="28"/>
      <c r="J301" s="29"/>
      <c r="K301" s="27"/>
      <c r="L301" s="28"/>
      <c r="M301" s="28"/>
      <c r="N301" s="28"/>
      <c r="O301" s="29"/>
      <c r="P301" s="27"/>
      <c r="Q301" s="28"/>
      <c r="R301" s="28"/>
      <c r="S301" s="29"/>
      <c r="T301" s="27"/>
      <c r="U301" s="28"/>
      <c r="V301" s="28"/>
      <c r="W301" s="28"/>
      <c r="X301" s="29"/>
      <c r="Y301" s="28"/>
      <c r="Z301" s="28"/>
      <c r="AA301" s="28"/>
      <c r="AB301" s="28"/>
      <c r="AC301" s="27"/>
      <c r="AD301" s="28"/>
      <c r="AE301" s="28"/>
      <c r="AF301" s="29"/>
      <c r="AG301" s="28"/>
      <c r="AH301" s="28"/>
      <c r="AI301" s="28"/>
      <c r="AJ301" s="28"/>
      <c r="AK301" s="29"/>
      <c r="AL301" s="28"/>
      <c r="AM301" s="28"/>
      <c r="AN301" s="28"/>
      <c r="AO301" s="29"/>
      <c r="AP301" s="28"/>
      <c r="AQ301" s="28"/>
      <c r="AR301" s="28"/>
      <c r="AS301" s="29"/>
      <c r="AT301" s="28"/>
      <c r="AU301" s="28"/>
      <c r="AV301" s="28"/>
      <c r="AW301" s="29"/>
      <c r="AX301" s="28"/>
      <c r="AY301" s="28"/>
      <c r="AZ301" s="28"/>
      <c r="BA301" s="28"/>
      <c r="BB301" s="29"/>
      <c r="BC301" s="30"/>
      <c r="BD301" s="28"/>
      <c r="BE301" s="28"/>
      <c r="BF301" s="28"/>
    </row>
    <row r="302" outlineLevel="1">
      <c r="A302" s="70" t="s">
        <v>591</v>
      </c>
      <c r="B302" s="165">
        <v>45686.0</v>
      </c>
      <c r="C302" s="165">
        <v>45702.0</v>
      </c>
      <c r="D302" s="69" t="s">
        <v>584</v>
      </c>
      <c r="E302" s="37" t="s">
        <v>277</v>
      </c>
      <c r="F302" s="166"/>
      <c r="G302" s="27"/>
      <c r="H302" s="28"/>
      <c r="I302" s="28"/>
      <c r="J302" s="29"/>
      <c r="K302" s="27"/>
      <c r="L302" s="28"/>
      <c r="M302" s="28"/>
      <c r="N302" s="28"/>
      <c r="O302" s="29"/>
      <c r="P302" s="27"/>
      <c r="Q302" s="28"/>
      <c r="R302" s="28"/>
      <c r="S302" s="29"/>
      <c r="T302" s="27"/>
      <c r="U302" s="28"/>
      <c r="V302" s="28"/>
      <c r="W302" s="28"/>
      <c r="X302" s="29"/>
      <c r="Y302" s="28"/>
      <c r="Z302" s="28"/>
      <c r="AA302" s="28"/>
      <c r="AB302" s="28"/>
      <c r="AC302" s="27"/>
      <c r="AD302" s="28"/>
      <c r="AE302" s="28"/>
      <c r="AF302" s="29"/>
      <c r="AG302" s="28"/>
      <c r="AH302" s="28"/>
      <c r="AI302" s="28"/>
      <c r="AJ302" s="28"/>
      <c r="AK302" s="29"/>
      <c r="AL302" s="28"/>
      <c r="AM302" s="28"/>
      <c r="AN302" s="28"/>
      <c r="AO302" s="29"/>
      <c r="AP302" s="28"/>
      <c r="AQ302" s="28"/>
      <c r="AR302" s="28"/>
      <c r="AS302" s="29"/>
      <c r="AT302" s="28"/>
      <c r="AU302" s="28"/>
      <c r="AV302" s="28"/>
      <c r="AW302" s="29"/>
      <c r="AX302" s="28"/>
      <c r="AY302" s="28"/>
      <c r="AZ302" s="28"/>
      <c r="BA302" s="28"/>
      <c r="BB302" s="29"/>
      <c r="BC302" s="30"/>
      <c r="BD302" s="28"/>
      <c r="BE302" s="28"/>
      <c r="BF302" s="28"/>
    </row>
    <row r="303" outlineLevel="1">
      <c r="A303" s="70" t="s">
        <v>258</v>
      </c>
      <c r="B303" s="165">
        <v>45713.0</v>
      </c>
      <c r="C303" s="165">
        <v>45723.0</v>
      </c>
      <c r="D303" s="69" t="s">
        <v>584</v>
      </c>
      <c r="E303" s="37" t="s">
        <v>277</v>
      </c>
      <c r="F303" s="166"/>
      <c r="G303" s="27"/>
      <c r="H303" s="28"/>
      <c r="I303" s="28"/>
      <c r="J303" s="29"/>
      <c r="K303" s="27"/>
      <c r="L303" s="28"/>
      <c r="M303" s="28"/>
      <c r="N303" s="28"/>
      <c r="O303" s="29"/>
      <c r="P303" s="27"/>
      <c r="Q303" s="28"/>
      <c r="R303" s="28"/>
      <c r="S303" s="29"/>
      <c r="T303" s="27"/>
      <c r="U303" s="28"/>
      <c r="V303" s="28"/>
      <c r="W303" s="28"/>
      <c r="X303" s="29"/>
      <c r="Y303" s="28"/>
      <c r="Z303" s="28"/>
      <c r="AA303" s="28"/>
      <c r="AB303" s="28"/>
      <c r="AC303" s="27"/>
      <c r="AD303" s="28"/>
      <c r="AE303" s="28"/>
      <c r="AF303" s="29"/>
      <c r="AG303" s="28"/>
      <c r="AH303" s="28"/>
      <c r="AI303" s="28"/>
      <c r="AJ303" s="28"/>
      <c r="AK303" s="29"/>
      <c r="AL303" s="28"/>
      <c r="AM303" s="28"/>
      <c r="AN303" s="28"/>
      <c r="AO303" s="29"/>
      <c r="AP303" s="28"/>
      <c r="AQ303" s="28"/>
      <c r="AR303" s="28"/>
      <c r="AS303" s="29"/>
      <c r="AT303" s="28"/>
      <c r="AU303" s="28"/>
      <c r="AV303" s="28"/>
      <c r="AW303" s="29"/>
      <c r="AX303" s="28"/>
      <c r="AY303" s="28"/>
      <c r="AZ303" s="28"/>
      <c r="BA303" s="28"/>
      <c r="BB303" s="29"/>
      <c r="BC303" s="30"/>
      <c r="BD303" s="28"/>
      <c r="BE303" s="28"/>
      <c r="BF303" s="28"/>
    </row>
    <row r="304" outlineLevel="1">
      <c r="A304" s="70" t="s">
        <v>592</v>
      </c>
      <c r="B304" s="165">
        <v>45724.0</v>
      </c>
      <c r="C304" s="165">
        <v>45738.0</v>
      </c>
      <c r="D304" s="69" t="s">
        <v>584</v>
      </c>
      <c r="E304" s="37" t="s">
        <v>277</v>
      </c>
      <c r="F304" s="166"/>
      <c r="G304" s="27"/>
      <c r="H304" s="28"/>
      <c r="I304" s="28"/>
      <c r="J304" s="29"/>
      <c r="K304" s="27"/>
      <c r="L304" s="28"/>
      <c r="M304" s="28"/>
      <c r="N304" s="28"/>
      <c r="O304" s="29"/>
      <c r="P304" s="27"/>
      <c r="Q304" s="28"/>
      <c r="R304" s="28"/>
      <c r="S304" s="29"/>
      <c r="T304" s="27"/>
      <c r="U304" s="28"/>
      <c r="V304" s="28"/>
      <c r="W304" s="28"/>
      <c r="X304" s="29"/>
      <c r="Y304" s="28"/>
      <c r="Z304" s="28"/>
      <c r="AA304" s="28"/>
      <c r="AB304" s="28"/>
      <c r="AC304" s="27"/>
      <c r="AD304" s="28"/>
      <c r="AE304" s="28"/>
      <c r="AF304" s="29"/>
      <c r="AG304" s="28"/>
      <c r="AH304" s="28"/>
      <c r="AI304" s="28"/>
      <c r="AJ304" s="28"/>
      <c r="AK304" s="29"/>
      <c r="AL304" s="28"/>
      <c r="AM304" s="28"/>
      <c r="AN304" s="28"/>
      <c r="AO304" s="29"/>
      <c r="AP304" s="28"/>
      <c r="AQ304" s="28"/>
      <c r="AR304" s="28"/>
      <c r="AS304" s="29"/>
      <c r="AT304" s="28"/>
      <c r="AU304" s="28"/>
      <c r="AV304" s="28"/>
      <c r="AW304" s="29"/>
      <c r="AX304" s="28"/>
      <c r="AY304" s="28"/>
      <c r="AZ304" s="28"/>
      <c r="BA304" s="28"/>
      <c r="BB304" s="29"/>
      <c r="BC304" s="30"/>
      <c r="BD304" s="28"/>
      <c r="BE304" s="28"/>
      <c r="BF304" s="28"/>
    </row>
    <row r="305" outlineLevel="1">
      <c r="A305" s="168"/>
      <c r="B305" s="169"/>
      <c r="C305" s="169"/>
      <c r="D305" s="122"/>
      <c r="E305" s="122"/>
      <c r="F305" s="168"/>
      <c r="G305" s="27"/>
      <c r="H305" s="28"/>
      <c r="I305" s="28"/>
      <c r="J305" s="29"/>
      <c r="K305" s="27"/>
      <c r="L305" s="28"/>
      <c r="M305" s="28"/>
      <c r="N305" s="28"/>
      <c r="O305" s="29"/>
      <c r="P305" s="27"/>
      <c r="Q305" s="28"/>
      <c r="R305" s="28"/>
      <c r="S305" s="29"/>
      <c r="T305" s="27"/>
      <c r="U305" s="28"/>
      <c r="V305" s="28"/>
      <c r="W305" s="28"/>
      <c r="X305" s="29"/>
      <c r="Y305" s="28"/>
      <c r="Z305" s="28"/>
      <c r="AA305" s="28"/>
      <c r="AB305" s="28"/>
      <c r="AC305" s="27"/>
      <c r="AD305" s="28"/>
      <c r="AE305" s="28"/>
      <c r="AF305" s="29"/>
      <c r="AG305" s="28"/>
      <c r="AH305" s="28"/>
      <c r="AI305" s="28"/>
      <c r="AJ305" s="28"/>
      <c r="AK305" s="29"/>
      <c r="AL305" s="28"/>
      <c r="AM305" s="28"/>
      <c r="AN305" s="28"/>
      <c r="AO305" s="29"/>
      <c r="AP305" s="28"/>
      <c r="AQ305" s="28"/>
      <c r="AR305" s="28"/>
      <c r="AS305" s="29"/>
      <c r="AT305" s="28"/>
      <c r="AU305" s="28"/>
      <c r="AV305" s="28"/>
      <c r="AW305" s="29"/>
      <c r="AX305" s="28"/>
      <c r="AY305" s="28"/>
      <c r="AZ305" s="28"/>
      <c r="BA305" s="28"/>
      <c r="BB305" s="29"/>
      <c r="BC305" s="30"/>
      <c r="BD305" s="28"/>
      <c r="BE305" s="28"/>
      <c r="BF305" s="28"/>
    </row>
    <row r="306" outlineLevel="1">
      <c r="A306" s="164" t="s">
        <v>239</v>
      </c>
      <c r="G306" s="27"/>
      <c r="H306" s="28"/>
      <c r="I306" s="28"/>
      <c r="J306" s="29"/>
      <c r="K306" s="27"/>
      <c r="L306" s="28"/>
      <c r="M306" s="28"/>
      <c r="N306" s="28"/>
      <c r="O306" s="29"/>
      <c r="P306" s="27"/>
      <c r="Q306" s="28"/>
      <c r="R306" s="28"/>
      <c r="S306" s="29"/>
      <c r="T306" s="27"/>
      <c r="U306" s="28"/>
      <c r="V306" s="28"/>
      <c r="W306" s="28"/>
      <c r="X306" s="29"/>
      <c r="Y306" s="28"/>
      <c r="Z306" s="28"/>
      <c r="AA306" s="28"/>
      <c r="AB306" s="28"/>
      <c r="AC306" s="27"/>
      <c r="AD306" s="28"/>
      <c r="AE306" s="28"/>
      <c r="AF306" s="29"/>
      <c r="AG306" s="28"/>
      <c r="AH306" s="28"/>
      <c r="AI306" s="28"/>
      <c r="AJ306" s="28"/>
      <c r="AK306" s="29"/>
      <c r="AL306" s="28"/>
      <c r="AM306" s="28"/>
      <c r="AN306" s="28"/>
      <c r="AO306" s="29"/>
      <c r="AP306" s="28"/>
      <c r="AQ306" s="28"/>
      <c r="AR306" s="28"/>
      <c r="AS306" s="29"/>
      <c r="AT306" s="28"/>
      <c r="AU306" s="28"/>
      <c r="AV306" s="28"/>
      <c r="AW306" s="29"/>
      <c r="AX306" s="28"/>
      <c r="AY306" s="28"/>
      <c r="AZ306" s="28"/>
      <c r="BA306" s="28"/>
      <c r="BB306" s="29"/>
      <c r="BC306" s="30"/>
      <c r="BD306" s="28"/>
      <c r="BE306" s="28"/>
      <c r="BF306" s="28"/>
    </row>
    <row r="307">
      <c r="A307" s="69" t="s">
        <v>593</v>
      </c>
      <c r="B307" s="151"/>
      <c r="C307" s="102">
        <v>46010.0</v>
      </c>
      <c r="D307" s="69" t="s">
        <v>584</v>
      </c>
      <c r="E307" s="37" t="s">
        <v>277</v>
      </c>
      <c r="G307" s="27"/>
      <c r="H307" s="28"/>
      <c r="I307" s="28"/>
      <c r="J307" s="29"/>
      <c r="K307" s="27"/>
      <c r="L307" s="28"/>
      <c r="M307" s="28"/>
      <c r="N307" s="28"/>
      <c r="O307" s="29"/>
      <c r="P307" s="27"/>
      <c r="Q307" s="28"/>
      <c r="R307" s="28"/>
      <c r="S307" s="29"/>
      <c r="T307" s="27"/>
      <c r="U307" s="28"/>
      <c r="V307" s="28"/>
      <c r="W307" s="28"/>
      <c r="X307" s="29"/>
      <c r="Y307" s="28"/>
      <c r="Z307" s="28"/>
      <c r="AA307" s="28"/>
      <c r="AB307" s="28"/>
      <c r="AC307" s="27"/>
      <c r="AD307" s="28"/>
      <c r="AE307" s="28"/>
      <c r="AF307" s="29"/>
      <c r="AG307" s="28"/>
      <c r="AH307" s="28"/>
      <c r="AI307" s="28"/>
      <c r="AJ307" s="28"/>
      <c r="AK307" s="29"/>
      <c r="AL307" s="28"/>
      <c r="AM307" s="28"/>
      <c r="AN307" s="28"/>
      <c r="AO307" s="29"/>
      <c r="AP307" s="28"/>
      <c r="AQ307" s="28"/>
      <c r="AR307" s="28"/>
      <c r="AS307" s="29"/>
      <c r="AT307" s="28"/>
      <c r="AU307" s="28"/>
      <c r="AV307" s="28"/>
      <c r="AW307" s="29"/>
      <c r="AX307" s="28"/>
      <c r="AY307" s="28"/>
      <c r="AZ307" s="28"/>
      <c r="BA307" s="28"/>
      <c r="BB307" s="29"/>
      <c r="BC307" s="30"/>
      <c r="BD307" s="28"/>
      <c r="BE307" s="28"/>
      <c r="BF307" s="28"/>
    </row>
    <row r="308">
      <c r="A308" s="69" t="s">
        <v>241</v>
      </c>
      <c r="B308" s="153"/>
      <c r="C308" s="102">
        <v>45676.0</v>
      </c>
      <c r="D308" s="69" t="s">
        <v>584</v>
      </c>
      <c r="E308" s="37" t="s">
        <v>277</v>
      </c>
      <c r="G308" s="27"/>
      <c r="H308" s="28"/>
      <c r="I308" s="28"/>
      <c r="J308" s="29"/>
      <c r="K308" s="27"/>
      <c r="L308" s="28"/>
      <c r="M308" s="28"/>
      <c r="N308" s="28"/>
      <c r="O308" s="29"/>
      <c r="P308" s="27"/>
      <c r="Q308" s="28"/>
      <c r="R308" s="28"/>
      <c r="S308" s="29"/>
      <c r="T308" s="27"/>
      <c r="U308" s="28"/>
      <c r="V308" s="28"/>
      <c r="W308" s="28"/>
      <c r="X308" s="29"/>
      <c r="Y308" s="28"/>
      <c r="Z308" s="28"/>
      <c r="AA308" s="28"/>
      <c r="AB308" s="28"/>
      <c r="AC308" s="27"/>
      <c r="AD308" s="28"/>
      <c r="AE308" s="28"/>
      <c r="AF308" s="29"/>
      <c r="AG308" s="28"/>
      <c r="AH308" s="28"/>
      <c r="AI308" s="28"/>
      <c r="AJ308" s="28"/>
      <c r="AK308" s="29"/>
      <c r="AL308" s="28"/>
      <c r="AM308" s="28"/>
      <c r="AN308" s="28"/>
      <c r="AO308" s="29"/>
      <c r="AP308" s="28"/>
      <c r="AQ308" s="28"/>
      <c r="AR308" s="28"/>
      <c r="AS308" s="29"/>
      <c r="AT308" s="28"/>
      <c r="AU308" s="28"/>
      <c r="AV308" s="28"/>
      <c r="AW308" s="29"/>
      <c r="AX308" s="28"/>
      <c r="AY308" s="28"/>
      <c r="AZ308" s="28"/>
      <c r="BA308" s="28"/>
      <c r="BB308" s="29"/>
      <c r="BC308" s="30"/>
      <c r="BD308" s="28"/>
      <c r="BE308" s="28"/>
      <c r="BF308" s="28"/>
    </row>
    <row r="309">
      <c r="A309" s="69" t="s">
        <v>242</v>
      </c>
      <c r="B309" s="153"/>
      <c r="C309" s="102">
        <v>46059.0</v>
      </c>
      <c r="D309" s="69" t="s">
        <v>584</v>
      </c>
      <c r="E309" s="37" t="s">
        <v>277</v>
      </c>
      <c r="G309" s="27"/>
      <c r="H309" s="28"/>
      <c r="I309" s="28"/>
      <c r="J309" s="29"/>
      <c r="K309" s="27"/>
      <c r="L309" s="28"/>
      <c r="M309" s="28"/>
      <c r="N309" s="28"/>
      <c r="O309" s="29"/>
      <c r="P309" s="27"/>
      <c r="Q309" s="28"/>
      <c r="R309" s="28"/>
      <c r="S309" s="29"/>
      <c r="T309" s="27"/>
      <c r="U309" s="28"/>
      <c r="V309" s="28"/>
      <c r="W309" s="28"/>
      <c r="X309" s="29"/>
      <c r="Y309" s="28"/>
      <c r="Z309" s="28"/>
      <c r="AA309" s="28"/>
      <c r="AB309" s="28"/>
      <c r="AC309" s="27"/>
      <c r="AD309" s="28"/>
      <c r="AE309" s="28"/>
      <c r="AF309" s="29"/>
      <c r="AG309" s="28"/>
      <c r="AH309" s="28"/>
      <c r="AI309" s="28"/>
      <c r="AJ309" s="28"/>
      <c r="AK309" s="29"/>
      <c r="AL309" s="28"/>
      <c r="AM309" s="28"/>
      <c r="AN309" s="28"/>
      <c r="AO309" s="29"/>
      <c r="AP309" s="28"/>
      <c r="AQ309" s="28"/>
      <c r="AR309" s="28"/>
      <c r="AS309" s="29"/>
      <c r="AT309" s="28"/>
      <c r="AU309" s="28"/>
      <c r="AV309" s="28"/>
      <c r="AW309" s="29"/>
      <c r="AX309" s="28"/>
      <c r="AY309" s="28"/>
      <c r="AZ309" s="28"/>
      <c r="BA309" s="28"/>
      <c r="BB309" s="29"/>
      <c r="BC309" s="30"/>
      <c r="BD309" s="28"/>
      <c r="BE309" s="28"/>
      <c r="BF309" s="28"/>
    </row>
    <row r="310">
      <c r="A310" s="69" t="s">
        <v>243</v>
      </c>
      <c r="B310" s="151"/>
      <c r="C310" s="151">
        <v>45722.0</v>
      </c>
      <c r="D310" s="69" t="s">
        <v>584</v>
      </c>
      <c r="E310" s="37" t="s">
        <v>277</v>
      </c>
      <c r="G310" s="27"/>
      <c r="H310" s="28"/>
      <c r="I310" s="28"/>
      <c r="J310" s="29"/>
      <c r="K310" s="27"/>
      <c r="L310" s="28"/>
      <c r="M310" s="28"/>
      <c r="N310" s="28"/>
      <c r="O310" s="29"/>
      <c r="P310" s="27"/>
      <c r="Q310" s="28"/>
      <c r="R310" s="28"/>
      <c r="S310" s="29"/>
      <c r="T310" s="27"/>
      <c r="U310" s="28"/>
      <c r="V310" s="28"/>
      <c r="W310" s="28"/>
      <c r="X310" s="29"/>
      <c r="Y310" s="28"/>
      <c r="Z310" s="28"/>
      <c r="AA310" s="28"/>
      <c r="AB310" s="28"/>
      <c r="AC310" s="27"/>
      <c r="AD310" s="28"/>
      <c r="AE310" s="28"/>
      <c r="AF310" s="29"/>
      <c r="AG310" s="28"/>
      <c r="AH310" s="28"/>
      <c r="AI310" s="28"/>
      <c r="AJ310" s="28"/>
      <c r="AK310" s="29"/>
      <c r="AL310" s="28"/>
      <c r="AM310" s="28"/>
      <c r="AN310" s="28"/>
      <c r="AO310" s="29"/>
      <c r="AP310" s="28"/>
      <c r="AQ310" s="28"/>
      <c r="AR310" s="28"/>
      <c r="AS310" s="29"/>
      <c r="AT310" s="28"/>
      <c r="AU310" s="28"/>
      <c r="AV310" s="28"/>
      <c r="AW310" s="29"/>
      <c r="AX310" s="28"/>
      <c r="AY310" s="28"/>
      <c r="AZ310" s="28"/>
      <c r="BA310" s="28"/>
      <c r="BB310" s="29"/>
      <c r="BC310" s="30"/>
      <c r="BD310" s="28"/>
      <c r="BE310" s="28"/>
      <c r="BF310" s="28"/>
    </row>
    <row r="311">
      <c r="A311" s="69" t="s">
        <v>594</v>
      </c>
      <c r="B311" s="151"/>
      <c r="C311" s="151">
        <v>45726.0</v>
      </c>
      <c r="D311" s="69" t="s">
        <v>567</v>
      </c>
      <c r="E311" s="37" t="s">
        <v>277</v>
      </c>
      <c r="G311" s="27"/>
      <c r="H311" s="28"/>
      <c r="I311" s="28"/>
      <c r="J311" s="29"/>
      <c r="K311" s="27"/>
      <c r="L311" s="28"/>
      <c r="M311" s="28"/>
      <c r="N311" s="28"/>
      <c r="O311" s="29"/>
      <c r="P311" s="27"/>
      <c r="Q311" s="28"/>
      <c r="R311" s="28"/>
      <c r="S311" s="29"/>
      <c r="T311" s="27"/>
      <c r="U311" s="28"/>
      <c r="V311" s="28"/>
      <c r="W311" s="28"/>
      <c r="X311" s="29"/>
      <c r="Y311" s="28"/>
      <c r="Z311" s="28"/>
      <c r="AA311" s="28"/>
      <c r="AB311" s="28"/>
      <c r="AC311" s="27"/>
      <c r="AD311" s="28"/>
      <c r="AE311" s="28"/>
      <c r="AF311" s="29"/>
      <c r="AG311" s="28"/>
      <c r="AH311" s="28"/>
      <c r="AI311" s="28"/>
      <c r="AJ311" s="28"/>
      <c r="AK311" s="29"/>
      <c r="AL311" s="28"/>
      <c r="AM311" s="28"/>
      <c r="AN311" s="28"/>
      <c r="AO311" s="29"/>
      <c r="AP311" s="28"/>
      <c r="AQ311" s="28"/>
      <c r="AR311" s="28"/>
      <c r="AS311" s="29"/>
      <c r="AT311" s="28"/>
      <c r="AU311" s="28"/>
      <c r="AV311" s="28"/>
      <c r="AW311" s="29"/>
      <c r="AX311" s="28"/>
      <c r="AY311" s="28"/>
      <c r="AZ311" s="28"/>
      <c r="BA311" s="28"/>
      <c r="BB311" s="29"/>
      <c r="BC311" s="30"/>
      <c r="BD311" s="28"/>
      <c r="BE311" s="28"/>
      <c r="BF311" s="28"/>
    </row>
    <row r="312">
      <c r="A312" s="69" t="s">
        <v>595</v>
      </c>
      <c r="B312" s="153"/>
      <c r="C312" s="151">
        <v>45729.0</v>
      </c>
      <c r="D312" s="69" t="s">
        <v>567</v>
      </c>
      <c r="E312" s="37" t="s">
        <v>277</v>
      </c>
      <c r="G312" s="27"/>
      <c r="H312" s="28"/>
      <c r="I312" s="28"/>
      <c r="J312" s="29"/>
      <c r="K312" s="27"/>
      <c r="L312" s="28"/>
      <c r="M312" s="28"/>
      <c r="N312" s="28"/>
      <c r="O312" s="29"/>
      <c r="P312" s="27"/>
      <c r="Q312" s="28"/>
      <c r="R312" s="28"/>
      <c r="S312" s="29"/>
      <c r="T312" s="27"/>
      <c r="U312" s="28"/>
      <c r="V312" s="28"/>
      <c r="W312" s="28"/>
      <c r="X312" s="29"/>
      <c r="Y312" s="28"/>
      <c r="Z312" s="28"/>
      <c r="AA312" s="28"/>
      <c r="AB312" s="28"/>
      <c r="AC312" s="27"/>
      <c r="AD312" s="28"/>
      <c r="AE312" s="28"/>
      <c r="AF312" s="29"/>
      <c r="AG312" s="28"/>
      <c r="AH312" s="28"/>
      <c r="AI312" s="28"/>
      <c r="AJ312" s="28"/>
      <c r="AK312" s="29"/>
      <c r="AL312" s="28"/>
      <c r="AM312" s="28"/>
      <c r="AN312" s="28"/>
      <c r="AO312" s="29"/>
      <c r="AP312" s="28"/>
      <c r="AQ312" s="28"/>
      <c r="AR312" s="28"/>
      <c r="AS312" s="29"/>
      <c r="AT312" s="28"/>
      <c r="AU312" s="28"/>
      <c r="AV312" s="28"/>
      <c r="AW312" s="29"/>
      <c r="AX312" s="28"/>
      <c r="AY312" s="28"/>
      <c r="AZ312" s="28"/>
      <c r="BA312" s="28"/>
      <c r="BB312" s="29"/>
      <c r="BC312" s="30"/>
      <c r="BD312" s="28"/>
      <c r="BE312" s="28"/>
      <c r="BF312" s="28"/>
    </row>
    <row r="313">
      <c r="A313" s="69" t="s">
        <v>246</v>
      </c>
      <c r="B313" s="153"/>
      <c r="C313" s="151">
        <v>46101.0</v>
      </c>
      <c r="D313" s="69" t="s">
        <v>567</v>
      </c>
      <c r="E313" s="37" t="s">
        <v>277</v>
      </c>
      <c r="G313" s="27"/>
      <c r="H313" s="28"/>
      <c r="I313" s="28"/>
      <c r="J313" s="29"/>
      <c r="K313" s="27"/>
      <c r="L313" s="28"/>
      <c r="M313" s="28"/>
      <c r="N313" s="28"/>
      <c r="O313" s="29"/>
      <c r="P313" s="27"/>
      <c r="Q313" s="28"/>
      <c r="R313" s="28"/>
      <c r="S313" s="29"/>
      <c r="T313" s="27"/>
      <c r="U313" s="28"/>
      <c r="V313" s="28"/>
      <c r="W313" s="28"/>
      <c r="X313" s="29"/>
      <c r="Y313" s="28"/>
      <c r="Z313" s="28"/>
      <c r="AA313" s="28"/>
      <c r="AB313" s="28"/>
      <c r="AC313" s="27"/>
      <c r="AD313" s="28"/>
      <c r="AE313" s="28"/>
      <c r="AF313" s="29"/>
      <c r="AG313" s="28"/>
      <c r="AH313" s="28"/>
      <c r="AI313" s="28"/>
      <c r="AJ313" s="28"/>
      <c r="AK313" s="29"/>
      <c r="AL313" s="28"/>
      <c r="AM313" s="28"/>
      <c r="AN313" s="28"/>
      <c r="AO313" s="29"/>
      <c r="AP313" s="28"/>
      <c r="AQ313" s="28"/>
      <c r="AR313" s="28"/>
      <c r="AS313" s="29"/>
      <c r="AT313" s="28"/>
      <c r="AU313" s="28"/>
      <c r="AV313" s="28"/>
      <c r="AW313" s="29"/>
      <c r="AX313" s="28"/>
      <c r="AY313" s="28"/>
      <c r="AZ313" s="28"/>
      <c r="BA313" s="28"/>
      <c r="BB313" s="29"/>
      <c r="BC313" s="30"/>
      <c r="BD313" s="28"/>
      <c r="BE313" s="28"/>
      <c r="BF313" s="28"/>
    </row>
    <row r="314">
      <c r="A314" s="69" t="s">
        <v>596</v>
      </c>
      <c r="B314" s="153"/>
      <c r="C314" s="151">
        <v>46112.0</v>
      </c>
      <c r="D314" s="69" t="s">
        <v>567</v>
      </c>
      <c r="E314" s="37" t="s">
        <v>277</v>
      </c>
      <c r="G314" s="27"/>
      <c r="H314" s="28"/>
      <c r="I314" s="28"/>
      <c r="J314" s="29"/>
      <c r="K314" s="27"/>
      <c r="L314" s="28"/>
      <c r="M314" s="28"/>
      <c r="N314" s="28"/>
      <c r="O314" s="29"/>
      <c r="P314" s="27"/>
      <c r="Q314" s="28"/>
      <c r="R314" s="28"/>
      <c r="S314" s="29"/>
      <c r="T314" s="27"/>
      <c r="U314" s="28"/>
      <c r="V314" s="28"/>
      <c r="W314" s="28"/>
      <c r="X314" s="29"/>
      <c r="Y314" s="28"/>
      <c r="Z314" s="28"/>
      <c r="AA314" s="28"/>
      <c r="AB314" s="28"/>
      <c r="AC314" s="27"/>
      <c r="AD314" s="28"/>
      <c r="AE314" s="28"/>
      <c r="AF314" s="29"/>
      <c r="AG314" s="28"/>
      <c r="AH314" s="28"/>
      <c r="AI314" s="28"/>
      <c r="AJ314" s="28"/>
      <c r="AK314" s="29"/>
      <c r="AL314" s="28"/>
      <c r="AM314" s="28"/>
      <c r="AN314" s="28"/>
      <c r="AO314" s="29"/>
      <c r="AP314" s="28"/>
      <c r="AQ314" s="28"/>
      <c r="AR314" s="28"/>
      <c r="AS314" s="29"/>
      <c r="AT314" s="28"/>
      <c r="AU314" s="28"/>
      <c r="AV314" s="28"/>
      <c r="AW314" s="29"/>
      <c r="AX314" s="28"/>
      <c r="AY314" s="28"/>
      <c r="AZ314" s="28"/>
      <c r="BA314" s="28"/>
      <c r="BB314" s="29"/>
      <c r="BC314" s="30"/>
      <c r="BD314" s="28"/>
      <c r="BE314" s="28"/>
      <c r="BF314" s="28"/>
    </row>
    <row r="315">
      <c r="A315" s="69" t="s">
        <v>248</v>
      </c>
      <c r="B315" s="153"/>
      <c r="C315" s="151">
        <v>45755.0</v>
      </c>
      <c r="D315" s="69" t="s">
        <v>584</v>
      </c>
      <c r="E315" s="37" t="s">
        <v>277</v>
      </c>
      <c r="G315" s="27"/>
      <c r="H315" s="28"/>
      <c r="I315" s="28"/>
      <c r="J315" s="29"/>
      <c r="K315" s="27"/>
      <c r="L315" s="28"/>
      <c r="M315" s="28"/>
      <c r="N315" s="28"/>
      <c r="O315" s="29"/>
      <c r="P315" s="27"/>
      <c r="Q315" s="28"/>
      <c r="R315" s="28"/>
      <c r="S315" s="29"/>
      <c r="T315" s="27"/>
      <c r="U315" s="28"/>
      <c r="V315" s="28"/>
      <c r="W315" s="28"/>
      <c r="X315" s="29"/>
      <c r="Y315" s="28"/>
      <c r="Z315" s="28"/>
      <c r="AA315" s="28"/>
      <c r="AB315" s="28"/>
      <c r="AC315" s="27"/>
      <c r="AD315" s="28"/>
      <c r="AE315" s="28"/>
      <c r="AF315" s="29"/>
      <c r="AG315" s="28"/>
      <c r="AH315" s="28"/>
      <c r="AI315" s="28"/>
      <c r="AJ315" s="28"/>
      <c r="AK315" s="29"/>
      <c r="AL315" s="28"/>
      <c r="AM315" s="28"/>
      <c r="AN315" s="28"/>
      <c r="AO315" s="29"/>
      <c r="AP315" s="28"/>
      <c r="AQ315" s="28"/>
      <c r="AR315" s="28"/>
      <c r="AS315" s="29"/>
      <c r="AT315" s="28"/>
      <c r="AU315" s="28"/>
      <c r="AV315" s="28"/>
      <c r="AW315" s="29"/>
      <c r="AX315" s="28"/>
      <c r="AY315" s="28"/>
      <c r="AZ315" s="28"/>
      <c r="BA315" s="28"/>
      <c r="BB315" s="29"/>
      <c r="BC315" s="30"/>
      <c r="BD315" s="28"/>
      <c r="BE315" s="28"/>
      <c r="BF315" s="28"/>
    </row>
    <row r="316">
      <c r="A316" s="69" t="s">
        <v>597</v>
      </c>
      <c r="B316" s="153"/>
      <c r="C316" s="92">
        <v>45762.0</v>
      </c>
      <c r="D316" s="69" t="s">
        <v>584</v>
      </c>
      <c r="E316" s="37" t="s">
        <v>277</v>
      </c>
      <c r="G316" s="27"/>
      <c r="H316" s="28"/>
      <c r="I316" s="28"/>
      <c r="J316" s="29"/>
      <c r="K316" s="27"/>
      <c r="L316" s="28"/>
      <c r="M316" s="28"/>
      <c r="N316" s="28"/>
      <c r="O316" s="29"/>
      <c r="P316" s="27"/>
      <c r="Q316" s="28"/>
      <c r="R316" s="28"/>
      <c r="S316" s="29"/>
      <c r="T316" s="27"/>
      <c r="U316" s="28"/>
      <c r="V316" s="28"/>
      <c r="W316" s="28"/>
      <c r="X316" s="29"/>
      <c r="Y316" s="28"/>
      <c r="Z316" s="28"/>
      <c r="AA316" s="28"/>
      <c r="AB316" s="28"/>
      <c r="AC316" s="27"/>
      <c r="AD316" s="28"/>
      <c r="AE316" s="28"/>
      <c r="AF316" s="29"/>
      <c r="AG316" s="28"/>
      <c r="AH316" s="28"/>
      <c r="AI316" s="28"/>
      <c r="AJ316" s="28"/>
      <c r="AK316" s="29"/>
      <c r="AL316" s="28"/>
      <c r="AM316" s="28"/>
      <c r="AN316" s="28"/>
      <c r="AO316" s="29"/>
      <c r="AP316" s="28"/>
      <c r="AQ316" s="28"/>
      <c r="AR316" s="28"/>
      <c r="AS316" s="29"/>
      <c r="AT316" s="28"/>
      <c r="AU316" s="28"/>
      <c r="AV316" s="28"/>
      <c r="AW316" s="29"/>
      <c r="AX316" s="28"/>
      <c r="AY316" s="28"/>
      <c r="AZ316" s="28"/>
      <c r="BA316" s="28"/>
      <c r="BB316" s="29"/>
      <c r="BC316" s="30"/>
      <c r="BD316" s="28"/>
      <c r="BE316" s="28"/>
      <c r="BF316" s="28"/>
    </row>
    <row r="317">
      <c r="A317" s="37" t="s">
        <v>598</v>
      </c>
      <c r="B317" s="92"/>
      <c r="C317" s="92">
        <v>45777.0</v>
      </c>
      <c r="D317" s="69" t="s">
        <v>599</v>
      </c>
      <c r="E317" s="37" t="s">
        <v>277</v>
      </c>
      <c r="G317" s="27"/>
      <c r="H317" s="28"/>
      <c r="I317" s="28"/>
      <c r="J317" s="29"/>
      <c r="K317" s="27"/>
      <c r="L317" s="28"/>
      <c r="M317" s="28"/>
      <c r="N317" s="28"/>
      <c r="O317" s="29"/>
      <c r="P317" s="27"/>
      <c r="Q317" s="28"/>
      <c r="R317" s="28"/>
      <c r="S317" s="29"/>
      <c r="T317" s="27"/>
      <c r="U317" s="28"/>
      <c r="V317" s="28"/>
      <c r="W317" s="28"/>
      <c r="X317" s="29"/>
      <c r="Y317" s="28"/>
      <c r="Z317" s="28"/>
      <c r="AA317" s="28"/>
      <c r="AB317" s="28"/>
      <c r="AC317" s="27"/>
      <c r="AD317" s="28"/>
      <c r="AE317" s="28"/>
      <c r="AF317" s="29"/>
      <c r="AG317" s="28"/>
      <c r="AH317" s="28"/>
      <c r="AI317" s="28"/>
      <c r="AJ317" s="28"/>
      <c r="AK317" s="29"/>
      <c r="AL317" s="28"/>
      <c r="AM317" s="28"/>
      <c r="AN317" s="28"/>
      <c r="AO317" s="29"/>
      <c r="AP317" s="28"/>
      <c r="AQ317" s="28"/>
      <c r="AR317" s="28"/>
      <c r="AS317" s="29"/>
      <c r="AT317" s="28"/>
      <c r="AU317" s="28"/>
      <c r="AV317" s="28"/>
      <c r="AW317" s="29"/>
      <c r="AX317" s="28"/>
      <c r="AY317" s="28"/>
      <c r="AZ317" s="28"/>
      <c r="BA317" s="28"/>
      <c r="BB317" s="29"/>
      <c r="BC317" s="30"/>
      <c r="BD317" s="28"/>
      <c r="BE317" s="28"/>
      <c r="BF317" s="28"/>
    </row>
    <row r="318">
      <c r="A318" s="37" t="s">
        <v>600</v>
      </c>
      <c r="B318" s="92"/>
      <c r="C318" s="92">
        <v>45791.0</v>
      </c>
      <c r="D318" s="69" t="s">
        <v>599</v>
      </c>
      <c r="E318" s="37" t="s">
        <v>277</v>
      </c>
      <c r="G318" s="27"/>
      <c r="H318" s="28"/>
      <c r="I318" s="28"/>
      <c r="J318" s="29"/>
      <c r="K318" s="27"/>
      <c r="L318" s="28"/>
      <c r="M318" s="28"/>
      <c r="N318" s="28"/>
      <c r="O318" s="29"/>
      <c r="P318" s="27"/>
      <c r="Q318" s="28"/>
      <c r="R318" s="28"/>
      <c r="S318" s="29"/>
      <c r="T318" s="27"/>
      <c r="U318" s="28"/>
      <c r="V318" s="28"/>
      <c r="W318" s="28"/>
      <c r="X318" s="29"/>
      <c r="Y318" s="28"/>
      <c r="Z318" s="28"/>
      <c r="AA318" s="28"/>
      <c r="AB318" s="28"/>
      <c r="AC318" s="27"/>
      <c r="AD318" s="28"/>
      <c r="AE318" s="28"/>
      <c r="AF318" s="29"/>
      <c r="AG318" s="28"/>
      <c r="AH318" s="28"/>
      <c r="AI318" s="28"/>
      <c r="AJ318" s="28"/>
      <c r="AK318" s="29"/>
      <c r="AL318" s="28"/>
      <c r="AM318" s="28"/>
      <c r="AN318" s="28"/>
      <c r="AO318" s="29"/>
      <c r="AP318" s="28"/>
      <c r="AQ318" s="28"/>
      <c r="AR318" s="28"/>
      <c r="AS318" s="29"/>
      <c r="AT318" s="28"/>
      <c r="AU318" s="28"/>
      <c r="AV318" s="28"/>
      <c r="AW318" s="29"/>
      <c r="AX318" s="28"/>
      <c r="AY318" s="28"/>
      <c r="AZ318" s="28"/>
      <c r="BA318" s="28"/>
      <c r="BB318" s="29"/>
      <c r="BC318" s="30"/>
      <c r="BD318" s="28"/>
      <c r="BE318" s="28"/>
      <c r="BF318" s="28"/>
    </row>
    <row r="319">
      <c r="C319" s="130"/>
      <c r="D319" s="69"/>
      <c r="E319" s="122"/>
      <c r="G319" s="27"/>
      <c r="H319" s="28"/>
      <c r="I319" s="28"/>
      <c r="J319" s="29"/>
      <c r="K319" s="27"/>
      <c r="L319" s="28"/>
      <c r="M319" s="28"/>
      <c r="N319" s="28"/>
      <c r="O319" s="29"/>
      <c r="P319" s="27"/>
      <c r="Q319" s="28"/>
      <c r="R319" s="28"/>
      <c r="S319" s="29"/>
      <c r="T319" s="27"/>
      <c r="U319" s="28"/>
      <c r="V319" s="28"/>
      <c r="W319" s="28"/>
      <c r="X319" s="29"/>
      <c r="Y319" s="28"/>
      <c r="Z319" s="28"/>
      <c r="AA319" s="28"/>
      <c r="AB319" s="28"/>
      <c r="AC319" s="27"/>
      <c r="AD319" s="28"/>
      <c r="AE319" s="28"/>
      <c r="AF319" s="29"/>
      <c r="AG319" s="28"/>
      <c r="AH319" s="28"/>
      <c r="AI319" s="28"/>
      <c r="AJ319" s="28"/>
      <c r="AK319" s="29"/>
      <c r="AL319" s="28"/>
      <c r="AM319" s="28"/>
      <c r="AN319" s="28"/>
      <c r="AO319" s="29"/>
      <c r="AP319" s="28"/>
      <c r="AQ319" s="28"/>
      <c r="AR319" s="28"/>
      <c r="AS319" s="29"/>
      <c r="AT319" s="28"/>
      <c r="AU319" s="28"/>
      <c r="AV319" s="28"/>
      <c r="AW319" s="29"/>
      <c r="AX319" s="28"/>
      <c r="AY319" s="28"/>
      <c r="AZ319" s="28"/>
      <c r="BA319" s="28"/>
      <c r="BB319" s="29"/>
      <c r="BC319" s="30"/>
      <c r="BD319" s="28"/>
      <c r="BE319" s="28"/>
      <c r="BF319" s="28"/>
    </row>
  </sheetData>
  <mergeCells count="67">
    <mergeCell ref="A23:B23"/>
    <mergeCell ref="A24:B24"/>
    <mergeCell ref="A25:B25"/>
    <mergeCell ref="A26:B26"/>
    <mergeCell ref="A27:B27"/>
    <mergeCell ref="A28:B28"/>
    <mergeCell ref="A29:B29"/>
    <mergeCell ref="A30:B30"/>
    <mergeCell ref="A31:B31"/>
    <mergeCell ref="A32:B32"/>
    <mergeCell ref="A33:B33"/>
    <mergeCell ref="A34:B34"/>
    <mergeCell ref="A35:F35"/>
    <mergeCell ref="A38:F38"/>
    <mergeCell ref="A85:F85"/>
    <mergeCell ref="A95:F95"/>
    <mergeCell ref="A112:F112"/>
    <mergeCell ref="A125:F125"/>
    <mergeCell ref="A126:F126"/>
    <mergeCell ref="A137:F137"/>
    <mergeCell ref="A153:F153"/>
    <mergeCell ref="A168:F168"/>
    <mergeCell ref="A179:F179"/>
    <mergeCell ref="A186:F186"/>
    <mergeCell ref="A192:F192"/>
    <mergeCell ref="A199:F199"/>
    <mergeCell ref="A207:F207"/>
    <mergeCell ref="A212:F212"/>
    <mergeCell ref="A267:F267"/>
    <mergeCell ref="A276:F276"/>
    <mergeCell ref="A282:F282"/>
    <mergeCell ref="A288:F288"/>
    <mergeCell ref="A289:F289"/>
    <mergeCell ref="A296:F296"/>
    <mergeCell ref="A306:F306"/>
    <mergeCell ref="A319:B319"/>
    <mergeCell ref="A213:F213"/>
    <mergeCell ref="A221:F221"/>
    <mergeCell ref="A227:F227"/>
    <mergeCell ref="A235:F235"/>
    <mergeCell ref="A245:F245"/>
    <mergeCell ref="A253:F253"/>
    <mergeCell ref="A263:F263"/>
    <mergeCell ref="Y5:AB5"/>
    <mergeCell ref="AC5:AF5"/>
    <mergeCell ref="AG5:AK5"/>
    <mergeCell ref="AL5:AO5"/>
    <mergeCell ref="AP5:AS5"/>
    <mergeCell ref="AT5:AW5"/>
    <mergeCell ref="AX5:BB5"/>
    <mergeCell ref="BC5:BF5"/>
    <mergeCell ref="A1:E3"/>
    <mergeCell ref="G1:R1"/>
    <mergeCell ref="S1:AW1"/>
    <mergeCell ref="AX1:BF1"/>
    <mergeCell ref="A5:E5"/>
    <mergeCell ref="G5:J5"/>
    <mergeCell ref="K5:O5"/>
    <mergeCell ref="P5:S5"/>
    <mergeCell ref="T5:X5"/>
    <mergeCell ref="A18:B18"/>
    <mergeCell ref="A19:B19"/>
    <mergeCell ref="A20:B20"/>
    <mergeCell ref="A21:B21"/>
    <mergeCell ref="A22:B22"/>
    <mergeCell ref="A49:F49"/>
    <mergeCell ref="A65:F65"/>
  </mergeCells>
  <conditionalFormatting sqref="C6:C17 D18:F34 C22:C34 E39:E48 E50:E64 E66:E84 E86:E94 E96:E111 E113:E124 D130:F132 C131:C133 E193:E198 D198 E200:E206 E208:E211 E214:E220 E222:E226 E228:E234 E236:E244 E246:E252 E254:E262 E264:E266 E268:E275 E277:E281 E283:E287 F286:F287 E290:E295 B297:C304 E297:E305 F297:F304 D305 E307:E319">
    <cfRule type="cellIs" dxfId="0" priority="1" operator="equal">
      <formula>"Critical"</formula>
    </cfRule>
  </conditionalFormatting>
  <conditionalFormatting sqref="C6:C17 D18:F34 C22:C34 E39:E48 E50:E64 E66:E84 E86:E94 E96:E111 E113:E124 D130:F132 C131:C133 E193:E198 D198 E200:E206 E208:E211 E214:E220 E222:E226 E228:E234 E236:E244 E246:E252 E254:E262 E264:E266 E268:E275 E277:E281 E283:E287 F286:F287 E290:E295 B297:C304 E297:E305 F297:F304 D305 E307:E319">
    <cfRule type="cellIs" dxfId="1" priority="2" operator="equal">
      <formula>"High"</formula>
    </cfRule>
  </conditionalFormatting>
  <conditionalFormatting sqref="C6:C17 D18:F34 C22:C34 E39:E48 E50:E64 E66:E84 E86:E94 E96:E111 E113:E124 D130:F132 C131:C133 E193:E198 D198 E200:E206 E208:E211 E214:E220 E222:E226 E228:E234 E236:E244 E246:E252 E254:E262 E264:E266 E268:E275 E277:E281 E283:E287 F286:F287 E290:E295 B297:C304 E297:E305 F297:F304 D305 E307:E319">
    <cfRule type="cellIs" dxfId="2" priority="3" operator="equal">
      <formula>"Moderate"</formula>
    </cfRule>
  </conditionalFormatting>
  <conditionalFormatting sqref="C6:C17 D18:F34 C22:C34 E39:E48 E50:E64 E66:E84 E86:E94 E96:E111 E113:E124 D130:F132 C131:C133 E193:E198 D198 E200:E206 E208:E211 E214:E220 E222:E226 E228:E234 E236:E244 E246:E252 E254:E262 E264:E266 E268:E275 E277:E281 E283:E287 F286:F287 E290:E295 B297:C304 E297:E305 F297:F304 D305 E307:E319">
    <cfRule type="cellIs" dxfId="3" priority="4" operator="equal">
      <formula>"Low"</formula>
    </cfRule>
  </conditionalFormatting>
  <conditionalFormatting sqref="C6:C17 D18:F34 C22:C34 E39:E48 E50:E64 E66:E84 E86:E94 E96:E111 E113:E124 D130:F132 C131:C133 E193:E198 D198 E200:E206 E208:E211 E214:E220 E222:E226 E228:E234 E236:E244 E246:E252 E254:E262 E264:E266 E268:E275 E277:E281 E283:E287 F286:F287 E290:E295 B297:C304 E297:E305 F297:F304 D305 E307:E319">
    <cfRule type="cellIs" dxfId="4" priority="5" operator="equal">
      <formula>"N/A"</formula>
    </cfRule>
  </conditionalFormatting>
  <conditionalFormatting sqref="E6:E34 E39:E48 E50:E64 E66:E84 E86:E94 E96:E111 E113:E124 E127:E136 E193:E198 D198 E200:E206 E208:E211 E214:E220 E222:E226 E228:E234 E236:E244 E246:E252 E254:E262 E264:E266 E268:E275 E277:E281 E283:E287 F286:F287 E290:E295 E297:E305 D305 E307:E319">
    <cfRule type="cellIs" dxfId="3" priority="6" operator="equal">
      <formula>"Complete"</formula>
    </cfRule>
  </conditionalFormatting>
  <conditionalFormatting sqref="E6:E34 E39:E48 E50:E64 E66:E84 E86:E94 E96:E111 E113:E124 E127:E136 E193:E198 D198 E200:E206 E208:E211 E214:E220 E222:E226 E228:E234 E236:E244 E246:E252 E254:E262 E264:E266 E268:E275 E277:E281 E283:E287 F286:F287 E290:E295 E297:E305 D305 E307:E319">
    <cfRule type="cellIs" dxfId="0" priority="7" operator="equal">
      <formula>"Delayed"</formula>
    </cfRule>
  </conditionalFormatting>
  <conditionalFormatting sqref="E6:E34 E39:E48 E50:E64 E66:E84 E86:E94 E96:E111 E113:E124 E127:E136 E193:E198 D198 E200:E206 E208:E211 E214:E220 E222:E226 E228:E234 E236:E244 E246:E252 E254:E262 E264:E266 E268:E275 E277:E281 E283:E287 F286:F287 E290:E295 E297:E305 D305 E307:E319">
    <cfRule type="cellIs" dxfId="2" priority="8" operator="equal">
      <formula>"In Progress"</formula>
    </cfRule>
  </conditionalFormatting>
  <conditionalFormatting sqref="E6:E34 E39:E48 E50:E64 E66:E84 E86:E94 E96:E111 E113:E124 E127:E136 E193:E198 D198 E200:E206 E208:E211 E214:E220 E222:E226 E228:E234 E236:E244 E246:E252 E254:E262 E264:E266 E268:E275 E277:E281 E283:E287 F286:F287 E290:E295 E297:E305 D305 E307:E319">
    <cfRule type="cellIs" dxfId="5" priority="9" operator="equal">
      <formula>"Waiting"</formula>
    </cfRule>
  </conditionalFormatting>
  <conditionalFormatting sqref="E6:E34 E39:E48 E50:E64 E66:E84 E86:E94 E96:E111 E113:E124 E127:E136 E193:E198 D198 E200:E206 E208:E211 E214:E220 E222:E226 E228:E234 E236:E244 E246:E252 E254:E262 E264:E266 E268:E275 E277:E281 E283:E287 F286:F287 E290:E295 E297:E305 D305 E307:E319">
    <cfRule type="cellIs" dxfId="6" priority="10" operator="equal">
      <formula>"Cancelled"</formula>
    </cfRule>
  </conditionalFormatting>
  <dataValidations>
    <dataValidation type="list" allowBlank="1" showErrorMessage="1" sqref="E6:E16 E39:E48 E50:E64 E66:E84 E86:E94 E96:E111 E113:E124 E127:E136 E138:E152 E154:E167 E169:E178 E180:E185 E187:E191 E193:E197 D198:E198 E200:E206 E208:E211 E214:E220 E222:E226 E228:E234 E236:E244 E246:E252 E254:E262 E264:E266 E268:E275 E277:E281 E283:E287 E290:E295 E297:E304 D305:E305 E307:E319">
      <formula1>"Waiting ,Complete ,Delayed ,In Progress "</formula1>
    </dataValidation>
    <dataValidation type="list" allowBlank="1" sqref="D39:D48 D50:D64 D66:D84 D86:D94 D96:D111 D113:D124 D127:D130 D134:D135 D138:D152 D154:D157 D160 D162:D166 D169:D177 D180:D185 D187:D191 D193:D197 D200:D206 D208:D211 D214:D220 D222:D226 D228 D230:D234 D236:D244 D246:D252 D254:D262 D264:D266 D268:D275 D277:D281 D283:D287">
      <formula1>"Artem,Dejan,Maooz,Marta,Michael,Mikhal,Mohammad,Nick,Nicole,Rami,Rhythm,Rochelle,Santino,Sepehr,Simeon,Tabish,Ahri,EP Team,Team,Emi,Omar,Victor,Zulfiqar,Nathan,Davis,Aero Team,Shehreen,Josiah,Dhruv,Anisha,Mahdi,Yohana,Biblina,Luca,Matteo,Drew,James ,Filip"&amp;" P,Filip F ,VD Team ,Ethan ,Ronnie"</formula1>
    </dataValidation>
    <dataValidation type="list" allowBlank="1" sqref="D132:D133 D178 D290:D295 D297:D304 D307:D319">
      <formula1>"Afrah,Artem,Claudia,Dadmehr,Daniel,David,Dejan,Dion,Edward,Farris,George,Isabelle,Jeff,Jose,Joseph,Josh,Kasey,Liam Dani,Lucas,Maooz,Marta,Michael,Miguel,Mikhal,Mohammad,Morgan,Nick,Nicole,Rami,Rhythm,Rochelle,Santino,Sepehr,Simeon,Sophia,Tabish,Vivek,Ahri"&amp;",EP Team,Team,Emi,Arthur,Hisham,Mujtaba,Omar,Victor,Malcolm,Pierre,Ayesha,Anisha,Andrew,Luca"</formula1>
    </dataValidation>
    <dataValidation type="list" allowBlank="1" sqref="D136">
      <formula1>"Afrah,Artem,Claudia,Dadmehr,Daniel,David,Dejan,Dion,Edward,Farris,George,Isabelle,Jeff,Jose,Joseph,Josh,Kasey,Liam Dani,Lucas,Maooz,Marta,Michael,Miguel,Mikhal,Mohammad,Morgan,Nick,Nicole,Rami,Rhythm,Rochelle,Santino,Sepehr,Simeon,Sophia,Tabish,Vivek,Ahri"&amp;",EP Team,Team,Emi,Arthur,Hisham,Mujtaba,Omar,Victor,Malcolm,Mike,Luca"</formula1>
    </dataValidation>
    <dataValidation type="list" allowBlank="1" sqref="D131 D158:D159 D161 D167">
      <formula1>"Afrah,Artem,Claudia,Dadmehr,Daniel,David,Dejan,Dion,Edward,Farris,George,Isabelle,Jeff,Jose,Joseph,Josh,Kasey,Liam Dani,Lucas,Maooz,Marta,Michael,Miguel,Mikhal,Mohammad,Morgan,Nick,Nicole,Rami,Rhythm,Rochelle,Santino,Sepehr,Simeon,Sophia,Tabish,Vivek,Ahri"&amp;",EP Team,Team,Emi,Arthur,Hisham,Mujtaba,Omar,Victor,Malcolm,Ayesha,Shathurjan,Jasmine,Anisha"</formula1>
    </dataValidation>
  </dataValidations>
  <hyperlinks>
    <hyperlink r:id="rId1" ref="F5"/>
    <hyperlink r:id="rId2" ref="A42"/>
    <hyperlink r:id="rId3" ref="A6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30.25"/>
    <col customWidth="1" min="4" max="4" width="45.75"/>
    <col customWidth="1" min="5" max="5" width="26.75"/>
    <col customWidth="1" min="10" max="10" width="15.88"/>
    <col customWidth="1" min="11" max="12" width="17.13"/>
    <col customWidth="1" min="13" max="13" width="13.88"/>
    <col customWidth="1" min="14" max="14" width="16.13"/>
    <col customWidth="1" min="15" max="15" width="25.88"/>
    <col customWidth="1" min="16" max="16" width="13.88"/>
    <col customWidth="1" min="17" max="17" width="25.5"/>
    <col customWidth="1" min="18" max="18" width="17.13"/>
    <col customWidth="1" min="19" max="19" width="17.5"/>
    <col customWidth="1" min="20" max="20" width="18.13"/>
    <col customWidth="1" min="21" max="21" width="31.0"/>
    <col customWidth="1" min="22" max="22" width="15.25"/>
    <col customWidth="1" min="23" max="23" width="15.38"/>
    <col customWidth="1" min="25" max="25" width="19.88"/>
    <col hidden="1" min="26" max="27" width="12.63"/>
    <col customWidth="1" hidden="1" min="28" max="30" width="18.0"/>
    <col customWidth="1" hidden="1" min="31" max="31" width="17.13"/>
    <col customWidth="1" min="32" max="32" width="22.75"/>
    <col hidden="1" min="33" max="41" width="12.63"/>
  </cols>
  <sheetData>
    <row r="1">
      <c r="A1" s="170"/>
      <c r="V1" s="171" t="s">
        <v>601</v>
      </c>
      <c r="W1" s="172"/>
      <c r="X1" s="173"/>
      <c r="Y1" s="174"/>
      <c r="Z1" s="175" t="s">
        <v>602</v>
      </c>
      <c r="AF1" s="176"/>
    </row>
    <row r="2">
      <c r="A2" s="177" t="s">
        <v>603</v>
      </c>
      <c r="B2" s="178" t="s">
        <v>604</v>
      </c>
      <c r="C2" s="177" t="s">
        <v>605</v>
      </c>
      <c r="D2" s="177" t="s">
        <v>606</v>
      </c>
      <c r="E2" s="177" t="s">
        <v>607</v>
      </c>
      <c r="F2" s="178" t="s">
        <v>608</v>
      </c>
      <c r="G2" s="177" t="s">
        <v>609</v>
      </c>
      <c r="H2" s="178" t="s">
        <v>610</v>
      </c>
      <c r="I2" s="178" t="s">
        <v>611</v>
      </c>
      <c r="J2" s="179" t="s">
        <v>612</v>
      </c>
      <c r="K2" s="179" t="s">
        <v>613</v>
      </c>
      <c r="L2" s="180" t="s">
        <v>614</v>
      </c>
      <c r="M2" s="181" t="s">
        <v>615</v>
      </c>
      <c r="N2" s="177" t="s">
        <v>616</v>
      </c>
      <c r="O2" s="177" t="s">
        <v>617</v>
      </c>
      <c r="P2" s="177" t="s">
        <v>618</v>
      </c>
      <c r="Q2" s="178" t="s">
        <v>619</v>
      </c>
      <c r="R2" s="178" t="s">
        <v>620</v>
      </c>
      <c r="S2" s="178" t="s">
        <v>621</v>
      </c>
      <c r="T2" s="178" t="s">
        <v>622</v>
      </c>
      <c r="U2" s="177" t="s">
        <v>623</v>
      </c>
      <c r="V2" s="182" t="s">
        <v>624</v>
      </c>
      <c r="W2" s="182" t="s">
        <v>625</v>
      </c>
      <c r="X2" s="182" t="s">
        <v>626</v>
      </c>
      <c r="Y2" s="183" t="s">
        <v>627</v>
      </c>
      <c r="Z2" s="184" t="s">
        <v>628</v>
      </c>
      <c r="AA2" s="184" t="s">
        <v>629</v>
      </c>
      <c r="AB2" s="184" t="s">
        <v>630</v>
      </c>
      <c r="AC2" s="185" t="s">
        <v>631</v>
      </c>
      <c r="AD2" s="185" t="s">
        <v>632</v>
      </c>
      <c r="AE2" s="184" t="s">
        <v>633</v>
      </c>
      <c r="AF2" s="184" t="s">
        <v>634</v>
      </c>
      <c r="AG2" s="1"/>
      <c r="AH2" s="1"/>
      <c r="AI2" s="1"/>
      <c r="AJ2" s="1"/>
      <c r="AK2" s="1"/>
      <c r="AL2" s="1"/>
      <c r="AM2" s="1"/>
      <c r="AN2" s="1"/>
      <c r="AO2" s="1"/>
    </row>
    <row r="3">
      <c r="A3" s="186" t="s">
        <v>635</v>
      </c>
      <c r="B3" s="186" t="s">
        <v>636</v>
      </c>
      <c r="C3" s="186" t="s">
        <v>637</v>
      </c>
      <c r="D3" s="186" t="s">
        <v>638</v>
      </c>
      <c r="E3" s="187" t="s">
        <v>639</v>
      </c>
      <c r="F3" s="186" t="s">
        <v>640</v>
      </c>
      <c r="G3" s="186">
        <v>1.0</v>
      </c>
      <c r="H3" s="186"/>
      <c r="I3" s="186">
        <v>1.0</v>
      </c>
      <c r="J3" s="188">
        <v>100.0</v>
      </c>
      <c r="K3" s="188">
        <v>0.0</v>
      </c>
      <c r="L3" s="188">
        <v>0.0</v>
      </c>
      <c r="M3" s="189">
        <f>J3*I3+K3</f>
        <v>100</v>
      </c>
      <c r="N3" s="186" t="s">
        <v>641</v>
      </c>
      <c r="O3" s="186" t="s">
        <v>642</v>
      </c>
      <c r="P3" s="190"/>
      <c r="Q3" s="186" t="s">
        <v>643</v>
      </c>
      <c r="R3" s="186" t="s">
        <v>644</v>
      </c>
      <c r="S3" s="186" t="s">
        <v>645</v>
      </c>
      <c r="T3" s="186" t="s">
        <v>646</v>
      </c>
      <c r="U3" s="191" t="s">
        <v>647</v>
      </c>
      <c r="V3" s="192" t="s">
        <v>648</v>
      </c>
      <c r="W3" s="192" t="s">
        <v>649</v>
      </c>
      <c r="X3" s="193" t="s">
        <v>650</v>
      </c>
      <c r="Y3" s="37" t="s">
        <v>651</v>
      </c>
      <c r="Z3" s="194" t="s">
        <v>652</v>
      </c>
      <c r="AA3" s="195" t="s">
        <v>653</v>
      </c>
      <c r="AB3" s="196" t="s">
        <v>650</v>
      </c>
      <c r="AC3" s="197" t="s">
        <v>642</v>
      </c>
      <c r="AD3" s="197" t="s">
        <v>642</v>
      </c>
      <c r="AE3" s="186" t="s">
        <v>654</v>
      </c>
      <c r="AF3" s="196" t="s">
        <v>655</v>
      </c>
      <c r="AG3" s="198"/>
      <c r="AH3" s="198"/>
      <c r="AI3" s="198"/>
      <c r="AJ3" s="198"/>
      <c r="AK3" s="198"/>
      <c r="AL3" s="198"/>
      <c r="AM3" s="198"/>
      <c r="AN3" s="198"/>
      <c r="AO3" s="198"/>
    </row>
    <row r="4">
      <c r="A4" s="199" t="s">
        <v>380</v>
      </c>
      <c r="H4" s="200"/>
      <c r="I4" s="200"/>
      <c r="J4" s="201"/>
      <c r="K4" s="201"/>
      <c r="L4" s="201"/>
      <c r="M4" s="202"/>
      <c r="N4" s="202"/>
      <c r="O4" s="202"/>
      <c r="P4" s="203"/>
      <c r="Q4" s="203"/>
      <c r="R4" s="203"/>
      <c r="S4" s="203"/>
      <c r="T4" s="203"/>
      <c r="U4" s="204"/>
      <c r="V4" s="205"/>
      <c r="W4" s="205"/>
      <c r="X4" s="206"/>
      <c r="Y4" s="207"/>
      <c r="Z4" s="207"/>
      <c r="AA4" s="207"/>
      <c r="AB4" s="207"/>
      <c r="AC4" s="208"/>
      <c r="AD4" s="208"/>
      <c r="AE4" s="207"/>
      <c r="AF4" s="207"/>
      <c r="AG4" s="207"/>
      <c r="AH4" s="207"/>
      <c r="AI4" s="207"/>
      <c r="AJ4" s="207"/>
      <c r="AK4" s="207"/>
      <c r="AL4" s="207"/>
      <c r="AM4" s="207"/>
      <c r="AN4" s="207"/>
      <c r="AO4" s="207"/>
    </row>
    <row r="5" ht="21.0" customHeight="1">
      <c r="A5" s="209" t="s">
        <v>656</v>
      </c>
      <c r="B5" s="209" t="s">
        <v>380</v>
      </c>
      <c r="C5" s="210" t="s">
        <v>657</v>
      </c>
      <c r="D5" s="209" t="s">
        <v>658</v>
      </c>
      <c r="E5" s="211" t="s">
        <v>659</v>
      </c>
      <c r="F5" s="209" t="s">
        <v>640</v>
      </c>
      <c r="G5" s="209">
        <v>1.0</v>
      </c>
      <c r="H5" s="209">
        <v>0.0</v>
      </c>
      <c r="I5" s="209">
        <v>1.0</v>
      </c>
      <c r="J5" s="212">
        <v>4.1</v>
      </c>
      <c r="K5" s="212"/>
      <c r="L5" s="213"/>
      <c r="M5" s="214">
        <f>J5+K5+L5</f>
        <v>4.1</v>
      </c>
      <c r="N5" s="209" t="s">
        <v>660</v>
      </c>
      <c r="O5" s="213" t="s">
        <v>661</v>
      </c>
      <c r="P5" s="215" t="s">
        <v>662</v>
      </c>
      <c r="Q5" s="216"/>
      <c r="R5" s="217"/>
      <c r="S5" s="216"/>
      <c r="T5" s="216"/>
      <c r="U5" s="218"/>
      <c r="V5" s="219" t="s">
        <v>437</v>
      </c>
      <c r="W5" s="219" t="s">
        <v>437</v>
      </c>
      <c r="X5" s="220" t="s">
        <v>650</v>
      </c>
      <c r="Y5" s="210" t="s">
        <v>651</v>
      </c>
      <c r="Z5" s="213"/>
      <c r="AA5" s="213"/>
      <c r="AB5" s="213"/>
      <c r="AC5" s="221"/>
      <c r="AD5" s="221"/>
      <c r="AE5" s="222"/>
      <c r="AF5" s="210" t="s">
        <v>663</v>
      </c>
      <c r="AG5" s="213"/>
      <c r="AH5" s="213"/>
      <c r="AI5" s="213"/>
      <c r="AJ5" s="213"/>
      <c r="AK5" s="213"/>
      <c r="AL5" s="213"/>
      <c r="AM5" s="213"/>
      <c r="AN5" s="213"/>
      <c r="AO5" s="213"/>
    </row>
    <row r="6">
      <c r="A6" s="223"/>
    </row>
    <row r="7">
      <c r="A7" s="224" t="s">
        <v>664</v>
      </c>
      <c r="C7" s="225"/>
      <c r="D7" s="225"/>
      <c r="E7" s="225"/>
      <c r="F7" s="225"/>
      <c r="G7" s="225"/>
      <c r="H7" s="225"/>
      <c r="I7" s="225"/>
      <c r="J7" s="226"/>
      <c r="K7" s="226"/>
      <c r="L7" s="226"/>
      <c r="M7" s="227">
        <f>SUM(M5)</f>
        <v>4.1</v>
      </c>
      <c r="N7" s="228"/>
      <c r="O7" s="228"/>
      <c r="P7" s="229"/>
      <c r="Q7" s="229"/>
      <c r="R7" s="229"/>
      <c r="S7" s="229"/>
      <c r="T7" s="229"/>
      <c r="U7" s="230"/>
      <c r="V7" s="231"/>
      <c r="W7" s="231"/>
      <c r="X7" s="232"/>
      <c r="Y7" s="228"/>
      <c r="Z7" s="228"/>
      <c r="AA7" s="228"/>
      <c r="AB7" s="228"/>
      <c r="AC7" s="233"/>
      <c r="AD7" s="233"/>
      <c r="AE7" s="228"/>
      <c r="AF7" s="228"/>
      <c r="AG7" s="228"/>
      <c r="AH7" s="228"/>
      <c r="AI7" s="228"/>
      <c r="AJ7" s="228"/>
      <c r="AK7" s="228"/>
      <c r="AL7" s="228"/>
      <c r="AM7" s="228"/>
      <c r="AN7" s="228"/>
      <c r="AO7" s="228"/>
    </row>
    <row r="8">
      <c r="A8" s="199" t="s">
        <v>409</v>
      </c>
      <c r="H8" s="200"/>
      <c r="I8" s="200"/>
      <c r="J8" s="201"/>
      <c r="K8" s="201"/>
      <c r="L8" s="201"/>
      <c r="M8" s="202"/>
      <c r="N8" s="207"/>
      <c r="O8" s="207"/>
      <c r="P8" s="234"/>
      <c r="Q8" s="234"/>
      <c r="R8" s="234"/>
      <c r="S8" s="234"/>
      <c r="T8" s="234"/>
      <c r="U8" s="204"/>
      <c r="V8" s="235"/>
      <c r="W8" s="235"/>
      <c r="X8" s="206"/>
      <c r="Y8" s="207"/>
      <c r="Z8" s="207"/>
      <c r="AA8" s="207"/>
      <c r="AB8" s="207"/>
      <c r="AC8" s="208"/>
      <c r="AD8" s="208"/>
      <c r="AE8" s="207"/>
      <c r="AF8" s="207"/>
      <c r="AG8" s="207"/>
      <c r="AH8" s="207"/>
      <c r="AI8" s="207"/>
      <c r="AJ8" s="207"/>
      <c r="AK8" s="207"/>
      <c r="AL8" s="207"/>
      <c r="AM8" s="207"/>
      <c r="AN8" s="207"/>
      <c r="AO8" s="207"/>
    </row>
    <row r="9">
      <c r="A9" s="209" t="s">
        <v>656</v>
      </c>
      <c r="B9" s="209" t="s">
        <v>409</v>
      </c>
      <c r="C9" s="210" t="s">
        <v>665</v>
      </c>
      <c r="D9" s="209" t="s">
        <v>666</v>
      </c>
      <c r="E9" s="211" t="s">
        <v>667</v>
      </c>
      <c r="F9" s="209" t="s">
        <v>640</v>
      </c>
      <c r="G9" s="209">
        <v>4.0</v>
      </c>
      <c r="H9" s="209">
        <v>0.0</v>
      </c>
      <c r="I9" s="209">
        <v>4.0</v>
      </c>
      <c r="J9" s="212">
        <v>41.55</v>
      </c>
      <c r="K9" s="212"/>
      <c r="L9" s="210"/>
      <c r="M9" s="214">
        <f t="shared" ref="M9:M16" si="1">I9*J9+K9+L9</f>
        <v>166.2</v>
      </c>
      <c r="N9" s="209" t="s">
        <v>668</v>
      </c>
      <c r="O9" s="213" t="s">
        <v>661</v>
      </c>
      <c r="P9" s="215" t="s">
        <v>669</v>
      </c>
      <c r="Q9" s="216"/>
      <c r="R9" s="217"/>
      <c r="S9" s="216"/>
      <c r="T9" s="216"/>
      <c r="U9" s="218"/>
      <c r="V9" s="219" t="s">
        <v>437</v>
      </c>
      <c r="W9" s="219" t="s">
        <v>437</v>
      </c>
      <c r="X9" s="220" t="s">
        <v>650</v>
      </c>
      <c r="Y9" s="210" t="s">
        <v>651</v>
      </c>
      <c r="Z9" s="213"/>
      <c r="AA9" s="213"/>
      <c r="AB9" s="213"/>
      <c r="AC9" s="221"/>
      <c r="AD9" s="221"/>
      <c r="AE9" s="222"/>
      <c r="AF9" s="210" t="s">
        <v>663</v>
      </c>
      <c r="AG9" s="213"/>
      <c r="AH9" s="213"/>
      <c r="AI9" s="213"/>
      <c r="AJ9" s="213"/>
      <c r="AK9" s="213"/>
      <c r="AL9" s="213"/>
      <c r="AM9" s="213"/>
      <c r="AN9" s="213"/>
      <c r="AO9" s="213"/>
    </row>
    <row r="10">
      <c r="A10" s="209" t="s">
        <v>656</v>
      </c>
      <c r="B10" s="209" t="s">
        <v>409</v>
      </c>
      <c r="C10" s="210" t="s">
        <v>665</v>
      </c>
      <c r="D10" s="209" t="s">
        <v>670</v>
      </c>
      <c r="E10" s="211" t="s">
        <v>671</v>
      </c>
      <c r="F10" s="209" t="s">
        <v>640</v>
      </c>
      <c r="G10" s="209">
        <v>4.0</v>
      </c>
      <c r="H10" s="209">
        <v>0.0</v>
      </c>
      <c r="I10" s="209">
        <v>4.0</v>
      </c>
      <c r="J10" s="212">
        <v>11.13</v>
      </c>
      <c r="K10" s="212"/>
      <c r="L10" s="213"/>
      <c r="M10" s="214">
        <f t="shared" si="1"/>
        <v>44.52</v>
      </c>
      <c r="N10" s="209" t="s">
        <v>668</v>
      </c>
      <c r="O10" s="213" t="s">
        <v>661</v>
      </c>
      <c r="P10" s="215" t="s">
        <v>669</v>
      </c>
      <c r="Q10" s="216"/>
      <c r="R10" s="217"/>
      <c r="S10" s="216"/>
      <c r="T10" s="216"/>
      <c r="U10" s="218"/>
      <c r="V10" s="219" t="s">
        <v>437</v>
      </c>
      <c r="W10" s="219" t="s">
        <v>437</v>
      </c>
      <c r="X10" s="220" t="s">
        <v>650</v>
      </c>
      <c r="Y10" s="210" t="s">
        <v>651</v>
      </c>
      <c r="Z10" s="213"/>
      <c r="AA10" s="213"/>
      <c r="AB10" s="213"/>
      <c r="AC10" s="221"/>
      <c r="AD10" s="221"/>
      <c r="AE10" s="222"/>
      <c r="AF10" s="210" t="s">
        <v>663</v>
      </c>
      <c r="AG10" s="213"/>
      <c r="AH10" s="213"/>
      <c r="AI10" s="213"/>
      <c r="AJ10" s="213"/>
      <c r="AK10" s="213"/>
      <c r="AL10" s="213"/>
      <c r="AM10" s="213"/>
      <c r="AN10" s="213"/>
      <c r="AO10" s="213"/>
    </row>
    <row r="11">
      <c r="A11" s="209" t="s">
        <v>656</v>
      </c>
      <c r="B11" s="209" t="s">
        <v>409</v>
      </c>
      <c r="C11" s="210" t="s">
        <v>672</v>
      </c>
      <c r="D11" s="209" t="s">
        <v>673</v>
      </c>
      <c r="E11" s="211" t="s">
        <v>674</v>
      </c>
      <c r="F11" s="209" t="s">
        <v>640</v>
      </c>
      <c r="G11" s="209">
        <v>4.0</v>
      </c>
      <c r="H11" s="209">
        <v>0.0</v>
      </c>
      <c r="I11" s="209">
        <v>4.0</v>
      </c>
      <c r="J11" s="212">
        <v>11.13</v>
      </c>
      <c r="K11" s="212"/>
      <c r="L11" s="213"/>
      <c r="M11" s="214">
        <f t="shared" si="1"/>
        <v>44.52</v>
      </c>
      <c r="N11" s="209" t="s">
        <v>668</v>
      </c>
      <c r="O11" s="213" t="s">
        <v>675</v>
      </c>
      <c r="P11" s="215" t="s">
        <v>662</v>
      </c>
      <c r="Q11" s="216"/>
      <c r="R11" s="217"/>
      <c r="S11" s="216"/>
      <c r="T11" s="216"/>
      <c r="U11" s="218"/>
      <c r="V11" s="219" t="s">
        <v>437</v>
      </c>
      <c r="W11" s="219" t="s">
        <v>437</v>
      </c>
      <c r="X11" s="220" t="s">
        <v>650</v>
      </c>
      <c r="Y11" s="210" t="s">
        <v>676</v>
      </c>
      <c r="Z11" s="213"/>
      <c r="AA11" s="213"/>
      <c r="AB11" s="213"/>
      <c r="AC11" s="236"/>
      <c r="AD11" s="236"/>
      <c r="AE11" s="213"/>
      <c r="AF11" s="210" t="s">
        <v>677</v>
      </c>
      <c r="AG11" s="213"/>
      <c r="AH11" s="213"/>
      <c r="AI11" s="213"/>
      <c r="AJ11" s="213"/>
      <c r="AK11" s="213"/>
      <c r="AL11" s="213"/>
      <c r="AM11" s="213"/>
      <c r="AN11" s="213"/>
      <c r="AO11" s="213"/>
    </row>
    <row r="12" hidden="1">
      <c r="A12" s="237" t="s">
        <v>678</v>
      </c>
      <c r="B12" s="237" t="s">
        <v>409</v>
      </c>
      <c r="C12" s="37" t="s">
        <v>679</v>
      </c>
      <c r="D12" s="237" t="s">
        <v>680</v>
      </c>
      <c r="E12" s="238" t="s">
        <v>681</v>
      </c>
      <c r="F12" s="237" t="s">
        <v>640</v>
      </c>
      <c r="G12" s="237">
        <v>2.0</v>
      </c>
      <c r="H12" s="237"/>
      <c r="I12" s="237">
        <v>2.0</v>
      </c>
      <c r="J12" s="239">
        <f>IFERROR(__xludf.DUMMYFUNCTION("GOOGLEFINANCE(""CURRENCY:USDCAD"")*10.86"),14.772640799999998)</f>
        <v>14.7726408</v>
      </c>
      <c r="K12" s="239"/>
      <c r="M12" s="240">
        <f t="shared" si="1"/>
        <v>29.5452816</v>
      </c>
      <c r="N12" s="237" t="s">
        <v>682</v>
      </c>
      <c r="O12" s="122" t="s">
        <v>683</v>
      </c>
      <c r="P12" s="241" t="s">
        <v>684</v>
      </c>
      <c r="Q12" s="242"/>
      <c r="R12" s="243"/>
      <c r="S12" s="242"/>
      <c r="T12" s="242"/>
      <c r="U12" s="22" t="s">
        <v>685</v>
      </c>
      <c r="V12" s="244"/>
      <c r="W12" s="244"/>
      <c r="X12" s="245"/>
      <c r="Y12" s="37"/>
      <c r="Z12" s="122"/>
      <c r="AC12" s="28"/>
      <c r="AD12" s="28"/>
      <c r="AF12" s="37"/>
    </row>
    <row r="13" hidden="1">
      <c r="A13" s="237" t="s">
        <v>678</v>
      </c>
      <c r="B13" s="237" t="s">
        <v>409</v>
      </c>
      <c r="C13" s="37" t="s">
        <v>686</v>
      </c>
      <c r="D13" s="237" t="s">
        <v>687</v>
      </c>
      <c r="E13" s="238" t="s">
        <v>688</v>
      </c>
      <c r="F13" s="237" t="s">
        <v>640</v>
      </c>
      <c r="G13" s="237">
        <v>1.0</v>
      </c>
      <c r="H13" s="237"/>
      <c r="I13" s="237">
        <v>1.0</v>
      </c>
      <c r="J13" s="239">
        <f>IFERROR(__xludf.DUMMYFUNCTION("GOOGLEFINANCE(""CURRENCY:USDCAD"")*12.94"),17.602023199999998)</f>
        <v>17.6020232</v>
      </c>
      <c r="K13" s="239"/>
      <c r="M13" s="240">
        <f t="shared" si="1"/>
        <v>17.6020232</v>
      </c>
      <c r="N13" s="237" t="s">
        <v>682</v>
      </c>
      <c r="O13" s="122" t="s">
        <v>689</v>
      </c>
      <c r="P13" s="241" t="s">
        <v>690</v>
      </c>
      <c r="Q13" s="242"/>
      <c r="R13" s="243"/>
      <c r="S13" s="242"/>
      <c r="T13" s="242"/>
      <c r="U13" s="22" t="s">
        <v>685</v>
      </c>
      <c r="V13" s="244"/>
      <c r="W13" s="244"/>
      <c r="X13" s="245"/>
      <c r="Y13" s="37"/>
      <c r="Z13" s="122"/>
      <c r="AC13" s="28"/>
      <c r="AD13" s="28"/>
      <c r="AF13" s="37"/>
    </row>
    <row r="14">
      <c r="A14" s="246" t="s">
        <v>656</v>
      </c>
      <c r="B14" s="246" t="s">
        <v>409</v>
      </c>
      <c r="C14" s="247" t="s">
        <v>691</v>
      </c>
      <c r="D14" s="246" t="s">
        <v>692</v>
      </c>
      <c r="E14" s="248"/>
      <c r="F14" s="246" t="s">
        <v>640</v>
      </c>
      <c r="G14" s="246">
        <v>1.0</v>
      </c>
      <c r="H14" s="246"/>
      <c r="I14" s="246">
        <v>1.0</v>
      </c>
      <c r="J14" s="249">
        <v>91.06</v>
      </c>
      <c r="K14" s="249"/>
      <c r="L14" s="250"/>
      <c r="M14" s="251">
        <f t="shared" si="1"/>
        <v>91.06</v>
      </c>
      <c r="N14" s="246" t="s">
        <v>693</v>
      </c>
      <c r="O14" s="250" t="s">
        <v>694</v>
      </c>
      <c r="P14" s="252" t="s">
        <v>695</v>
      </c>
      <c r="Q14" s="253"/>
      <c r="R14" s="254"/>
      <c r="S14" s="253"/>
      <c r="T14" s="253"/>
      <c r="U14" s="255"/>
      <c r="V14" s="256" t="s">
        <v>437</v>
      </c>
      <c r="W14" s="256" t="s">
        <v>437</v>
      </c>
      <c r="X14" s="257" t="s">
        <v>650</v>
      </c>
      <c r="Y14" s="258" t="s">
        <v>696</v>
      </c>
      <c r="Z14" s="259"/>
      <c r="AA14" s="259"/>
      <c r="AB14" s="259"/>
      <c r="AC14" s="260"/>
      <c r="AD14" s="260"/>
      <c r="AE14" s="261"/>
      <c r="AF14" s="258" t="s">
        <v>697</v>
      </c>
      <c r="AG14" s="259"/>
      <c r="AH14" s="259"/>
      <c r="AI14" s="259"/>
      <c r="AJ14" s="259"/>
      <c r="AK14" s="259"/>
      <c r="AL14" s="259"/>
      <c r="AM14" s="259"/>
      <c r="AN14" s="259"/>
      <c r="AO14" s="259"/>
    </row>
    <row r="15">
      <c r="A15" s="209" t="s">
        <v>656</v>
      </c>
      <c r="B15" s="209" t="s">
        <v>409</v>
      </c>
      <c r="C15" s="262" t="s">
        <v>698</v>
      </c>
      <c r="D15" s="221" t="s">
        <v>699</v>
      </c>
      <c r="E15" s="218" t="s">
        <v>700</v>
      </c>
      <c r="F15" s="209" t="s">
        <v>640</v>
      </c>
      <c r="G15" s="263">
        <v>1.0</v>
      </c>
      <c r="H15" s="210"/>
      <c r="I15" s="209">
        <v>1.0</v>
      </c>
      <c r="J15" s="214">
        <v>12.59</v>
      </c>
      <c r="K15" s="214"/>
      <c r="L15" s="214"/>
      <c r="M15" s="264">
        <f t="shared" si="1"/>
        <v>12.59</v>
      </c>
      <c r="N15" s="210" t="s">
        <v>701</v>
      </c>
      <c r="O15" s="265"/>
      <c r="P15" s="266" t="s">
        <v>702</v>
      </c>
      <c r="Q15" s="267"/>
      <c r="R15" s="268"/>
      <c r="S15" s="267"/>
      <c r="T15" s="267"/>
      <c r="U15" s="213"/>
      <c r="V15" s="219" t="s">
        <v>437</v>
      </c>
      <c r="W15" s="219" t="s">
        <v>437</v>
      </c>
      <c r="X15" s="220" t="s">
        <v>650</v>
      </c>
      <c r="Y15" s="210" t="s">
        <v>676</v>
      </c>
      <c r="Z15" s="213"/>
      <c r="AA15" s="213"/>
      <c r="AB15" s="213"/>
      <c r="AC15" s="236"/>
      <c r="AD15" s="236"/>
      <c r="AE15" s="213"/>
      <c r="AF15" s="210" t="s">
        <v>677</v>
      </c>
      <c r="AG15" s="213"/>
      <c r="AH15" s="213"/>
      <c r="AI15" s="213"/>
      <c r="AJ15" s="213"/>
      <c r="AK15" s="213"/>
      <c r="AL15" s="213"/>
      <c r="AM15" s="213"/>
      <c r="AN15" s="213"/>
      <c r="AO15" s="213"/>
    </row>
    <row r="16">
      <c r="A16" s="209" t="s">
        <v>656</v>
      </c>
      <c r="B16" s="209" t="s">
        <v>409</v>
      </c>
      <c r="C16" s="265" t="s">
        <v>703</v>
      </c>
      <c r="D16" s="221" t="s">
        <v>704</v>
      </c>
      <c r="E16" s="218" t="s">
        <v>705</v>
      </c>
      <c r="F16" s="209" t="s">
        <v>640</v>
      </c>
      <c r="G16" s="263">
        <v>4.0</v>
      </c>
      <c r="H16" s="213"/>
      <c r="I16" s="209">
        <v>4.0</v>
      </c>
      <c r="J16" s="269">
        <v>98.09</v>
      </c>
      <c r="K16" s="214"/>
      <c r="L16" s="214"/>
      <c r="M16" s="264">
        <f t="shared" si="1"/>
        <v>392.36</v>
      </c>
      <c r="N16" s="210" t="s">
        <v>706</v>
      </c>
      <c r="O16" s="265"/>
      <c r="P16" s="266" t="s">
        <v>707</v>
      </c>
      <c r="Q16" s="267"/>
      <c r="R16" s="270"/>
      <c r="S16" s="270"/>
      <c r="T16" s="270"/>
      <c r="U16" s="210" t="s">
        <v>708</v>
      </c>
      <c r="V16" s="244" t="s">
        <v>437</v>
      </c>
      <c r="W16" s="244" t="s">
        <v>437</v>
      </c>
      <c r="X16" s="245" t="s">
        <v>650</v>
      </c>
      <c r="Y16" s="37" t="s">
        <v>651</v>
      </c>
      <c r="Z16" s="122"/>
      <c r="AC16" s="28"/>
      <c r="AD16" s="28"/>
      <c r="AF16" s="37" t="s">
        <v>655</v>
      </c>
    </row>
    <row r="17">
      <c r="A17" s="223"/>
    </row>
    <row r="18">
      <c r="A18" s="271" t="s">
        <v>664</v>
      </c>
      <c r="C18" s="272"/>
      <c r="D18" s="272"/>
      <c r="E18" s="272"/>
      <c r="F18" s="272"/>
      <c r="G18" s="272"/>
      <c r="H18" s="273"/>
      <c r="I18" s="273"/>
      <c r="J18" s="273"/>
      <c r="K18" s="273"/>
      <c r="L18" s="273"/>
      <c r="M18" s="274">
        <f>SUM(M9:M16)</f>
        <v>798.3973048</v>
      </c>
      <c r="N18" s="273"/>
      <c r="O18" s="273"/>
      <c r="P18" s="273"/>
      <c r="Q18" s="273"/>
      <c r="R18" s="273"/>
      <c r="S18" s="273"/>
      <c r="T18" s="273"/>
      <c r="U18" s="273"/>
      <c r="V18" s="231"/>
      <c r="W18" s="231"/>
      <c r="X18" s="231"/>
      <c r="Y18" s="273"/>
      <c r="Z18" s="273"/>
      <c r="AA18" s="273"/>
      <c r="AB18" s="273"/>
      <c r="AC18" s="273"/>
      <c r="AD18" s="273"/>
      <c r="AE18" s="273"/>
      <c r="AF18" s="273"/>
      <c r="AG18" s="273"/>
      <c r="AH18" s="273"/>
      <c r="AI18" s="273"/>
      <c r="AJ18" s="273"/>
      <c r="AK18" s="273"/>
      <c r="AL18" s="273"/>
      <c r="AM18" s="273"/>
      <c r="AN18" s="273"/>
      <c r="AO18" s="273"/>
    </row>
    <row r="19">
      <c r="A19" s="199" t="s">
        <v>442</v>
      </c>
      <c r="H19" s="200"/>
      <c r="I19" s="200"/>
      <c r="J19" s="200"/>
      <c r="K19" s="200"/>
      <c r="L19" s="200"/>
      <c r="M19" s="200"/>
      <c r="N19" s="200"/>
      <c r="O19" s="200"/>
      <c r="P19" s="200"/>
      <c r="Q19" s="200"/>
      <c r="R19" s="200"/>
      <c r="S19" s="200"/>
      <c r="T19" s="200"/>
      <c r="U19" s="200"/>
      <c r="V19" s="235"/>
      <c r="W19" s="235"/>
      <c r="X19" s="235"/>
      <c r="Y19" s="200"/>
      <c r="Z19" s="200"/>
      <c r="AA19" s="200"/>
      <c r="AB19" s="200"/>
      <c r="AC19" s="200"/>
      <c r="AD19" s="200"/>
      <c r="AE19" s="200"/>
      <c r="AF19" s="200"/>
      <c r="AG19" s="200"/>
      <c r="AH19" s="200"/>
      <c r="AI19" s="200"/>
      <c r="AJ19" s="200"/>
      <c r="AK19" s="200"/>
      <c r="AL19" s="200"/>
      <c r="AM19" s="200"/>
      <c r="AN19" s="200"/>
      <c r="AO19" s="200"/>
    </row>
    <row r="20">
      <c r="A20" s="209" t="s">
        <v>656</v>
      </c>
      <c r="B20" s="209" t="s">
        <v>442</v>
      </c>
      <c r="C20" s="262" t="s">
        <v>709</v>
      </c>
      <c r="D20" s="221" t="s">
        <v>710</v>
      </c>
      <c r="E20" s="218" t="s">
        <v>711</v>
      </c>
      <c r="F20" s="209" t="s">
        <v>640</v>
      </c>
      <c r="G20" s="263">
        <v>2.0</v>
      </c>
      <c r="H20" s="210">
        <v>0.0</v>
      </c>
      <c r="I20" s="209">
        <v>2.0</v>
      </c>
      <c r="J20" s="214">
        <v>205.77</v>
      </c>
      <c r="K20" s="214"/>
      <c r="L20" s="214"/>
      <c r="M20" s="264">
        <v>411.54</v>
      </c>
      <c r="N20" s="210" t="s">
        <v>641</v>
      </c>
      <c r="O20" s="265"/>
      <c r="P20" s="266" t="s">
        <v>712</v>
      </c>
      <c r="Q20" s="267"/>
      <c r="R20" s="268" t="s">
        <v>713</v>
      </c>
      <c r="S20" s="267"/>
      <c r="T20" s="267"/>
      <c r="U20" s="275"/>
      <c r="V20" s="219" t="s">
        <v>437</v>
      </c>
      <c r="W20" s="219" t="s">
        <v>437</v>
      </c>
      <c r="X20" s="220" t="s">
        <v>650</v>
      </c>
      <c r="Y20" s="210" t="s">
        <v>651</v>
      </c>
      <c r="Z20" s="213"/>
      <c r="AA20" s="213"/>
      <c r="AB20" s="213"/>
      <c r="AC20" s="221"/>
      <c r="AD20" s="221"/>
      <c r="AE20" s="222"/>
      <c r="AF20" s="210" t="s">
        <v>663</v>
      </c>
      <c r="AG20" s="213"/>
      <c r="AH20" s="213"/>
      <c r="AI20" s="213"/>
      <c r="AJ20" s="213"/>
      <c r="AK20" s="213"/>
      <c r="AL20" s="213"/>
      <c r="AM20" s="213"/>
      <c r="AN20" s="213"/>
      <c r="AO20" s="213"/>
    </row>
    <row r="21">
      <c r="A21" s="209" t="s">
        <v>656</v>
      </c>
      <c r="B21" s="209" t="s">
        <v>442</v>
      </c>
      <c r="C21" s="265" t="s">
        <v>714</v>
      </c>
      <c r="D21" s="221" t="s">
        <v>715</v>
      </c>
      <c r="E21" s="218" t="s">
        <v>716</v>
      </c>
      <c r="F21" s="209" t="s">
        <v>640</v>
      </c>
      <c r="G21" s="263">
        <v>1.0</v>
      </c>
      <c r="H21" s="210">
        <v>0.0</v>
      </c>
      <c r="I21" s="209">
        <v>1.0</v>
      </c>
      <c r="J21" s="214">
        <v>164.56</v>
      </c>
      <c r="K21" s="214"/>
      <c r="L21" s="214"/>
      <c r="M21" s="214">
        <v>164.56</v>
      </c>
      <c r="N21" s="210" t="s">
        <v>641</v>
      </c>
      <c r="O21" s="265"/>
      <c r="P21" s="266" t="s">
        <v>717</v>
      </c>
      <c r="Q21" s="267"/>
      <c r="R21" s="275" t="s">
        <v>713</v>
      </c>
      <c r="S21" s="270"/>
      <c r="T21" s="270"/>
      <c r="U21" s="275"/>
      <c r="V21" s="219" t="s">
        <v>437</v>
      </c>
      <c r="W21" s="219" t="s">
        <v>437</v>
      </c>
      <c r="X21" s="220" t="s">
        <v>650</v>
      </c>
      <c r="Y21" s="210" t="s">
        <v>651</v>
      </c>
      <c r="Z21" s="213"/>
      <c r="AA21" s="213"/>
      <c r="AB21" s="213"/>
      <c r="AC21" s="221"/>
      <c r="AD21" s="221"/>
      <c r="AE21" s="222"/>
      <c r="AF21" s="210" t="s">
        <v>663</v>
      </c>
      <c r="AG21" s="213"/>
      <c r="AH21" s="213"/>
      <c r="AI21" s="213"/>
      <c r="AJ21" s="213"/>
      <c r="AK21" s="213"/>
      <c r="AL21" s="213"/>
      <c r="AM21" s="213"/>
      <c r="AN21" s="213"/>
      <c r="AO21" s="213"/>
    </row>
    <row r="22">
      <c r="A22" s="209" t="s">
        <v>656</v>
      </c>
      <c r="B22" s="209" t="s">
        <v>442</v>
      </c>
      <c r="C22" s="262" t="s">
        <v>718</v>
      </c>
      <c r="D22" s="221" t="s">
        <v>719</v>
      </c>
      <c r="E22" s="218" t="s">
        <v>720</v>
      </c>
      <c r="F22" s="209" t="s">
        <v>640</v>
      </c>
      <c r="G22" s="263">
        <v>1.0</v>
      </c>
      <c r="H22" s="210">
        <v>1.0</v>
      </c>
      <c r="I22" s="209">
        <v>2.0</v>
      </c>
      <c r="J22" s="214">
        <v>44.26</v>
      </c>
      <c r="K22" s="214">
        <v>0.0</v>
      </c>
      <c r="L22" s="214">
        <v>0.0</v>
      </c>
      <c r="M22" s="264">
        <f>J22*I22</f>
        <v>88.52</v>
      </c>
      <c r="N22" s="210" t="s">
        <v>721</v>
      </c>
      <c r="O22" s="265" t="s">
        <v>722</v>
      </c>
      <c r="P22" s="266" t="s">
        <v>723</v>
      </c>
      <c r="Q22" s="267" t="s">
        <v>724</v>
      </c>
      <c r="R22" s="276" t="s">
        <v>713</v>
      </c>
      <c r="S22" s="267" t="s">
        <v>642</v>
      </c>
      <c r="T22" s="267" t="s">
        <v>642</v>
      </c>
      <c r="U22" s="213"/>
      <c r="V22" s="219" t="s">
        <v>437</v>
      </c>
      <c r="W22" s="219" t="s">
        <v>437</v>
      </c>
      <c r="X22" s="220" t="s">
        <v>650</v>
      </c>
      <c r="Y22" s="210" t="s">
        <v>651</v>
      </c>
      <c r="Z22" s="213"/>
      <c r="AA22" s="213"/>
      <c r="AB22" s="213"/>
      <c r="AC22" s="221"/>
      <c r="AD22" s="221"/>
      <c r="AE22" s="222"/>
      <c r="AF22" s="210" t="s">
        <v>663</v>
      </c>
      <c r="AG22" s="213"/>
      <c r="AH22" s="213"/>
      <c r="AI22" s="213"/>
      <c r="AJ22" s="213"/>
      <c r="AK22" s="213"/>
      <c r="AL22" s="213"/>
      <c r="AM22" s="213"/>
      <c r="AN22" s="213"/>
      <c r="AO22" s="213"/>
    </row>
    <row r="23">
      <c r="A23" s="223"/>
    </row>
    <row r="24">
      <c r="A24" s="271" t="s">
        <v>664</v>
      </c>
      <c r="C24" s="272"/>
      <c r="D24" s="272"/>
      <c r="E24" s="272"/>
      <c r="F24" s="272"/>
      <c r="G24" s="272"/>
      <c r="H24" s="273"/>
      <c r="I24" s="273"/>
      <c r="J24" s="273"/>
      <c r="K24" s="273"/>
      <c r="L24" s="273"/>
      <c r="M24" s="274">
        <f>SUM(M20:M22)</f>
        <v>664.62</v>
      </c>
      <c r="N24" s="273"/>
      <c r="O24" s="273"/>
      <c r="P24" s="273"/>
      <c r="Q24" s="273"/>
      <c r="R24" s="273"/>
      <c r="S24" s="273"/>
      <c r="T24" s="273"/>
      <c r="U24" s="273"/>
      <c r="V24" s="231"/>
      <c r="W24" s="231"/>
      <c r="X24" s="231"/>
      <c r="Y24" s="273"/>
      <c r="Z24" s="273"/>
      <c r="AA24" s="273"/>
      <c r="AB24" s="273"/>
      <c r="AC24" s="273"/>
      <c r="AD24" s="273"/>
      <c r="AE24" s="273"/>
      <c r="AF24" s="273"/>
      <c r="AG24" s="273"/>
      <c r="AH24" s="273"/>
      <c r="AI24" s="273"/>
      <c r="AJ24" s="273"/>
      <c r="AK24" s="273"/>
      <c r="AL24" s="273"/>
      <c r="AM24" s="273"/>
      <c r="AN24" s="273"/>
      <c r="AO24" s="273"/>
    </row>
    <row r="25">
      <c r="A25" s="199" t="s">
        <v>725</v>
      </c>
      <c r="H25" s="200"/>
      <c r="I25" s="200"/>
      <c r="J25" s="200"/>
      <c r="K25" s="200"/>
      <c r="L25" s="200"/>
      <c r="M25" s="200"/>
      <c r="N25" s="200"/>
      <c r="O25" s="200"/>
      <c r="P25" s="200"/>
      <c r="Q25" s="200"/>
      <c r="R25" s="200"/>
      <c r="S25" s="200"/>
      <c r="T25" s="200"/>
      <c r="U25" s="200"/>
      <c r="V25" s="235"/>
      <c r="W25" s="235"/>
      <c r="X25" s="235"/>
      <c r="Y25" s="200"/>
      <c r="Z25" s="200"/>
      <c r="AA25" s="200"/>
      <c r="AB25" s="200"/>
      <c r="AC25" s="200"/>
      <c r="AD25" s="200"/>
      <c r="AE25" s="200"/>
      <c r="AF25" s="200"/>
      <c r="AG25" s="200"/>
      <c r="AH25" s="200"/>
      <c r="AI25" s="200"/>
      <c r="AJ25" s="200"/>
      <c r="AK25" s="200"/>
      <c r="AL25" s="200"/>
      <c r="AM25" s="200"/>
      <c r="AN25" s="200"/>
      <c r="AO25" s="200"/>
    </row>
    <row r="26">
      <c r="A26" s="209" t="s">
        <v>656</v>
      </c>
      <c r="B26" s="209" t="s">
        <v>726</v>
      </c>
      <c r="C26" s="209" t="s">
        <v>727</v>
      </c>
      <c r="D26" s="218" t="s">
        <v>728</v>
      </c>
      <c r="E26" s="218"/>
      <c r="F26" s="209" t="s">
        <v>640</v>
      </c>
      <c r="G26" s="210">
        <v>50.0</v>
      </c>
      <c r="H26" s="210">
        <v>10.0</v>
      </c>
      <c r="I26" s="209">
        <f t="shared" ref="I26:I29" si="2">G26+H26</f>
        <v>60</v>
      </c>
      <c r="J26" s="214">
        <f>IFERROR(__xludf.DUMMYFUNCTION("GOOGLEFINANCE(""CURRENCY:USDCAD"")*25.13"),34.1838364)</f>
        <v>34.1838364</v>
      </c>
      <c r="K26" s="277"/>
      <c r="L26" s="278">
        <f t="shared" ref="L26:L28" si="3">(J26*0.13)*I26</f>
        <v>266.6339239</v>
      </c>
      <c r="M26" s="264">
        <f t="shared" ref="M26:M46" si="4">J26*I26+K26+L26</f>
        <v>2317.664108</v>
      </c>
      <c r="N26" s="210" t="s">
        <v>668</v>
      </c>
      <c r="O26" s="279" t="s">
        <v>729</v>
      </c>
      <c r="P26" s="280" t="s">
        <v>730</v>
      </c>
      <c r="Q26" s="281" t="s">
        <v>724</v>
      </c>
      <c r="R26" s="281" t="s">
        <v>731</v>
      </c>
      <c r="S26" s="281"/>
      <c r="T26" s="281"/>
      <c r="U26" s="213"/>
      <c r="V26" s="219" t="s">
        <v>437</v>
      </c>
      <c r="W26" s="219" t="s">
        <v>437</v>
      </c>
      <c r="X26" s="220" t="s">
        <v>650</v>
      </c>
      <c r="Y26" s="210" t="s">
        <v>696</v>
      </c>
      <c r="Z26" s="213"/>
      <c r="AA26" s="213"/>
      <c r="AB26" s="213"/>
      <c r="AC26" s="221"/>
      <c r="AD26" s="221"/>
      <c r="AE26" s="222"/>
      <c r="AF26" s="210" t="s">
        <v>732</v>
      </c>
      <c r="AG26" s="213"/>
      <c r="AH26" s="213"/>
      <c r="AI26" s="213"/>
      <c r="AJ26" s="213"/>
      <c r="AK26" s="213"/>
      <c r="AL26" s="213"/>
      <c r="AM26" s="213"/>
      <c r="AN26" s="213"/>
      <c r="AO26" s="213"/>
    </row>
    <row r="27">
      <c r="A27" s="209" t="s">
        <v>656</v>
      </c>
      <c r="B27" s="209" t="s">
        <v>726</v>
      </c>
      <c r="C27" s="210" t="s">
        <v>733</v>
      </c>
      <c r="D27" s="210" t="s">
        <v>734</v>
      </c>
      <c r="E27" s="210" t="s">
        <v>735</v>
      </c>
      <c r="F27" s="209" t="s">
        <v>640</v>
      </c>
      <c r="G27" s="210">
        <v>10.0</v>
      </c>
      <c r="H27" s="210">
        <v>2.0</v>
      </c>
      <c r="I27" s="209">
        <f t="shared" si="2"/>
        <v>12</v>
      </c>
      <c r="J27" s="277">
        <f>IFERROR(__xludf.DUMMYFUNCTION("GOOGLEFINANCE(""CURRENCY:USDCAD"")*102.35"),139.22465799999998)</f>
        <v>139.224658</v>
      </c>
      <c r="K27" s="213"/>
      <c r="L27" s="278">
        <f t="shared" si="3"/>
        <v>217.1904665</v>
      </c>
      <c r="M27" s="264">
        <f t="shared" si="4"/>
        <v>1887.886362</v>
      </c>
      <c r="N27" s="210" t="s">
        <v>668</v>
      </c>
      <c r="O27" s="282" t="s">
        <v>736</v>
      </c>
      <c r="P27" s="283" t="s">
        <v>737</v>
      </c>
      <c r="Q27" s="281" t="s">
        <v>724</v>
      </c>
      <c r="R27" s="281" t="s">
        <v>731</v>
      </c>
      <c r="S27" s="216"/>
      <c r="T27" s="216"/>
      <c r="U27" s="213"/>
      <c r="V27" s="219" t="s">
        <v>437</v>
      </c>
      <c r="W27" s="219" t="s">
        <v>437</v>
      </c>
      <c r="X27" s="220" t="s">
        <v>650</v>
      </c>
      <c r="Y27" s="210" t="s">
        <v>696</v>
      </c>
      <c r="Z27" s="213"/>
      <c r="AA27" s="213"/>
      <c r="AB27" s="213"/>
      <c r="AC27" s="236"/>
      <c r="AD27" s="236"/>
      <c r="AE27" s="213"/>
      <c r="AF27" s="210" t="s">
        <v>732</v>
      </c>
      <c r="AG27" s="213"/>
      <c r="AH27" s="213"/>
      <c r="AI27" s="213"/>
      <c r="AJ27" s="213"/>
      <c r="AK27" s="213"/>
      <c r="AL27" s="213"/>
      <c r="AM27" s="213"/>
      <c r="AN27" s="213"/>
      <c r="AO27" s="213"/>
    </row>
    <row r="28">
      <c r="A28" s="209" t="s">
        <v>656</v>
      </c>
      <c r="B28" s="209" t="s">
        <v>726</v>
      </c>
      <c r="C28" s="210" t="s">
        <v>738</v>
      </c>
      <c r="D28" s="210" t="s">
        <v>739</v>
      </c>
      <c r="E28" s="210" t="s">
        <v>740</v>
      </c>
      <c r="F28" s="209" t="s">
        <v>640</v>
      </c>
      <c r="G28" s="210">
        <v>10.0</v>
      </c>
      <c r="H28" s="210">
        <v>2.0</v>
      </c>
      <c r="I28" s="209">
        <f t="shared" si="2"/>
        <v>12</v>
      </c>
      <c r="J28" s="277">
        <f>IFERROR(__xludf.DUMMYFUNCTION("GOOGLEFINANCE(""CURRENCY:USDCAD"")*40.35"),54.887298)</f>
        <v>54.887298</v>
      </c>
      <c r="K28" s="213"/>
      <c r="L28" s="278">
        <f t="shared" si="3"/>
        <v>85.62418488</v>
      </c>
      <c r="M28" s="264">
        <f t="shared" si="4"/>
        <v>744.2717609</v>
      </c>
      <c r="N28" s="210" t="s">
        <v>668</v>
      </c>
      <c r="O28" s="282" t="s">
        <v>741</v>
      </c>
      <c r="P28" s="283" t="s">
        <v>742</v>
      </c>
      <c r="Q28" s="281" t="s">
        <v>724</v>
      </c>
      <c r="R28" s="281" t="s">
        <v>731</v>
      </c>
      <c r="S28" s="216"/>
      <c r="T28" s="216"/>
      <c r="U28" s="213"/>
      <c r="V28" s="219" t="s">
        <v>437</v>
      </c>
      <c r="W28" s="219" t="s">
        <v>437</v>
      </c>
      <c r="X28" s="220" t="s">
        <v>650</v>
      </c>
      <c r="Y28" s="210" t="s">
        <v>696</v>
      </c>
      <c r="Z28" s="213"/>
      <c r="AA28" s="213"/>
      <c r="AB28" s="213"/>
      <c r="AC28" s="236"/>
      <c r="AD28" s="236"/>
      <c r="AE28" s="213"/>
      <c r="AF28" s="210" t="s">
        <v>732</v>
      </c>
      <c r="AG28" s="213"/>
      <c r="AH28" s="213"/>
      <c r="AI28" s="213"/>
      <c r="AJ28" s="213"/>
      <c r="AK28" s="213"/>
      <c r="AL28" s="213"/>
      <c r="AM28" s="213"/>
      <c r="AN28" s="213"/>
      <c r="AO28" s="213"/>
    </row>
    <row r="29">
      <c r="A29" s="209" t="s">
        <v>656</v>
      </c>
      <c r="B29" s="209" t="s">
        <v>726</v>
      </c>
      <c r="C29" s="284" t="s">
        <v>743</v>
      </c>
      <c r="D29" s="285" t="s">
        <v>744</v>
      </c>
      <c r="E29" s="218" t="s">
        <v>745</v>
      </c>
      <c r="F29" s="209" t="s">
        <v>640</v>
      </c>
      <c r="G29" s="210">
        <v>10.0</v>
      </c>
      <c r="H29" s="210">
        <v>1.0</v>
      </c>
      <c r="I29" s="209">
        <f t="shared" si="2"/>
        <v>11</v>
      </c>
      <c r="J29" s="277">
        <f>IFERROR(__xludf.DUMMYFUNCTION("GOOGLEFINANCE(""CURRENCY:USDCAD"")*23.66"),32.184224799999996)</f>
        <v>32.1842248</v>
      </c>
      <c r="K29" s="214"/>
      <c r="L29" s="278">
        <f>I29*J29*0.13</f>
        <v>46.02344146</v>
      </c>
      <c r="M29" s="264">
        <f t="shared" si="4"/>
        <v>400.0499143</v>
      </c>
      <c r="N29" s="210" t="s">
        <v>668</v>
      </c>
      <c r="O29" s="282" t="s">
        <v>746</v>
      </c>
      <c r="P29" s="286" t="s">
        <v>747</v>
      </c>
      <c r="Q29" s="281" t="s">
        <v>724</v>
      </c>
      <c r="R29" s="281" t="s">
        <v>731</v>
      </c>
      <c r="S29" s="287"/>
      <c r="T29" s="287"/>
      <c r="U29" s="213"/>
      <c r="V29" s="219" t="s">
        <v>437</v>
      </c>
      <c r="W29" s="219" t="s">
        <v>437</v>
      </c>
      <c r="X29" s="220" t="s">
        <v>650</v>
      </c>
      <c r="Y29" s="210" t="s">
        <v>696</v>
      </c>
      <c r="Z29" s="213"/>
      <c r="AA29" s="213"/>
      <c r="AB29" s="213"/>
      <c r="AC29" s="221"/>
      <c r="AD29" s="221"/>
      <c r="AE29" s="222"/>
      <c r="AF29" s="210" t="s">
        <v>732</v>
      </c>
      <c r="AG29" s="210"/>
      <c r="AH29" s="213"/>
      <c r="AI29" s="213"/>
      <c r="AJ29" s="213"/>
      <c r="AK29" s="213"/>
      <c r="AL29" s="213"/>
      <c r="AM29" s="213"/>
      <c r="AN29" s="213"/>
      <c r="AO29" s="213"/>
    </row>
    <row r="30">
      <c r="A30" s="209" t="s">
        <v>656</v>
      </c>
      <c r="B30" s="209" t="s">
        <v>726</v>
      </c>
      <c r="C30" s="210" t="s">
        <v>748</v>
      </c>
      <c r="D30" s="210" t="s">
        <v>749</v>
      </c>
      <c r="E30" s="218" t="s">
        <v>750</v>
      </c>
      <c r="F30" s="209" t="s">
        <v>640</v>
      </c>
      <c r="G30" s="210">
        <v>2.0</v>
      </c>
      <c r="H30" s="213"/>
      <c r="I30" s="209">
        <v>2.0</v>
      </c>
      <c r="J30" s="277">
        <f>IFERROR(__xludf.DUMMYFUNCTION("GOOGLEFINANCE(""CURRENCY:USDCAD"")*31.9"),43.392931999999995)</f>
        <v>43.392932</v>
      </c>
      <c r="K30" s="214"/>
      <c r="L30" s="278">
        <f t="shared" ref="L30:L46" si="5">(J30*0.13)*I30</f>
        <v>11.28216232</v>
      </c>
      <c r="M30" s="264">
        <f t="shared" si="4"/>
        <v>98.06802632</v>
      </c>
      <c r="N30" s="210" t="s">
        <v>668</v>
      </c>
      <c r="O30" s="288" t="s">
        <v>751</v>
      </c>
      <c r="P30" s="286" t="s">
        <v>752</v>
      </c>
      <c r="Q30" s="281" t="s">
        <v>724</v>
      </c>
      <c r="R30" s="281" t="s">
        <v>731</v>
      </c>
      <c r="S30" s="287"/>
      <c r="T30" s="287"/>
      <c r="U30" s="213"/>
      <c r="V30" s="219" t="s">
        <v>437</v>
      </c>
      <c r="W30" s="219" t="s">
        <v>437</v>
      </c>
      <c r="X30" s="220" t="s">
        <v>650</v>
      </c>
      <c r="Y30" s="210" t="s">
        <v>696</v>
      </c>
      <c r="Z30" s="213"/>
      <c r="AA30" s="213"/>
      <c r="AB30" s="213"/>
      <c r="AC30" s="221"/>
      <c r="AD30" s="221"/>
      <c r="AE30" s="222"/>
      <c r="AF30" s="210" t="s">
        <v>732</v>
      </c>
      <c r="AG30" s="210"/>
      <c r="AH30" s="213"/>
      <c r="AI30" s="213"/>
      <c r="AJ30" s="213"/>
      <c r="AK30" s="213"/>
      <c r="AL30" s="213"/>
      <c r="AM30" s="213"/>
      <c r="AN30" s="213"/>
      <c r="AO30" s="213"/>
    </row>
    <row r="31">
      <c r="A31" s="209" t="s">
        <v>753</v>
      </c>
      <c r="B31" s="209" t="s">
        <v>726</v>
      </c>
      <c r="C31" s="262" t="s">
        <v>754</v>
      </c>
      <c r="D31" s="221" t="s">
        <v>755</v>
      </c>
      <c r="E31" s="218" t="s">
        <v>756</v>
      </c>
      <c r="F31" s="209" t="s">
        <v>640</v>
      </c>
      <c r="G31" s="263">
        <v>1.0</v>
      </c>
      <c r="H31" s="210">
        <v>0.0</v>
      </c>
      <c r="I31" s="209">
        <v>1.0</v>
      </c>
      <c r="J31" s="214">
        <f>IFERROR(__xludf.DUMMYFUNCTION("GOOGLEFINANCE(""CURRENCY:USDCAD"")*113.51"),154.4053828)</f>
        <v>154.4053828</v>
      </c>
      <c r="K31" s="214"/>
      <c r="L31" s="278">
        <f t="shared" si="5"/>
        <v>20.07269976</v>
      </c>
      <c r="M31" s="264">
        <f t="shared" si="4"/>
        <v>174.4780826</v>
      </c>
      <c r="N31" s="210" t="s">
        <v>668</v>
      </c>
      <c r="O31" s="265">
        <v>986.0</v>
      </c>
      <c r="P31" s="266" t="s">
        <v>757</v>
      </c>
      <c r="Q31" s="281" t="s">
        <v>724</v>
      </c>
      <c r="R31" s="281" t="s">
        <v>731</v>
      </c>
      <c r="S31" s="267"/>
      <c r="T31" s="267"/>
      <c r="U31" s="213"/>
      <c r="V31" s="219" t="s">
        <v>437</v>
      </c>
      <c r="W31" s="219" t="s">
        <v>437</v>
      </c>
      <c r="X31" s="220" t="s">
        <v>650</v>
      </c>
      <c r="Y31" s="210" t="s">
        <v>696</v>
      </c>
      <c r="Z31" s="210"/>
      <c r="AA31" s="210"/>
      <c r="AB31" s="213"/>
      <c r="AC31" s="236"/>
      <c r="AD31" s="236"/>
      <c r="AE31" s="213"/>
      <c r="AF31" s="210" t="s">
        <v>732</v>
      </c>
      <c r="AG31" s="213"/>
      <c r="AH31" s="213"/>
      <c r="AI31" s="213"/>
      <c r="AJ31" s="213"/>
      <c r="AK31" s="213"/>
      <c r="AL31" s="213"/>
      <c r="AM31" s="213"/>
      <c r="AN31" s="213"/>
      <c r="AO31" s="213"/>
    </row>
    <row r="32">
      <c r="A32" s="209" t="s">
        <v>656</v>
      </c>
      <c r="B32" s="209" t="s">
        <v>726</v>
      </c>
      <c r="C32" s="289" t="s">
        <v>758</v>
      </c>
      <c r="D32" s="221" t="s">
        <v>759</v>
      </c>
      <c r="E32" s="218" t="s">
        <v>756</v>
      </c>
      <c r="F32" s="209" t="s">
        <v>640</v>
      </c>
      <c r="G32" s="263">
        <v>1.0</v>
      </c>
      <c r="H32" s="210">
        <v>1.0</v>
      </c>
      <c r="I32" s="209">
        <v>2.0</v>
      </c>
      <c r="J32" s="214">
        <f>IFERROR(__xludf.DUMMYFUNCTION("GOOGLEFINANCE(""CURRENCY:USDCAD"")*28.86"),39.257680799999996)</f>
        <v>39.2576808</v>
      </c>
      <c r="K32" s="214"/>
      <c r="L32" s="278">
        <f t="shared" si="5"/>
        <v>10.20699701</v>
      </c>
      <c r="M32" s="264">
        <f t="shared" si="4"/>
        <v>88.72235861</v>
      </c>
      <c r="N32" s="210" t="s">
        <v>668</v>
      </c>
      <c r="O32" s="288" t="s">
        <v>760</v>
      </c>
      <c r="P32" s="290" t="s">
        <v>761</v>
      </c>
      <c r="Q32" s="281" t="s">
        <v>762</v>
      </c>
      <c r="R32" s="281" t="s">
        <v>731</v>
      </c>
      <c r="S32" s="267"/>
      <c r="T32" s="267"/>
      <c r="U32" s="213"/>
      <c r="V32" s="219" t="s">
        <v>437</v>
      </c>
      <c r="W32" s="219" t="s">
        <v>437</v>
      </c>
      <c r="X32" s="220" t="s">
        <v>650</v>
      </c>
      <c r="Y32" s="210" t="s">
        <v>696</v>
      </c>
      <c r="Z32" s="210"/>
      <c r="AA32" s="210"/>
      <c r="AB32" s="213"/>
      <c r="AC32" s="236"/>
      <c r="AD32" s="236"/>
      <c r="AE32" s="213"/>
      <c r="AF32" s="210" t="s">
        <v>732</v>
      </c>
      <c r="AG32" s="213"/>
      <c r="AH32" s="213"/>
      <c r="AI32" s="213"/>
      <c r="AJ32" s="213"/>
      <c r="AK32" s="213"/>
      <c r="AL32" s="213"/>
      <c r="AM32" s="213"/>
      <c r="AN32" s="213"/>
      <c r="AO32" s="213"/>
    </row>
    <row r="33">
      <c r="A33" s="209" t="s">
        <v>753</v>
      </c>
      <c r="B33" s="209" t="s">
        <v>726</v>
      </c>
      <c r="C33" s="262" t="s">
        <v>763</v>
      </c>
      <c r="D33" s="262"/>
      <c r="E33" s="218" t="s">
        <v>764</v>
      </c>
      <c r="F33" s="209" t="s">
        <v>640</v>
      </c>
      <c r="G33" s="263">
        <v>1.0</v>
      </c>
      <c r="H33" s="210"/>
      <c r="I33" s="209">
        <v>1.0</v>
      </c>
      <c r="J33" s="214">
        <f>IFERROR(__xludf.DUMMYFUNCTION("GOOGLEFINANCE(""CURRENCY:USDCAD"")*8.16"),11.0998848)</f>
        <v>11.0998848</v>
      </c>
      <c r="K33" s="214"/>
      <c r="L33" s="278">
        <f t="shared" si="5"/>
        <v>1.442985024</v>
      </c>
      <c r="M33" s="264">
        <f t="shared" si="4"/>
        <v>12.54286982</v>
      </c>
      <c r="N33" s="210" t="s">
        <v>668</v>
      </c>
      <c r="O33" s="288" t="s">
        <v>765</v>
      </c>
      <c r="P33" s="266" t="s">
        <v>766</v>
      </c>
      <c r="Q33" s="281" t="s">
        <v>724</v>
      </c>
      <c r="R33" s="281" t="s">
        <v>731</v>
      </c>
      <c r="S33" s="267"/>
      <c r="T33" s="267"/>
      <c r="U33" s="213"/>
      <c r="V33" s="219" t="s">
        <v>437</v>
      </c>
      <c r="W33" s="219" t="s">
        <v>437</v>
      </c>
      <c r="X33" s="220" t="s">
        <v>650</v>
      </c>
      <c r="Y33" s="210" t="s">
        <v>696</v>
      </c>
      <c r="Z33" s="210"/>
      <c r="AA33" s="210"/>
      <c r="AB33" s="213"/>
      <c r="AC33" s="236"/>
      <c r="AD33" s="236"/>
      <c r="AE33" s="213"/>
      <c r="AF33" s="210" t="s">
        <v>732</v>
      </c>
      <c r="AG33" s="213"/>
      <c r="AH33" s="213"/>
      <c r="AI33" s="213"/>
      <c r="AJ33" s="213"/>
      <c r="AK33" s="213"/>
      <c r="AL33" s="213"/>
      <c r="AM33" s="213"/>
      <c r="AN33" s="213"/>
      <c r="AO33" s="213"/>
    </row>
    <row r="34">
      <c r="A34" s="209" t="s">
        <v>656</v>
      </c>
      <c r="B34" s="209" t="s">
        <v>726</v>
      </c>
      <c r="C34" s="210" t="s">
        <v>767</v>
      </c>
      <c r="D34" s="210" t="s">
        <v>768</v>
      </c>
      <c r="E34" s="218" t="s">
        <v>769</v>
      </c>
      <c r="F34" s="209" t="s">
        <v>640</v>
      </c>
      <c r="G34" s="210">
        <v>8.0</v>
      </c>
      <c r="H34" s="210">
        <v>3.0</v>
      </c>
      <c r="I34" s="209">
        <v>11.0</v>
      </c>
      <c r="J34" s="214">
        <f>IFERROR(__xludf.DUMMYFUNCTION("GOOGLEFINANCE(""CURRENCY:USDCAD"")*18.43"),25.0699604)</f>
        <v>25.0699604</v>
      </c>
      <c r="K34" s="214"/>
      <c r="L34" s="278">
        <f t="shared" si="5"/>
        <v>35.85004337</v>
      </c>
      <c r="M34" s="264">
        <f t="shared" si="4"/>
        <v>311.6196078</v>
      </c>
      <c r="N34" s="210" t="s">
        <v>668</v>
      </c>
      <c r="O34" s="279" t="s">
        <v>770</v>
      </c>
      <c r="P34" s="280" t="s">
        <v>771</v>
      </c>
      <c r="Q34" s="281" t="s">
        <v>724</v>
      </c>
      <c r="R34" s="281" t="s">
        <v>731</v>
      </c>
      <c r="S34" s="287"/>
      <c r="T34" s="287"/>
      <c r="U34" s="213"/>
      <c r="V34" s="219" t="s">
        <v>437</v>
      </c>
      <c r="W34" s="219" t="s">
        <v>437</v>
      </c>
      <c r="X34" s="220" t="s">
        <v>650</v>
      </c>
      <c r="Y34" s="210" t="s">
        <v>696</v>
      </c>
      <c r="Z34" s="213"/>
      <c r="AA34" s="213"/>
      <c r="AB34" s="213"/>
      <c r="AC34" s="221"/>
      <c r="AD34" s="221"/>
      <c r="AE34" s="222"/>
      <c r="AF34" s="210" t="s">
        <v>732</v>
      </c>
      <c r="AG34" s="210"/>
      <c r="AH34" s="213"/>
      <c r="AI34" s="213"/>
      <c r="AJ34" s="213"/>
      <c r="AK34" s="213"/>
      <c r="AL34" s="213"/>
      <c r="AM34" s="213"/>
      <c r="AN34" s="213"/>
      <c r="AO34" s="213"/>
    </row>
    <row r="35">
      <c r="A35" s="209" t="s">
        <v>753</v>
      </c>
      <c r="B35" s="209" t="s">
        <v>726</v>
      </c>
      <c r="C35" s="262" t="s">
        <v>772</v>
      </c>
      <c r="D35" s="221"/>
      <c r="E35" s="218" t="s">
        <v>773</v>
      </c>
      <c r="F35" s="209" t="s">
        <v>640</v>
      </c>
      <c r="G35" s="263">
        <v>10.0</v>
      </c>
      <c r="H35" s="210"/>
      <c r="I35" s="209">
        <f t="shared" ref="I35:I42" si="6">G35+H35</f>
        <v>10</v>
      </c>
      <c r="J35" s="214">
        <v>1.18</v>
      </c>
      <c r="K35" s="214"/>
      <c r="L35" s="278">
        <f t="shared" si="5"/>
        <v>1.534</v>
      </c>
      <c r="M35" s="264">
        <f t="shared" si="4"/>
        <v>13.334</v>
      </c>
      <c r="N35" s="210" t="s">
        <v>721</v>
      </c>
      <c r="O35" s="291">
        <v>1827400.0</v>
      </c>
      <c r="P35" s="266" t="s">
        <v>774</v>
      </c>
      <c r="Q35" s="281" t="s">
        <v>724</v>
      </c>
      <c r="R35" s="281" t="s">
        <v>731</v>
      </c>
      <c r="S35" s="267"/>
      <c r="T35" s="267"/>
      <c r="U35" s="213"/>
      <c r="V35" s="256" t="s">
        <v>437</v>
      </c>
      <c r="W35" s="256" t="s">
        <v>437</v>
      </c>
      <c r="X35" s="257" t="s">
        <v>650</v>
      </c>
      <c r="Y35" s="292" t="s">
        <v>382</v>
      </c>
      <c r="Z35" s="292"/>
      <c r="AA35" s="292"/>
      <c r="AB35" s="166"/>
      <c r="AC35" s="293"/>
      <c r="AD35" s="293"/>
      <c r="AE35" s="166"/>
      <c r="AF35" s="37" t="s">
        <v>775</v>
      </c>
      <c r="AG35" s="259"/>
      <c r="AH35" s="259"/>
      <c r="AI35" s="259"/>
      <c r="AJ35" s="259"/>
      <c r="AK35" s="259"/>
      <c r="AL35" s="259"/>
      <c r="AM35" s="259"/>
      <c r="AN35" s="259"/>
      <c r="AO35" s="259"/>
    </row>
    <row r="36">
      <c r="A36" s="209" t="s">
        <v>753</v>
      </c>
      <c r="B36" s="209" t="s">
        <v>726</v>
      </c>
      <c r="C36" s="262" t="s">
        <v>776</v>
      </c>
      <c r="D36" s="221"/>
      <c r="E36" s="218" t="s">
        <v>773</v>
      </c>
      <c r="F36" s="209" t="s">
        <v>640</v>
      </c>
      <c r="G36" s="263">
        <v>10.0</v>
      </c>
      <c r="H36" s="210"/>
      <c r="I36" s="209">
        <f t="shared" si="6"/>
        <v>10</v>
      </c>
      <c r="J36" s="214">
        <v>0.88</v>
      </c>
      <c r="K36" s="214"/>
      <c r="L36" s="278">
        <f t="shared" si="5"/>
        <v>1.144</v>
      </c>
      <c r="M36" s="264">
        <f t="shared" si="4"/>
        <v>9.944</v>
      </c>
      <c r="N36" s="210" t="s">
        <v>721</v>
      </c>
      <c r="O36" s="291">
        <v>1827341.0</v>
      </c>
      <c r="P36" s="266" t="s">
        <v>777</v>
      </c>
      <c r="Q36" s="281" t="s">
        <v>724</v>
      </c>
      <c r="R36" s="281" t="s">
        <v>731</v>
      </c>
      <c r="S36" s="267"/>
      <c r="T36" s="267"/>
      <c r="U36" s="213"/>
      <c r="V36" s="256" t="s">
        <v>437</v>
      </c>
      <c r="W36" s="256" t="s">
        <v>437</v>
      </c>
      <c r="X36" s="257" t="s">
        <v>650</v>
      </c>
      <c r="Y36" s="292" t="s">
        <v>382</v>
      </c>
      <c r="Z36" s="166"/>
      <c r="AA36" s="166"/>
      <c r="AB36" s="166"/>
      <c r="AC36" s="293"/>
      <c r="AD36" s="293"/>
      <c r="AE36" s="166"/>
      <c r="AF36" s="37" t="s">
        <v>775</v>
      </c>
      <c r="AG36" s="259"/>
      <c r="AH36" s="259"/>
      <c r="AI36" s="259"/>
      <c r="AJ36" s="259"/>
      <c r="AK36" s="259"/>
      <c r="AL36" s="259"/>
      <c r="AM36" s="259"/>
      <c r="AN36" s="259"/>
      <c r="AO36" s="259"/>
    </row>
    <row r="37">
      <c r="A37" s="209" t="s">
        <v>753</v>
      </c>
      <c r="B37" s="209" t="s">
        <v>726</v>
      </c>
      <c r="C37" s="262" t="s">
        <v>778</v>
      </c>
      <c r="D37" s="221"/>
      <c r="E37" s="218" t="s">
        <v>773</v>
      </c>
      <c r="F37" s="209" t="s">
        <v>640</v>
      </c>
      <c r="G37" s="263">
        <v>12.0</v>
      </c>
      <c r="H37" s="210"/>
      <c r="I37" s="209">
        <f t="shared" si="6"/>
        <v>12</v>
      </c>
      <c r="J37" s="214">
        <v>1.21</v>
      </c>
      <c r="K37" s="214"/>
      <c r="L37" s="278">
        <f t="shared" si="5"/>
        <v>1.8876</v>
      </c>
      <c r="M37" s="264">
        <f t="shared" si="4"/>
        <v>16.4076</v>
      </c>
      <c r="N37" s="210" t="s">
        <v>721</v>
      </c>
      <c r="O37" s="291" t="s">
        <v>779</v>
      </c>
      <c r="P37" s="266" t="s">
        <v>780</v>
      </c>
      <c r="Q37" s="281" t="s">
        <v>724</v>
      </c>
      <c r="R37" s="281" t="s">
        <v>731</v>
      </c>
      <c r="S37" s="267"/>
      <c r="T37" s="267"/>
      <c r="U37" s="213"/>
      <c r="V37" s="256" t="s">
        <v>437</v>
      </c>
      <c r="W37" s="256" t="s">
        <v>437</v>
      </c>
      <c r="X37" s="257" t="s">
        <v>650</v>
      </c>
      <c r="Y37" s="292" t="s">
        <v>382</v>
      </c>
      <c r="Z37" s="166"/>
      <c r="AA37" s="166"/>
      <c r="AB37" s="166"/>
      <c r="AC37" s="294"/>
      <c r="AD37" s="294"/>
      <c r="AE37" s="295"/>
      <c r="AF37" s="37" t="s">
        <v>775</v>
      </c>
      <c r="AG37" s="259"/>
      <c r="AH37" s="259"/>
      <c r="AI37" s="259"/>
      <c r="AJ37" s="259"/>
      <c r="AK37" s="259"/>
      <c r="AL37" s="259"/>
      <c r="AM37" s="259"/>
      <c r="AN37" s="259"/>
      <c r="AO37" s="259"/>
    </row>
    <row r="38">
      <c r="A38" s="209" t="s">
        <v>753</v>
      </c>
      <c r="B38" s="209" t="s">
        <v>726</v>
      </c>
      <c r="C38" s="262" t="s">
        <v>781</v>
      </c>
      <c r="D38" s="221"/>
      <c r="E38" s="218" t="s">
        <v>773</v>
      </c>
      <c r="F38" s="209" t="s">
        <v>640</v>
      </c>
      <c r="G38" s="263">
        <v>12.0</v>
      </c>
      <c r="H38" s="210"/>
      <c r="I38" s="209">
        <f t="shared" si="6"/>
        <v>12</v>
      </c>
      <c r="J38" s="214">
        <v>0.85</v>
      </c>
      <c r="K38" s="214"/>
      <c r="L38" s="278">
        <f t="shared" si="5"/>
        <v>1.326</v>
      </c>
      <c r="M38" s="264">
        <f t="shared" si="4"/>
        <v>11.526</v>
      </c>
      <c r="N38" s="210" t="s">
        <v>721</v>
      </c>
      <c r="O38" s="291" t="s">
        <v>782</v>
      </c>
      <c r="P38" s="266" t="s">
        <v>783</v>
      </c>
      <c r="Q38" s="281" t="s">
        <v>724</v>
      </c>
      <c r="R38" s="281" t="s">
        <v>731</v>
      </c>
      <c r="S38" s="267"/>
      <c r="T38" s="267"/>
      <c r="U38" s="213"/>
      <c r="V38" s="256" t="s">
        <v>437</v>
      </c>
      <c r="W38" s="256" t="s">
        <v>437</v>
      </c>
      <c r="X38" s="257" t="s">
        <v>650</v>
      </c>
      <c r="Y38" s="292" t="s">
        <v>382</v>
      </c>
      <c r="Z38" s="292"/>
      <c r="AA38" s="292"/>
      <c r="AB38" s="166"/>
      <c r="AC38" s="293"/>
      <c r="AD38" s="293"/>
      <c r="AE38" s="166"/>
      <c r="AF38" s="37" t="s">
        <v>775</v>
      </c>
      <c r="AG38" s="259"/>
      <c r="AH38" s="259"/>
      <c r="AI38" s="259"/>
      <c r="AJ38" s="259"/>
      <c r="AK38" s="259"/>
      <c r="AL38" s="259"/>
      <c r="AM38" s="259"/>
      <c r="AN38" s="259"/>
      <c r="AO38" s="259"/>
    </row>
    <row r="39">
      <c r="A39" s="209" t="s">
        <v>753</v>
      </c>
      <c r="B39" s="209" t="s">
        <v>726</v>
      </c>
      <c r="C39" s="262" t="s">
        <v>784</v>
      </c>
      <c r="D39" s="221"/>
      <c r="E39" s="218" t="s">
        <v>785</v>
      </c>
      <c r="F39" s="209" t="s">
        <v>640</v>
      </c>
      <c r="G39" s="263">
        <v>20.0</v>
      </c>
      <c r="H39" s="210"/>
      <c r="I39" s="209">
        <f t="shared" si="6"/>
        <v>20</v>
      </c>
      <c r="J39" s="214">
        <v>0.78</v>
      </c>
      <c r="K39" s="214"/>
      <c r="L39" s="278">
        <f t="shared" si="5"/>
        <v>2.028</v>
      </c>
      <c r="M39" s="264">
        <f t="shared" si="4"/>
        <v>17.628</v>
      </c>
      <c r="N39" s="210" t="s">
        <v>721</v>
      </c>
      <c r="O39" s="291" t="s">
        <v>786</v>
      </c>
      <c r="P39" s="266" t="s">
        <v>787</v>
      </c>
      <c r="Q39" s="281" t="s">
        <v>724</v>
      </c>
      <c r="R39" s="281" t="s">
        <v>731</v>
      </c>
      <c r="S39" s="267"/>
      <c r="T39" s="267"/>
      <c r="U39" s="213"/>
      <c r="V39" s="256" t="s">
        <v>437</v>
      </c>
      <c r="W39" s="256" t="s">
        <v>437</v>
      </c>
      <c r="X39" s="257" t="s">
        <v>650</v>
      </c>
      <c r="Y39" s="292" t="s">
        <v>382</v>
      </c>
      <c r="Z39" s="166"/>
      <c r="AA39" s="166"/>
      <c r="AB39" s="166"/>
      <c r="AC39" s="293"/>
      <c r="AD39" s="293"/>
      <c r="AE39" s="166"/>
      <c r="AF39" s="37" t="s">
        <v>775</v>
      </c>
      <c r="AG39" s="259"/>
      <c r="AH39" s="259"/>
      <c r="AI39" s="259"/>
      <c r="AJ39" s="259"/>
      <c r="AK39" s="259"/>
      <c r="AL39" s="259"/>
      <c r="AM39" s="259"/>
      <c r="AN39" s="259"/>
      <c r="AO39" s="259"/>
    </row>
    <row r="40">
      <c r="A40" s="209" t="s">
        <v>753</v>
      </c>
      <c r="B40" s="209" t="s">
        <v>726</v>
      </c>
      <c r="C40" s="262" t="s">
        <v>788</v>
      </c>
      <c r="D40" s="221"/>
      <c r="E40" s="218" t="s">
        <v>785</v>
      </c>
      <c r="F40" s="209" t="s">
        <v>640</v>
      </c>
      <c r="G40" s="263">
        <v>20.0</v>
      </c>
      <c r="H40" s="210"/>
      <c r="I40" s="209">
        <f t="shared" si="6"/>
        <v>20</v>
      </c>
      <c r="J40" s="214">
        <v>0.88</v>
      </c>
      <c r="K40" s="214"/>
      <c r="L40" s="278">
        <f t="shared" si="5"/>
        <v>2.288</v>
      </c>
      <c r="M40" s="264">
        <f t="shared" si="4"/>
        <v>19.888</v>
      </c>
      <c r="N40" s="210" t="s">
        <v>721</v>
      </c>
      <c r="O40" s="291" t="s">
        <v>789</v>
      </c>
      <c r="P40" s="266" t="s">
        <v>790</v>
      </c>
      <c r="Q40" s="281" t="s">
        <v>724</v>
      </c>
      <c r="R40" s="281" t="s">
        <v>731</v>
      </c>
      <c r="S40" s="267"/>
      <c r="T40" s="267"/>
      <c r="U40" s="213"/>
      <c r="V40" s="256" t="s">
        <v>437</v>
      </c>
      <c r="W40" s="256" t="s">
        <v>437</v>
      </c>
      <c r="X40" s="257" t="s">
        <v>650</v>
      </c>
      <c r="Y40" s="292" t="s">
        <v>382</v>
      </c>
      <c r="Z40" s="292"/>
      <c r="AA40" s="292"/>
      <c r="AB40" s="166"/>
      <c r="AC40" s="293"/>
      <c r="AD40" s="293"/>
      <c r="AE40" s="166"/>
      <c r="AF40" s="37" t="s">
        <v>775</v>
      </c>
      <c r="AG40" s="259"/>
      <c r="AH40" s="259"/>
      <c r="AI40" s="259"/>
      <c r="AJ40" s="259"/>
      <c r="AK40" s="259"/>
      <c r="AL40" s="259"/>
      <c r="AM40" s="259"/>
      <c r="AN40" s="259"/>
      <c r="AO40" s="259"/>
    </row>
    <row r="41">
      <c r="A41" s="209" t="s">
        <v>753</v>
      </c>
      <c r="B41" s="209" t="s">
        <v>726</v>
      </c>
      <c r="C41" s="262" t="s">
        <v>791</v>
      </c>
      <c r="D41" s="221"/>
      <c r="E41" s="218" t="s">
        <v>785</v>
      </c>
      <c r="F41" s="209" t="s">
        <v>640</v>
      </c>
      <c r="G41" s="263">
        <v>15.0</v>
      </c>
      <c r="H41" s="210"/>
      <c r="I41" s="209">
        <f t="shared" si="6"/>
        <v>15</v>
      </c>
      <c r="J41" s="214">
        <v>1.8</v>
      </c>
      <c r="K41" s="214"/>
      <c r="L41" s="278">
        <f t="shared" si="5"/>
        <v>3.51</v>
      </c>
      <c r="M41" s="264">
        <f t="shared" si="4"/>
        <v>30.51</v>
      </c>
      <c r="N41" s="210" t="s">
        <v>721</v>
      </c>
      <c r="O41" s="291" t="s">
        <v>792</v>
      </c>
      <c r="P41" s="266" t="s">
        <v>793</v>
      </c>
      <c r="Q41" s="281" t="s">
        <v>724</v>
      </c>
      <c r="R41" s="281" t="s">
        <v>731</v>
      </c>
      <c r="S41" s="267"/>
      <c r="T41" s="267"/>
      <c r="U41" s="213"/>
      <c r="V41" s="256" t="s">
        <v>437</v>
      </c>
      <c r="W41" s="256" t="s">
        <v>437</v>
      </c>
      <c r="X41" s="257" t="s">
        <v>650</v>
      </c>
      <c r="Y41" s="292" t="s">
        <v>382</v>
      </c>
      <c r="Z41" s="166"/>
      <c r="AA41" s="166"/>
      <c r="AB41" s="166"/>
      <c r="AC41" s="293"/>
      <c r="AD41" s="293"/>
      <c r="AE41" s="166"/>
      <c r="AF41" s="37" t="s">
        <v>775</v>
      </c>
      <c r="AG41" s="259"/>
      <c r="AH41" s="259"/>
      <c r="AI41" s="259"/>
      <c r="AJ41" s="259"/>
      <c r="AK41" s="259"/>
      <c r="AL41" s="259"/>
      <c r="AM41" s="259"/>
      <c r="AN41" s="259"/>
      <c r="AO41" s="259"/>
    </row>
    <row r="42">
      <c r="A42" s="209" t="s">
        <v>753</v>
      </c>
      <c r="B42" s="209" t="s">
        <v>726</v>
      </c>
      <c r="C42" s="262" t="s">
        <v>794</v>
      </c>
      <c r="D42" s="221"/>
      <c r="E42" s="218" t="s">
        <v>785</v>
      </c>
      <c r="F42" s="209" t="s">
        <v>640</v>
      </c>
      <c r="G42" s="263">
        <v>6.0</v>
      </c>
      <c r="H42" s="210"/>
      <c r="I42" s="209">
        <f t="shared" si="6"/>
        <v>6</v>
      </c>
      <c r="J42" s="214">
        <v>2.89</v>
      </c>
      <c r="K42" s="214"/>
      <c r="L42" s="278">
        <f t="shared" si="5"/>
        <v>2.2542</v>
      </c>
      <c r="M42" s="264">
        <f t="shared" si="4"/>
        <v>19.5942</v>
      </c>
      <c r="N42" s="210" t="s">
        <v>721</v>
      </c>
      <c r="O42" s="291">
        <v>2606858.0</v>
      </c>
      <c r="P42" s="266" t="s">
        <v>795</v>
      </c>
      <c r="Q42" s="281" t="s">
        <v>724</v>
      </c>
      <c r="R42" s="281" t="s">
        <v>731</v>
      </c>
      <c r="S42" s="267"/>
      <c r="T42" s="267"/>
      <c r="U42" s="213"/>
      <c r="V42" s="256" t="s">
        <v>437</v>
      </c>
      <c r="W42" s="256" t="s">
        <v>437</v>
      </c>
      <c r="X42" s="257" t="s">
        <v>650</v>
      </c>
      <c r="Y42" s="292" t="s">
        <v>382</v>
      </c>
      <c r="Z42" s="166"/>
      <c r="AA42" s="166"/>
      <c r="AB42" s="166"/>
      <c r="AC42" s="294"/>
      <c r="AD42" s="294"/>
      <c r="AE42" s="295"/>
      <c r="AF42" s="37" t="s">
        <v>775</v>
      </c>
      <c r="AG42" s="259"/>
      <c r="AH42" s="259"/>
      <c r="AI42" s="259"/>
      <c r="AJ42" s="259"/>
      <c r="AK42" s="259"/>
      <c r="AL42" s="259"/>
      <c r="AM42" s="259"/>
      <c r="AN42" s="259"/>
      <c r="AO42" s="259"/>
    </row>
    <row r="43">
      <c r="A43" s="296" t="s">
        <v>796</v>
      </c>
      <c r="B43" s="296" t="s">
        <v>726</v>
      </c>
      <c r="C43" s="297" t="s">
        <v>797</v>
      </c>
      <c r="D43" s="298"/>
      <c r="E43" s="299" t="s">
        <v>798</v>
      </c>
      <c r="F43" s="296" t="s">
        <v>640</v>
      </c>
      <c r="G43" s="298">
        <v>1.0</v>
      </c>
      <c r="H43" s="298">
        <v>0.0</v>
      </c>
      <c r="I43" s="296">
        <v>1.0</v>
      </c>
      <c r="J43" s="300">
        <v>39.99</v>
      </c>
      <c r="K43" s="301"/>
      <c r="L43" s="301">
        <f t="shared" si="5"/>
        <v>5.1987</v>
      </c>
      <c r="M43" s="302">
        <f t="shared" si="4"/>
        <v>45.1887</v>
      </c>
      <c r="N43" s="298" t="s">
        <v>701</v>
      </c>
      <c r="O43" s="298"/>
      <c r="P43" s="303" t="s">
        <v>799</v>
      </c>
      <c r="Q43" s="304" t="s">
        <v>724</v>
      </c>
      <c r="R43" s="304" t="s">
        <v>731</v>
      </c>
      <c r="S43" s="305"/>
      <c r="T43" s="305"/>
      <c r="U43" s="298" t="s">
        <v>800</v>
      </c>
      <c r="V43" s="256" t="s">
        <v>437</v>
      </c>
      <c r="W43" s="256" t="s">
        <v>437</v>
      </c>
      <c r="X43" s="257" t="s">
        <v>650</v>
      </c>
      <c r="Y43" s="292" t="s">
        <v>382</v>
      </c>
      <c r="Z43" s="292"/>
      <c r="AA43" s="292"/>
      <c r="AB43" s="166"/>
      <c r="AC43" s="293"/>
      <c r="AD43" s="293"/>
      <c r="AE43" s="166"/>
      <c r="AF43" s="37" t="s">
        <v>677</v>
      </c>
      <c r="AG43" s="306"/>
      <c r="AH43" s="306"/>
      <c r="AI43" s="306"/>
      <c r="AJ43" s="306"/>
      <c r="AK43" s="306"/>
      <c r="AL43" s="306"/>
      <c r="AM43" s="306"/>
      <c r="AN43" s="306"/>
      <c r="AO43" s="306"/>
    </row>
    <row r="44">
      <c r="A44" s="296" t="s">
        <v>796</v>
      </c>
      <c r="B44" s="296" t="s">
        <v>726</v>
      </c>
      <c r="C44" s="298" t="s">
        <v>801</v>
      </c>
      <c r="D44" s="298" t="s">
        <v>802</v>
      </c>
      <c r="E44" s="299" t="s">
        <v>798</v>
      </c>
      <c r="F44" s="296" t="s">
        <v>640</v>
      </c>
      <c r="G44" s="298">
        <v>2.0</v>
      </c>
      <c r="H44" s="298">
        <v>0.0</v>
      </c>
      <c r="I44" s="296">
        <v>2.0</v>
      </c>
      <c r="J44" s="300">
        <v>26.99</v>
      </c>
      <c r="K44" s="300"/>
      <c r="L44" s="301">
        <f t="shared" si="5"/>
        <v>7.0174</v>
      </c>
      <c r="M44" s="302">
        <f t="shared" si="4"/>
        <v>60.9974</v>
      </c>
      <c r="N44" s="296" t="s">
        <v>803</v>
      </c>
      <c r="O44" s="307" t="s">
        <v>804</v>
      </c>
      <c r="P44" s="308" t="s">
        <v>805</v>
      </c>
      <c r="Q44" s="304" t="s">
        <v>724</v>
      </c>
      <c r="R44" s="304" t="s">
        <v>731</v>
      </c>
      <c r="S44" s="309"/>
      <c r="T44" s="309"/>
      <c r="U44" s="298" t="s">
        <v>800</v>
      </c>
      <c r="V44" s="256" t="s">
        <v>437</v>
      </c>
      <c r="W44" s="256" t="s">
        <v>437</v>
      </c>
      <c r="X44" s="257" t="s">
        <v>650</v>
      </c>
      <c r="Y44" s="292" t="s">
        <v>696</v>
      </c>
      <c r="Z44" s="166"/>
      <c r="AA44" s="166"/>
      <c r="AB44" s="166"/>
      <c r="AC44" s="293"/>
      <c r="AD44" s="293"/>
      <c r="AE44" s="166"/>
      <c r="AF44" s="37" t="s">
        <v>677</v>
      </c>
    </row>
    <row r="45">
      <c r="A45" s="296" t="s">
        <v>656</v>
      </c>
      <c r="B45" s="296" t="s">
        <v>726</v>
      </c>
      <c r="C45" s="298" t="s">
        <v>806</v>
      </c>
      <c r="D45" s="298" t="s">
        <v>807</v>
      </c>
      <c r="E45" s="299"/>
      <c r="F45" s="296" t="s">
        <v>640</v>
      </c>
      <c r="G45" s="298">
        <v>2.0</v>
      </c>
      <c r="H45" s="310"/>
      <c r="I45" s="296">
        <f>G45+H45</f>
        <v>2</v>
      </c>
      <c r="J45" s="300">
        <v>37.98</v>
      </c>
      <c r="K45" s="300"/>
      <c r="L45" s="301">
        <f t="shared" si="5"/>
        <v>9.8748</v>
      </c>
      <c r="M45" s="302">
        <f t="shared" si="4"/>
        <v>85.8348</v>
      </c>
      <c r="N45" s="296" t="s">
        <v>808</v>
      </c>
      <c r="O45" s="311" t="s">
        <v>809</v>
      </c>
      <c r="P45" s="312" t="s">
        <v>810</v>
      </c>
      <c r="Q45" s="304" t="s">
        <v>724</v>
      </c>
      <c r="R45" s="304" t="s">
        <v>731</v>
      </c>
      <c r="S45" s="309"/>
      <c r="T45" s="309"/>
      <c r="U45" s="310"/>
      <c r="V45" s="313" t="s">
        <v>437</v>
      </c>
      <c r="W45" s="313" t="s">
        <v>437</v>
      </c>
      <c r="X45" s="314" t="s">
        <v>650</v>
      </c>
      <c r="Y45" s="247" t="s">
        <v>696</v>
      </c>
      <c r="Z45" s="250"/>
      <c r="AA45" s="250"/>
      <c r="AB45" s="250"/>
      <c r="AC45" s="315"/>
      <c r="AD45" s="315"/>
      <c r="AE45" s="316"/>
      <c r="AF45" s="247" t="s">
        <v>677</v>
      </c>
      <c r="AG45" s="247" t="s">
        <v>811</v>
      </c>
      <c r="AH45" s="250"/>
      <c r="AI45" s="250"/>
      <c r="AJ45" s="250"/>
      <c r="AK45" s="250"/>
      <c r="AL45" s="250"/>
      <c r="AM45" s="250"/>
      <c r="AN45" s="250"/>
      <c r="AO45" s="250"/>
    </row>
    <row r="46">
      <c r="A46" s="209" t="s">
        <v>656</v>
      </c>
      <c r="B46" s="209" t="s">
        <v>726</v>
      </c>
      <c r="C46" s="210" t="s">
        <v>812</v>
      </c>
      <c r="D46" s="210" t="s">
        <v>813</v>
      </c>
      <c r="E46" s="218" t="s">
        <v>814</v>
      </c>
      <c r="F46" s="209" t="s">
        <v>640</v>
      </c>
      <c r="G46" s="210">
        <v>7.0</v>
      </c>
      <c r="H46" s="210">
        <v>3.0</v>
      </c>
      <c r="I46" s="209">
        <v>10.0</v>
      </c>
      <c r="J46" s="214">
        <v>25.99</v>
      </c>
      <c r="K46" s="214"/>
      <c r="L46" s="278">
        <f t="shared" si="5"/>
        <v>33.787</v>
      </c>
      <c r="M46" s="264">
        <f t="shared" si="4"/>
        <v>293.687</v>
      </c>
      <c r="N46" s="209" t="s">
        <v>815</v>
      </c>
      <c r="O46" s="279" t="s">
        <v>816</v>
      </c>
      <c r="P46" s="280" t="s">
        <v>817</v>
      </c>
      <c r="Q46" s="281" t="s">
        <v>724</v>
      </c>
      <c r="R46" s="281" t="s">
        <v>731</v>
      </c>
      <c r="S46" s="287"/>
      <c r="T46" s="287"/>
      <c r="U46" s="213"/>
      <c r="V46" s="219" t="s">
        <v>437</v>
      </c>
      <c r="W46" s="219" t="s">
        <v>437</v>
      </c>
      <c r="X46" s="220" t="s">
        <v>650</v>
      </c>
      <c r="Y46" s="258" t="s">
        <v>651</v>
      </c>
      <c r="Z46" s="213"/>
      <c r="AA46" s="213"/>
      <c r="AB46" s="213"/>
      <c r="AC46" s="221"/>
      <c r="AD46" s="221"/>
      <c r="AE46" s="222"/>
      <c r="AF46" s="258" t="s">
        <v>655</v>
      </c>
      <c r="AG46" s="210"/>
      <c r="AH46" s="213"/>
      <c r="AI46" s="213"/>
      <c r="AJ46" s="213"/>
      <c r="AK46" s="213"/>
      <c r="AL46" s="213"/>
      <c r="AM46" s="213"/>
      <c r="AN46" s="213"/>
      <c r="AO46" s="213"/>
    </row>
    <row r="47">
      <c r="A47" s="317"/>
    </row>
    <row r="48">
      <c r="A48" s="318" t="s">
        <v>664</v>
      </c>
      <c r="C48" s="319"/>
      <c r="D48" s="320"/>
      <c r="E48" s="321"/>
      <c r="F48" s="273"/>
      <c r="G48" s="322"/>
      <c r="H48" s="323"/>
      <c r="I48" s="273"/>
      <c r="J48" s="324"/>
      <c r="K48" s="324"/>
      <c r="L48" s="324"/>
      <c r="M48" s="274">
        <f>SUM(M26:M46)</f>
        <v>6659.842791</v>
      </c>
      <c r="N48" s="323"/>
      <c r="O48" s="325"/>
      <c r="P48" s="326"/>
      <c r="Q48" s="327"/>
      <c r="R48" s="328"/>
      <c r="S48" s="327"/>
      <c r="T48" s="327"/>
      <c r="U48" s="228"/>
      <c r="V48" s="231"/>
      <c r="W48" s="231"/>
      <c r="X48" s="329"/>
      <c r="Y48" s="323"/>
      <c r="Z48" s="228"/>
      <c r="AA48" s="228"/>
      <c r="AB48" s="228"/>
      <c r="AC48" s="233"/>
      <c r="AD48" s="233"/>
      <c r="AE48" s="228"/>
      <c r="AF48" s="323"/>
      <c r="AG48" s="228"/>
      <c r="AH48" s="228"/>
      <c r="AI48" s="228"/>
      <c r="AJ48" s="228"/>
      <c r="AK48" s="228"/>
      <c r="AL48" s="228"/>
      <c r="AM48" s="228"/>
      <c r="AN48" s="228"/>
      <c r="AO48" s="228"/>
    </row>
    <row r="49">
      <c r="A49" s="199" t="s">
        <v>818</v>
      </c>
      <c r="H49" s="200"/>
      <c r="I49" s="200"/>
      <c r="J49" s="200"/>
      <c r="K49" s="200"/>
      <c r="L49" s="200"/>
      <c r="M49" s="200"/>
      <c r="N49" s="200"/>
      <c r="O49" s="200"/>
      <c r="P49" s="200"/>
      <c r="Q49" s="200"/>
      <c r="R49" s="200"/>
      <c r="S49" s="200"/>
      <c r="T49" s="200"/>
      <c r="U49" s="200"/>
      <c r="V49" s="235"/>
      <c r="W49" s="235"/>
      <c r="X49" s="235"/>
      <c r="Y49" s="200"/>
      <c r="Z49" s="200"/>
      <c r="AA49" s="200"/>
      <c r="AB49" s="200"/>
      <c r="AC49" s="200"/>
      <c r="AD49" s="200"/>
      <c r="AE49" s="200"/>
      <c r="AF49" s="200"/>
      <c r="AG49" s="200"/>
      <c r="AH49" s="200"/>
      <c r="AI49" s="200"/>
      <c r="AJ49" s="200"/>
      <c r="AK49" s="200"/>
      <c r="AL49" s="200"/>
      <c r="AM49" s="200"/>
      <c r="AN49" s="200"/>
      <c r="AO49" s="200"/>
    </row>
    <row r="50">
      <c r="A50" s="209" t="s">
        <v>656</v>
      </c>
      <c r="B50" s="209" t="s">
        <v>726</v>
      </c>
      <c r="C50" s="330" t="s">
        <v>819</v>
      </c>
      <c r="D50" s="331" t="s">
        <v>820</v>
      </c>
      <c r="E50" s="210" t="s">
        <v>821</v>
      </c>
      <c r="F50" s="209" t="s">
        <v>822</v>
      </c>
      <c r="G50" s="210">
        <v>1.0</v>
      </c>
      <c r="H50" s="210">
        <v>0.0</v>
      </c>
      <c r="I50" s="209">
        <v>1.0</v>
      </c>
      <c r="J50" s="277">
        <v>47.99</v>
      </c>
      <c r="K50" s="213"/>
      <c r="L50" s="213"/>
      <c r="M50" s="264">
        <f t="shared" ref="M50:M52" si="7">J50*I50+K50+L50</f>
        <v>47.99</v>
      </c>
      <c r="N50" s="210" t="s">
        <v>701</v>
      </c>
      <c r="O50" s="332" t="s">
        <v>823</v>
      </c>
      <c r="P50" s="333" t="s">
        <v>824</v>
      </c>
      <c r="Q50" s="281" t="s">
        <v>724</v>
      </c>
      <c r="R50" s="216"/>
      <c r="S50" s="216"/>
      <c r="T50" s="216"/>
      <c r="U50" s="213"/>
      <c r="V50" s="219" t="s">
        <v>437</v>
      </c>
      <c r="W50" s="219" t="s">
        <v>437</v>
      </c>
      <c r="X50" s="220" t="s">
        <v>650</v>
      </c>
      <c r="Y50" s="210" t="s">
        <v>696</v>
      </c>
      <c r="Z50" s="213"/>
      <c r="AA50" s="213"/>
      <c r="AB50" s="213"/>
      <c r="AC50" s="236"/>
      <c r="AD50" s="236"/>
      <c r="AE50" s="213"/>
      <c r="AF50" s="210" t="s">
        <v>677</v>
      </c>
      <c r="AG50" s="213"/>
      <c r="AH50" s="213"/>
      <c r="AI50" s="213"/>
      <c r="AJ50" s="213"/>
      <c r="AK50" s="213"/>
      <c r="AL50" s="213"/>
      <c r="AM50" s="213"/>
      <c r="AN50" s="213"/>
      <c r="AO50" s="213"/>
    </row>
    <row r="51">
      <c r="A51" s="296" t="s">
        <v>656</v>
      </c>
      <c r="B51" s="296" t="s">
        <v>726</v>
      </c>
      <c r="C51" s="298" t="s">
        <v>825</v>
      </c>
      <c r="D51" s="334" t="s">
        <v>826</v>
      </c>
      <c r="E51" s="298" t="s">
        <v>821</v>
      </c>
      <c r="F51" s="296" t="s">
        <v>822</v>
      </c>
      <c r="G51" s="298">
        <v>1.0</v>
      </c>
      <c r="H51" s="298">
        <v>0.0</v>
      </c>
      <c r="I51" s="296">
        <v>1.0</v>
      </c>
      <c r="J51" s="335">
        <v>21.45</v>
      </c>
      <c r="K51" s="336">
        <v>14.47</v>
      </c>
      <c r="L51" s="310"/>
      <c r="M51" s="302">
        <f t="shared" si="7"/>
        <v>35.92</v>
      </c>
      <c r="N51" s="298" t="s">
        <v>827</v>
      </c>
      <c r="O51" s="298"/>
      <c r="P51" s="303" t="s">
        <v>828</v>
      </c>
      <c r="Q51" s="304" t="s">
        <v>724</v>
      </c>
      <c r="R51" s="337"/>
      <c r="S51" s="337"/>
      <c r="T51" s="337"/>
      <c r="U51" s="310"/>
      <c r="V51" s="338" t="s">
        <v>437</v>
      </c>
      <c r="W51" s="338" t="s">
        <v>437</v>
      </c>
      <c r="X51" s="339" t="s">
        <v>650</v>
      </c>
      <c r="Y51" s="340" t="s">
        <v>696</v>
      </c>
      <c r="Z51" s="341"/>
      <c r="AA51" s="341"/>
      <c r="AB51" s="341"/>
      <c r="AC51" s="342"/>
      <c r="AD51" s="342"/>
      <c r="AE51" s="341"/>
      <c r="AF51" s="37" t="s">
        <v>677</v>
      </c>
      <c r="AG51" s="341"/>
      <c r="AH51" s="341"/>
      <c r="AI51" s="341"/>
      <c r="AJ51" s="341"/>
      <c r="AK51" s="341"/>
      <c r="AL51" s="341"/>
      <c r="AM51" s="341"/>
      <c r="AN51" s="341"/>
      <c r="AO51" s="341"/>
    </row>
    <row r="52">
      <c r="A52" s="209" t="s">
        <v>656</v>
      </c>
      <c r="B52" s="209" t="s">
        <v>726</v>
      </c>
      <c r="C52" s="210" t="s">
        <v>829</v>
      </c>
      <c r="D52" s="210" t="s">
        <v>830</v>
      </c>
      <c r="E52" s="210" t="s">
        <v>821</v>
      </c>
      <c r="F52" s="209" t="s">
        <v>822</v>
      </c>
      <c r="G52" s="210">
        <v>1.0</v>
      </c>
      <c r="H52" s="210">
        <v>0.0</v>
      </c>
      <c r="I52" s="209">
        <v>1.0</v>
      </c>
      <c r="J52" s="343">
        <v>43.98</v>
      </c>
      <c r="K52" s="213"/>
      <c r="L52" s="213"/>
      <c r="M52" s="264">
        <f t="shared" si="7"/>
        <v>43.98</v>
      </c>
      <c r="N52" s="210" t="s">
        <v>831</v>
      </c>
      <c r="O52" s="213"/>
      <c r="P52" s="344" t="s">
        <v>832</v>
      </c>
      <c r="Q52" s="281" t="s">
        <v>724</v>
      </c>
      <c r="R52" s="281"/>
      <c r="S52" s="281"/>
      <c r="T52" s="281"/>
      <c r="U52" s="213"/>
      <c r="V52" s="219" t="s">
        <v>437</v>
      </c>
      <c r="W52" s="219" t="s">
        <v>437</v>
      </c>
      <c r="X52" s="220" t="s">
        <v>650</v>
      </c>
      <c r="Y52" s="210" t="s">
        <v>382</v>
      </c>
      <c r="Z52" s="213"/>
      <c r="AA52" s="213"/>
      <c r="AB52" s="213"/>
      <c r="AC52" s="236"/>
      <c r="AD52" s="236"/>
      <c r="AE52" s="213"/>
      <c r="AF52" s="210" t="s">
        <v>677</v>
      </c>
      <c r="AG52" s="213"/>
      <c r="AH52" s="213"/>
      <c r="AI52" s="213"/>
      <c r="AJ52" s="213"/>
      <c r="AK52" s="213"/>
      <c r="AL52" s="213"/>
      <c r="AM52" s="213"/>
      <c r="AN52" s="213"/>
      <c r="AO52" s="213"/>
    </row>
    <row r="53">
      <c r="A53" s="223"/>
    </row>
    <row r="54">
      <c r="A54" s="271" t="s">
        <v>664</v>
      </c>
      <c r="C54" s="272"/>
      <c r="D54" s="272"/>
      <c r="E54" s="272"/>
      <c r="F54" s="272"/>
      <c r="G54" s="272"/>
      <c r="H54" s="273"/>
      <c r="I54" s="273"/>
      <c r="J54" s="273"/>
      <c r="K54" s="273"/>
      <c r="L54" s="273"/>
      <c r="M54" s="324">
        <f>SUM(M50:M52)</f>
        <v>127.89</v>
      </c>
      <c r="N54" s="273"/>
      <c r="O54" s="273"/>
      <c r="P54" s="273"/>
      <c r="Q54" s="273"/>
      <c r="R54" s="273"/>
      <c r="S54" s="273"/>
      <c r="T54" s="273"/>
      <c r="U54" s="273"/>
      <c r="V54" s="231"/>
      <c r="W54" s="231"/>
      <c r="X54" s="231"/>
      <c r="Y54" s="273"/>
      <c r="Z54" s="273"/>
      <c r="AA54" s="273"/>
      <c r="AB54" s="273"/>
      <c r="AC54" s="273"/>
      <c r="AD54" s="273"/>
      <c r="AE54" s="273"/>
      <c r="AF54" s="273"/>
      <c r="AG54" s="273"/>
      <c r="AH54" s="273"/>
      <c r="AI54" s="273"/>
      <c r="AJ54" s="273"/>
      <c r="AK54" s="273"/>
      <c r="AL54" s="273"/>
      <c r="AM54" s="273"/>
      <c r="AN54" s="273"/>
      <c r="AO54" s="273"/>
    </row>
    <row r="55">
      <c r="A55" s="199" t="s">
        <v>123</v>
      </c>
      <c r="H55" s="200"/>
      <c r="I55" s="200"/>
      <c r="J55" s="200"/>
      <c r="K55" s="200"/>
      <c r="L55" s="200"/>
      <c r="M55" s="200"/>
      <c r="N55" s="200"/>
      <c r="O55" s="200"/>
      <c r="P55" s="200"/>
      <c r="Q55" s="200"/>
      <c r="R55" s="200"/>
      <c r="S55" s="200"/>
      <c r="T55" s="200"/>
      <c r="U55" s="200"/>
      <c r="V55" s="235"/>
      <c r="W55" s="235"/>
      <c r="X55" s="235"/>
      <c r="Y55" s="200"/>
      <c r="Z55" s="200"/>
      <c r="AA55" s="200"/>
      <c r="AB55" s="200"/>
      <c r="AC55" s="200"/>
      <c r="AD55" s="200"/>
      <c r="AE55" s="200"/>
      <c r="AF55" s="200"/>
      <c r="AG55" s="200"/>
      <c r="AH55" s="200"/>
      <c r="AI55" s="200"/>
      <c r="AJ55" s="200"/>
      <c r="AK55" s="200"/>
      <c r="AL55" s="200"/>
      <c r="AM55" s="200"/>
      <c r="AN55" s="200"/>
      <c r="AO55" s="200"/>
    </row>
    <row r="56">
      <c r="A56" s="209" t="s">
        <v>656</v>
      </c>
      <c r="B56" s="209" t="s">
        <v>833</v>
      </c>
      <c r="C56" s="210" t="s">
        <v>834</v>
      </c>
      <c r="D56" s="213"/>
      <c r="E56" s="210" t="s">
        <v>835</v>
      </c>
      <c r="F56" s="209" t="s">
        <v>640</v>
      </c>
      <c r="G56" s="210">
        <v>1.0</v>
      </c>
      <c r="H56" s="213"/>
      <c r="I56" s="210">
        <v>1.0</v>
      </c>
      <c r="J56" s="212">
        <v>8.98</v>
      </c>
      <c r="K56" s="213"/>
      <c r="L56" s="213"/>
      <c r="M56" s="264">
        <f t="shared" ref="M56:M59" si="8">J56*I56+K56+L56</f>
        <v>8.98</v>
      </c>
      <c r="N56" s="213"/>
      <c r="O56" s="345"/>
      <c r="P56" s="346" t="s">
        <v>836</v>
      </c>
      <c r="Q56" s="347"/>
      <c r="R56" s="348" t="s">
        <v>439</v>
      </c>
      <c r="S56" s="347"/>
      <c r="T56" s="347"/>
      <c r="U56" s="213"/>
      <c r="V56" s="220" t="s">
        <v>437</v>
      </c>
      <c r="W56" s="220" t="s">
        <v>437</v>
      </c>
      <c r="X56" s="220" t="s">
        <v>650</v>
      </c>
      <c r="Y56" s="349" t="s">
        <v>439</v>
      </c>
      <c r="Z56" s="213"/>
      <c r="AA56" s="213"/>
      <c r="AB56" s="213"/>
      <c r="AC56" s="236"/>
      <c r="AD56" s="236"/>
      <c r="AE56" s="213"/>
      <c r="AF56" s="210" t="s">
        <v>837</v>
      </c>
      <c r="AG56" s="213"/>
      <c r="AH56" s="213"/>
      <c r="AI56" s="213"/>
      <c r="AJ56" s="213"/>
      <c r="AK56" s="213"/>
      <c r="AL56" s="213"/>
      <c r="AM56" s="213"/>
      <c r="AN56" s="213"/>
      <c r="AO56" s="213"/>
    </row>
    <row r="57">
      <c r="A57" s="209" t="s">
        <v>753</v>
      </c>
      <c r="B57" s="209" t="s">
        <v>833</v>
      </c>
      <c r="C57" s="221" t="s">
        <v>838</v>
      </c>
      <c r="D57" s="221"/>
      <c r="E57" s="221" t="s">
        <v>839</v>
      </c>
      <c r="F57" s="209" t="s">
        <v>640</v>
      </c>
      <c r="G57" s="263">
        <v>1.0</v>
      </c>
      <c r="H57" s="350"/>
      <c r="I57" s="351" t="s">
        <v>840</v>
      </c>
      <c r="J57" s="352">
        <v>25.99</v>
      </c>
      <c r="K57" s="236"/>
      <c r="L57" s="236"/>
      <c r="M57" s="264">
        <f t="shared" si="8"/>
        <v>25.99</v>
      </c>
      <c r="N57" s="213"/>
      <c r="O57" s="213"/>
      <c r="P57" s="346" t="s">
        <v>841</v>
      </c>
      <c r="Q57" s="216"/>
      <c r="R57" s="348" t="s">
        <v>439</v>
      </c>
      <c r="S57" s="216"/>
      <c r="T57" s="216"/>
      <c r="U57" s="213"/>
      <c r="V57" s="220" t="s">
        <v>437</v>
      </c>
      <c r="W57" s="220" t="s">
        <v>437</v>
      </c>
      <c r="X57" s="220" t="s">
        <v>650</v>
      </c>
      <c r="Y57" s="210" t="s">
        <v>439</v>
      </c>
      <c r="Z57" s="213"/>
      <c r="AA57" s="213"/>
      <c r="AB57" s="213"/>
      <c r="AC57" s="236"/>
      <c r="AD57" s="236"/>
      <c r="AE57" s="213"/>
      <c r="AF57" s="210" t="s">
        <v>837</v>
      </c>
      <c r="AG57" s="213"/>
      <c r="AH57" s="213"/>
      <c r="AI57" s="213"/>
      <c r="AJ57" s="213"/>
      <c r="AK57" s="213"/>
      <c r="AL57" s="213"/>
      <c r="AM57" s="213"/>
      <c r="AN57" s="213"/>
      <c r="AO57" s="213"/>
    </row>
    <row r="58">
      <c r="A58" s="209" t="s">
        <v>678</v>
      </c>
      <c r="B58" s="209" t="s">
        <v>833</v>
      </c>
      <c r="C58" s="221" t="s">
        <v>842</v>
      </c>
      <c r="D58" s="221"/>
      <c r="E58" s="221" t="s">
        <v>843</v>
      </c>
      <c r="F58" s="209" t="s">
        <v>640</v>
      </c>
      <c r="G58" s="263">
        <v>8.0</v>
      </c>
      <c r="H58" s="350"/>
      <c r="I58" s="351" t="s">
        <v>840</v>
      </c>
      <c r="J58" s="352">
        <v>30.64</v>
      </c>
      <c r="K58" s="236"/>
      <c r="L58" s="236"/>
      <c r="M58" s="264">
        <f t="shared" si="8"/>
        <v>30.64</v>
      </c>
      <c r="N58" s="213"/>
      <c r="O58" s="213"/>
      <c r="P58" s="346" t="s">
        <v>844</v>
      </c>
      <c r="Q58" s="216"/>
      <c r="R58" s="348" t="s">
        <v>439</v>
      </c>
      <c r="S58" s="216"/>
      <c r="T58" s="216"/>
      <c r="U58" s="213"/>
      <c r="V58" s="220" t="s">
        <v>437</v>
      </c>
      <c r="W58" s="220" t="s">
        <v>437</v>
      </c>
      <c r="X58" s="220" t="s">
        <v>650</v>
      </c>
      <c r="Y58" s="258" t="s">
        <v>651</v>
      </c>
      <c r="Z58" s="213"/>
      <c r="AA58" s="213"/>
      <c r="AB58" s="213"/>
      <c r="AC58" s="236"/>
      <c r="AD58" s="236"/>
      <c r="AE58" s="213"/>
      <c r="AF58" s="210" t="s">
        <v>845</v>
      </c>
      <c r="AG58" s="213"/>
      <c r="AH58" s="213"/>
      <c r="AI58" s="213"/>
      <c r="AJ58" s="213"/>
      <c r="AK58" s="213"/>
      <c r="AL58" s="213"/>
      <c r="AM58" s="213"/>
      <c r="AN58" s="213"/>
      <c r="AO58" s="213"/>
    </row>
    <row r="59">
      <c r="A59" s="209" t="s">
        <v>656</v>
      </c>
      <c r="B59" s="209" t="s">
        <v>833</v>
      </c>
      <c r="C59" s="221" t="s">
        <v>846</v>
      </c>
      <c r="D59" s="221"/>
      <c r="E59" s="221" t="s">
        <v>847</v>
      </c>
      <c r="F59" s="209" t="s">
        <v>640</v>
      </c>
      <c r="G59" s="263">
        <v>1.0</v>
      </c>
      <c r="H59" s="350"/>
      <c r="I59" s="351" t="s">
        <v>840</v>
      </c>
      <c r="J59" s="352">
        <v>30.85</v>
      </c>
      <c r="K59" s="236"/>
      <c r="L59" s="236"/>
      <c r="M59" s="264">
        <f t="shared" si="8"/>
        <v>30.85</v>
      </c>
      <c r="N59" s="213"/>
      <c r="O59" s="213"/>
      <c r="P59" s="346" t="s">
        <v>848</v>
      </c>
      <c r="Q59" s="216"/>
      <c r="R59" s="348" t="s">
        <v>439</v>
      </c>
      <c r="S59" s="216"/>
      <c r="T59" s="216"/>
      <c r="U59" s="213"/>
      <c r="V59" s="220" t="s">
        <v>437</v>
      </c>
      <c r="W59" s="220" t="s">
        <v>437</v>
      </c>
      <c r="X59" s="220" t="s">
        <v>650</v>
      </c>
      <c r="Y59" s="210" t="s">
        <v>439</v>
      </c>
      <c r="Z59" s="213"/>
      <c r="AA59" s="213"/>
      <c r="AB59" s="213"/>
      <c r="AC59" s="236"/>
      <c r="AD59" s="236"/>
      <c r="AE59" s="213"/>
      <c r="AF59" s="210" t="s">
        <v>837</v>
      </c>
      <c r="AG59" s="213"/>
      <c r="AH59" s="213"/>
      <c r="AI59" s="213"/>
      <c r="AJ59" s="213"/>
      <c r="AK59" s="213"/>
      <c r="AL59" s="213"/>
      <c r="AM59" s="213"/>
      <c r="AN59" s="213"/>
      <c r="AO59" s="213"/>
    </row>
    <row r="60">
      <c r="A60" s="353"/>
    </row>
    <row r="61">
      <c r="A61" s="354" t="s">
        <v>664</v>
      </c>
      <c r="C61" s="355"/>
      <c r="D61" s="355"/>
      <c r="E61" s="355"/>
      <c r="F61" s="355"/>
      <c r="G61" s="355"/>
      <c r="H61" s="233"/>
      <c r="I61" s="225"/>
      <c r="J61" s="355"/>
      <c r="K61" s="355"/>
      <c r="L61" s="355"/>
      <c r="M61" s="356">
        <f>SUM(M56:M59)</f>
        <v>96.46</v>
      </c>
      <c r="N61" s="233"/>
      <c r="O61" s="233"/>
      <c r="P61" s="233"/>
      <c r="Q61" s="233"/>
      <c r="R61" s="233"/>
      <c r="S61" s="233"/>
      <c r="T61" s="233"/>
      <c r="U61" s="233"/>
      <c r="V61" s="357"/>
      <c r="W61" s="357"/>
      <c r="X61" s="357"/>
      <c r="Y61" s="233"/>
      <c r="Z61" s="233"/>
      <c r="AA61" s="233"/>
      <c r="AB61" s="233"/>
      <c r="AC61" s="233"/>
      <c r="AD61" s="233"/>
      <c r="AE61" s="233"/>
      <c r="AF61" s="273"/>
      <c r="AG61" s="228"/>
      <c r="AH61" s="228"/>
      <c r="AI61" s="228"/>
      <c r="AJ61" s="228"/>
      <c r="AK61" s="228"/>
      <c r="AL61" s="228"/>
      <c r="AM61" s="228"/>
      <c r="AN61" s="228"/>
      <c r="AO61" s="228"/>
    </row>
    <row r="62">
      <c r="A62" s="199" t="s">
        <v>420</v>
      </c>
      <c r="H62" s="208"/>
      <c r="I62" s="358"/>
      <c r="J62" s="359"/>
      <c r="K62" s="359"/>
      <c r="L62" s="359"/>
      <c r="M62" s="359"/>
      <c r="N62" s="208"/>
      <c r="O62" s="208"/>
      <c r="P62" s="208"/>
      <c r="Q62" s="208"/>
      <c r="R62" s="208"/>
      <c r="S62" s="208"/>
      <c r="T62" s="208"/>
      <c r="U62" s="208"/>
      <c r="V62" s="360"/>
      <c r="W62" s="360"/>
      <c r="X62" s="360"/>
      <c r="Y62" s="208"/>
      <c r="Z62" s="208"/>
      <c r="AA62" s="208"/>
      <c r="AB62" s="208"/>
      <c r="AC62" s="208"/>
      <c r="AD62" s="208"/>
      <c r="AE62" s="208"/>
      <c r="AF62" s="200"/>
    </row>
    <row r="63">
      <c r="A63" s="221" t="s">
        <v>656</v>
      </c>
      <c r="B63" s="221" t="s">
        <v>726</v>
      </c>
      <c r="C63" s="221" t="s">
        <v>849</v>
      </c>
      <c r="D63" s="221" t="s">
        <v>850</v>
      </c>
      <c r="E63" s="265" t="s">
        <v>851</v>
      </c>
      <c r="F63" s="221" t="s">
        <v>640</v>
      </c>
      <c r="G63" s="263">
        <v>2.0</v>
      </c>
      <c r="H63" s="221">
        <v>0.0</v>
      </c>
      <c r="I63" s="263">
        <f>H63+G63</f>
        <v>2</v>
      </c>
      <c r="J63" s="361">
        <v>30.15</v>
      </c>
      <c r="K63" s="362"/>
      <c r="L63" s="363"/>
      <c r="M63" s="364">
        <f>J63*I63*1.13</f>
        <v>68.139</v>
      </c>
      <c r="N63" s="221" t="s">
        <v>852</v>
      </c>
      <c r="O63" s="288" t="s">
        <v>853</v>
      </c>
      <c r="P63" s="365" t="s">
        <v>854</v>
      </c>
      <c r="Q63" s="221" t="s">
        <v>724</v>
      </c>
      <c r="R63" s="221" t="s">
        <v>382</v>
      </c>
      <c r="S63" s="236"/>
      <c r="T63" s="236"/>
      <c r="U63" s="366"/>
      <c r="V63" s="219" t="s">
        <v>437</v>
      </c>
      <c r="W63" s="219" t="s">
        <v>437</v>
      </c>
      <c r="X63" s="220" t="s">
        <v>650</v>
      </c>
      <c r="Y63" s="210" t="s">
        <v>651</v>
      </c>
      <c r="Z63" s="367" t="s">
        <v>855</v>
      </c>
      <c r="AA63" s="236"/>
      <c r="AB63" s="236"/>
      <c r="AC63" s="236"/>
      <c r="AD63" s="236"/>
      <c r="AE63" s="236" t="s">
        <v>775</v>
      </c>
      <c r="AF63" s="210" t="s">
        <v>663</v>
      </c>
      <c r="AG63" s="213"/>
      <c r="AH63" s="213"/>
      <c r="AI63" s="213"/>
      <c r="AJ63" s="213"/>
      <c r="AK63" s="213"/>
      <c r="AL63" s="213"/>
      <c r="AM63" s="213"/>
      <c r="AN63" s="213"/>
      <c r="AO63" s="213"/>
    </row>
    <row r="64">
      <c r="A64" s="368" t="s">
        <v>678</v>
      </c>
      <c r="B64" s="369" t="s">
        <v>726</v>
      </c>
      <c r="C64" s="236" t="s">
        <v>856</v>
      </c>
      <c r="D64" s="236" t="s">
        <v>857</v>
      </c>
      <c r="E64" s="265" t="s">
        <v>858</v>
      </c>
      <c r="F64" s="368" t="s">
        <v>640</v>
      </c>
      <c r="G64" s="263">
        <v>8.0</v>
      </c>
      <c r="H64" s="350"/>
      <c r="I64" s="370">
        <f>G64</f>
        <v>8</v>
      </c>
      <c r="J64" s="371">
        <v>5.43</v>
      </c>
      <c r="K64" s="363"/>
      <c r="L64" s="363"/>
      <c r="M64" s="371">
        <f t="shared" ref="M64:M65" si="9">J64*I64</f>
        <v>43.44</v>
      </c>
      <c r="N64" s="236" t="s">
        <v>859</v>
      </c>
      <c r="O64" s="372" t="s">
        <v>860</v>
      </c>
      <c r="P64" s="373" t="s">
        <v>861</v>
      </c>
      <c r="Q64" s="374" t="s">
        <v>724</v>
      </c>
      <c r="R64" s="276" t="s">
        <v>382</v>
      </c>
      <c r="S64" s="374" t="s">
        <v>642</v>
      </c>
      <c r="T64" s="374" t="s">
        <v>642</v>
      </c>
      <c r="U64" s="375" t="s">
        <v>862</v>
      </c>
      <c r="V64" s="376" t="s">
        <v>437</v>
      </c>
      <c r="W64" s="376" t="s">
        <v>437</v>
      </c>
      <c r="X64" s="377" t="s">
        <v>650</v>
      </c>
      <c r="Y64" s="258" t="s">
        <v>651</v>
      </c>
      <c r="Z64" s="213"/>
      <c r="AA64" s="213"/>
      <c r="AB64" s="213"/>
      <c r="AC64" s="236"/>
      <c r="AD64" s="236"/>
      <c r="AE64" s="213"/>
      <c r="AF64" s="210" t="s">
        <v>845</v>
      </c>
      <c r="AG64" s="236"/>
      <c r="AH64" s="236"/>
      <c r="AI64" s="236"/>
      <c r="AJ64" s="236"/>
      <c r="AK64" s="236"/>
      <c r="AL64" s="236"/>
      <c r="AM64" s="236"/>
      <c r="AN64" s="236"/>
      <c r="AO64" s="236"/>
    </row>
    <row r="65">
      <c r="A65" s="368" t="s">
        <v>678</v>
      </c>
      <c r="B65" s="369" t="s">
        <v>726</v>
      </c>
      <c r="C65" s="236" t="s">
        <v>863</v>
      </c>
      <c r="D65" s="236" t="s">
        <v>864</v>
      </c>
      <c r="E65" s="372" t="s">
        <v>865</v>
      </c>
      <c r="F65" s="368" t="s">
        <v>640</v>
      </c>
      <c r="G65" s="369">
        <v>8.0</v>
      </c>
      <c r="H65" s="263">
        <v>2.0</v>
      </c>
      <c r="I65" s="369">
        <f>H65+G65</f>
        <v>10</v>
      </c>
      <c r="J65" s="378">
        <v>4.55</v>
      </c>
      <c r="K65" s="363"/>
      <c r="L65" s="363"/>
      <c r="M65" s="371">
        <f t="shared" si="9"/>
        <v>45.5</v>
      </c>
      <c r="N65" s="236" t="s">
        <v>682</v>
      </c>
      <c r="O65" s="379" t="s">
        <v>866</v>
      </c>
      <c r="P65" s="380" t="s">
        <v>867</v>
      </c>
      <c r="Q65" s="374" t="s">
        <v>724</v>
      </c>
      <c r="R65" s="268" t="s">
        <v>868</v>
      </c>
      <c r="S65" s="270" t="s">
        <v>642</v>
      </c>
      <c r="T65" s="270" t="s">
        <v>642</v>
      </c>
      <c r="U65" s="366"/>
      <c r="V65" s="381" t="s">
        <v>437</v>
      </c>
      <c r="W65" s="377" t="s">
        <v>437</v>
      </c>
      <c r="X65" s="377" t="s">
        <v>650</v>
      </c>
      <c r="Y65" s="258" t="s">
        <v>651</v>
      </c>
      <c r="Z65" s="213"/>
      <c r="AA65" s="213"/>
      <c r="AB65" s="213"/>
      <c r="AC65" s="236"/>
      <c r="AD65" s="236"/>
      <c r="AE65" s="213"/>
      <c r="AF65" s="210" t="s">
        <v>845</v>
      </c>
      <c r="AG65" s="236"/>
      <c r="AH65" s="236"/>
      <c r="AI65" s="236"/>
      <c r="AJ65" s="236"/>
      <c r="AK65" s="236"/>
      <c r="AL65" s="236"/>
      <c r="AM65" s="236"/>
      <c r="AN65" s="236"/>
      <c r="AO65" s="236"/>
    </row>
    <row r="66">
      <c r="A66" s="382"/>
    </row>
    <row r="67">
      <c r="A67" s="383" t="s">
        <v>664</v>
      </c>
      <c r="C67" s="233"/>
      <c r="D67" s="233"/>
      <c r="E67" s="233"/>
      <c r="F67" s="233"/>
      <c r="G67" s="233"/>
      <c r="H67" s="384"/>
      <c r="I67" s="225"/>
      <c r="J67" s="226"/>
      <c r="K67" s="233"/>
      <c r="L67" s="233"/>
      <c r="M67" s="354">
        <f>SUM(M63:M65)</f>
        <v>157.079</v>
      </c>
      <c r="N67" s="233"/>
      <c r="O67" s="233"/>
      <c r="P67" s="233"/>
      <c r="Q67" s="233"/>
      <c r="R67" s="233"/>
      <c r="S67" s="233"/>
      <c r="T67" s="233"/>
      <c r="U67" s="225"/>
      <c r="V67" s="232"/>
      <c r="W67" s="232"/>
      <c r="X67" s="232"/>
      <c r="Y67" s="228"/>
      <c r="Z67" s="233"/>
      <c r="AA67" s="233"/>
      <c r="AB67" s="233"/>
      <c r="AC67" s="233"/>
      <c r="AD67" s="233"/>
      <c r="AE67" s="233"/>
      <c r="AF67" s="228"/>
      <c r="AG67" s="228"/>
      <c r="AH67" s="228"/>
      <c r="AI67" s="228"/>
      <c r="AJ67" s="228"/>
      <c r="AK67" s="228"/>
      <c r="AL67" s="228"/>
      <c r="AM67" s="228"/>
      <c r="AN67" s="228"/>
      <c r="AO67" s="228"/>
    </row>
    <row r="68">
      <c r="A68" s="385" t="s">
        <v>869</v>
      </c>
      <c r="C68" s="386"/>
      <c r="D68" s="386"/>
      <c r="E68" s="386"/>
      <c r="F68" s="386"/>
      <c r="G68" s="387"/>
      <c r="H68" s="388"/>
      <c r="I68" s="389"/>
      <c r="J68" s="390"/>
      <c r="K68" s="386"/>
      <c r="L68" s="386"/>
      <c r="M68" s="391">
        <f>SUM(M7+M18+M24+M48+M54+M61+M67)</f>
        <v>8508.389095</v>
      </c>
      <c r="N68" s="386"/>
      <c r="O68" s="386"/>
      <c r="P68" s="392"/>
      <c r="Q68" s="386"/>
      <c r="R68" s="386"/>
      <c r="S68" s="386"/>
      <c r="T68" s="386"/>
      <c r="U68" s="393"/>
      <c r="V68" s="394"/>
      <c r="W68" s="394"/>
      <c r="X68" s="394"/>
      <c r="Y68" s="395"/>
      <c r="Z68" s="386"/>
      <c r="AA68" s="386"/>
      <c r="AB68" s="396"/>
      <c r="AC68" s="386"/>
      <c r="AD68" s="386"/>
      <c r="AE68" s="386"/>
      <c r="AF68" s="395"/>
      <c r="AG68" s="395"/>
      <c r="AH68" s="395"/>
      <c r="AI68" s="395"/>
      <c r="AJ68" s="395"/>
      <c r="AK68" s="395"/>
      <c r="AL68" s="395"/>
      <c r="AM68" s="395"/>
      <c r="AN68" s="395"/>
      <c r="AO68" s="395"/>
    </row>
  </sheetData>
  <mergeCells count="25">
    <mergeCell ref="A7:B7"/>
    <mergeCell ref="A18:B18"/>
    <mergeCell ref="A19:G19"/>
    <mergeCell ref="A24:B24"/>
    <mergeCell ref="A25:G25"/>
    <mergeCell ref="A1:U1"/>
    <mergeCell ref="V1:X1"/>
    <mergeCell ref="Z1:AF1"/>
    <mergeCell ref="A4:G4"/>
    <mergeCell ref="A6:AO6"/>
    <mergeCell ref="A8:G8"/>
    <mergeCell ref="A17:AO17"/>
    <mergeCell ref="A54:B54"/>
    <mergeCell ref="A61:B61"/>
    <mergeCell ref="A62:G62"/>
    <mergeCell ref="A67:B67"/>
    <mergeCell ref="A68:B68"/>
    <mergeCell ref="A23:AO23"/>
    <mergeCell ref="A47:AO47"/>
    <mergeCell ref="A48:B48"/>
    <mergeCell ref="A49:G49"/>
    <mergeCell ref="A53:AO53"/>
    <mergeCell ref="A55:G55"/>
    <mergeCell ref="A60:AO60"/>
    <mergeCell ref="A66:AO66"/>
  </mergeCells>
  <conditionalFormatting sqref="V3:W3 Y3 W5 Y5 AB5:AF5 W9:W16 Y9:Y16 AB9:AF10 AB14:AE14 AF14:AF15 W20:W22 Y20:Y22 AB20:AF22 W26:W46 Y26:Y46 AB26:AE26 AF26:AF42 AB29:AE34 AB36:AE42 AF44:AF46 AB45:AE46 W48 Y48 AF48:AF49 AB49:AE49 W50:W52 Y50:Y52 AB54:AF55 Y56:Y59 AF61:AF63 W63 Y63:Y65">
    <cfRule type="containsText" dxfId="3" priority="1" operator="containsText" text="In Shop">
      <formula>NOT(ISERROR(SEARCH(("In Shop"),(V3))))</formula>
    </cfRule>
  </conditionalFormatting>
  <conditionalFormatting sqref="AF5 AF9:AF10 AF14:AF15 AF20:AF22 AF26:AF42 AF44:AF46 AF48:AF49 AF54:AF55 AF61:AF63">
    <cfRule type="cellIs" dxfId="3" priority="2" operator="equal">
      <formula>"In Shop"</formula>
    </cfRule>
  </conditionalFormatting>
  <conditionalFormatting sqref="AF38">
    <cfRule type="cellIs" dxfId="3" priority="3" operator="equal">
      <formula>"In Shop"</formula>
    </cfRule>
  </conditionalFormatting>
  <conditionalFormatting sqref="A1:AO68">
    <cfRule type="cellIs" dxfId="3" priority="4" operator="equal">
      <formula>"Yes"</formula>
    </cfRule>
  </conditionalFormatting>
  <conditionalFormatting sqref="V3 W3:W5 Y3:Y5 Z4:AA5 AB5:AE5 W7:W16 Y7:AA16 AB9:AE10 AB14:AE14 AF15 U18:U21 W18:W22 Y18:AA22 V20:V22 AB20:AE22 AF22 W24:W46 Y24:AA46 AB26:AE26 AB29:AE34 AF29:AF42 AB36:AE42 AF44:AF46 AB45:AE46 W48:W52 Y48:AA52 AF48 AB49:AE49 W54:W59 Y54:AA59 AB54:AE55 W61:W65 Y61:AA65 AF63 W67:W68 Y67:AA68">
    <cfRule type="notContainsBlanks" dxfId="3" priority="5">
      <formula>LEN(TRIM(V3))&gt;0</formula>
    </cfRule>
  </conditionalFormatting>
  <conditionalFormatting sqref="V3:V5 W3 AE3 W5 V7:V16 W9:W10 W14 V18:V22 W20:W22 V24:V46 W26:W45 V48:V52 V54:V59 V61:V65 W64 V67:V68">
    <cfRule type="notContainsBlanks" dxfId="3" priority="6">
      <formula>LEN(TRIM(V3))&gt;0</formula>
    </cfRule>
  </conditionalFormatting>
  <conditionalFormatting sqref="Y3 X4:X5 Y5 X7:X16 Y9:Y16 AF15 X18:X22 Y20:Y22 AF22 X24:X46 Y26:Y46 AF29:AF42 AF44:AF46 X48:X52 Y48 AF48 Y50:Y52 X54:X59 Y56:Y59 X61:X65 Y63:Y65 AF63 X67:X68">
    <cfRule type="cellIs" dxfId="7" priority="7" operator="equal">
      <formula>"Pending"</formula>
    </cfRule>
  </conditionalFormatting>
  <conditionalFormatting sqref="AF3:AF5 AF7:AF16 AF18:AF22 AF24:AF46 AF48:AF52 AF54:AF59 AF61:AF65 AF67:AF68">
    <cfRule type="cellIs" dxfId="3" priority="8" operator="equal">
      <formula>"Unpacked"</formula>
    </cfRule>
  </conditionalFormatting>
  <conditionalFormatting sqref="AF3:AF5 AF7:AF16 AF18:AF22 AF24:AF46 AF48:AF52 AF54:AF59 AF61:AF65 AF67:AF68">
    <cfRule type="cellIs" dxfId="1" priority="9" operator="equal">
      <formula>"Apt booked with Steven"</formula>
    </cfRule>
  </conditionalFormatting>
  <conditionalFormatting sqref="AF3:AF5 AF7:AF16 AF18:AF22 AF24:AF46 AF48:AF52 AF54:AF59 AF61:AF65 AF67:AF68">
    <cfRule type="cellIs" dxfId="2" priority="10" operator="equal">
      <formula>"Ordered"</formula>
    </cfRule>
  </conditionalFormatting>
  <conditionalFormatting sqref="AF3:AF5 AF7:AF16 AF18:AF22 AF24:AF46 AF48:AF52 AF54:AF59 AF61:AF65 AF67:AF68">
    <cfRule type="cellIs" dxfId="2" priority="11" operator="equal">
      <formula>"Received by S&amp;R"</formula>
    </cfRule>
  </conditionalFormatting>
  <dataValidations>
    <dataValidation type="list" allowBlank="1" sqref="F5 F9:F16 F20:F22 F26:F46 F48 F50:F52 F56:F59 F64:F65">
      <formula1>"Critical,Non-critical"</formula1>
    </dataValidation>
    <dataValidation type="list" allowBlank="1" sqref="AF50:AF52 AF56:AF57 AF59">
      <formula1>"Apt booked with Steven,Ordered,Received by S&amp;R,In Shop,In Shop (Lead Notified),Unpacked,Submitted P-Card,Ordered,Requires Cheq Req"</formula1>
    </dataValidation>
    <dataValidation type="list" allowBlank="1" sqref="AB3:AD3">
      <formula1>"Yes"</formula1>
    </dataValidation>
    <dataValidation type="list" allowBlank="1" sqref="A63 A66">
      <formula1>"Fastener,Material,Part"</formula1>
    </dataValidation>
    <dataValidation type="list" allowBlank="1" showInputMessage="1" showErrorMessage="1" prompt="If your subsystem does not appear here, message Morgan with the name of the subsystem and she will add it." sqref="B63">
      <formula1>"ergo-struct,ergo-rig,driver-safety,el-cn,ergo-misc,frame-sub-items,outboards,suspension,steering,frame,brakes,el-safety,drivetrain,accumulator,accumulator-handcart,cooling,motor-and-controller,glv,battery-storage,segment-prototype,hand-cart,aero,bodywork,"&amp;"livery,car-misc,shop-misc"</formula1>
    </dataValidation>
    <dataValidation type="list" allowBlank="1" sqref="AE63 AE67:AE68">
      <formula1>"Apt booked with Steven,Ordered,Received by S&amp;R,In Shop,In Shop (Lead Notified),Unpacked"</formula1>
    </dataValidation>
    <dataValidation type="list" allowBlank="1" sqref="Y3 Y5 Y9:Y16 Y20:Y22 Y26:Y46 Y48 Y50:Y52 Y56:Y59 Y63:Y65">
      <formula1>"P-CARD,Rochelle,Rhythm,George,Victor,Emi,PENDING,LUCA,STEVEN,Davis,Drew,Biblina,Ozge"</formula1>
    </dataValidation>
    <dataValidation type="list" allowBlank="1" sqref="X5 X9:X10 X14 X20:X22 X26:X46 X48 X50:X52 X63">
      <formula1>"Yes,Pending,No"</formula1>
    </dataValidation>
    <dataValidation type="list" allowBlank="1" sqref="F63">
      <formula1>"Critical,Non-critical"</formula1>
    </dataValidation>
    <dataValidation type="list" allowBlank="1" sqref="Z3 Z5 Z9:Z16 Z20:Z22 Z26:Z46 Z48 Y49:Z49 Z50:Z52 Y54:Z55 Z56:Z59 Y61:Z62 Z63:Z65 Z67:Z68">
      <formula1>"Rhythm,Claudia"</formula1>
    </dataValidation>
    <dataValidation type="list" allowBlank="1" showInputMessage="1" showErrorMessage="1" prompt="Click and enter a value from the list of items" sqref="B5 B9:B16 B20:B22 B26:B46 B50:B52 B56:B59">
      <formula1>"ergo-struct,ergo-rig,driver-safety,el-cn,ergo-misc,frame-sub-items,outboards,suspension,steering,frame,brakes,el-safety,drivetrain,accumulator,accumulator-handcart,cooling,motor-and-controller,glv,battery-storage,segment-prototype,hand-cart,aero,bodywork,"&amp;"livery,car-misc,shop-misc,Front Wing,Rear Wing,Seat,Nosecone,Aero Structural,Cooling,Undertray"</formula1>
    </dataValidation>
    <dataValidation type="list" allowBlank="1" sqref="AF48">
      <formula1>"Apt booked with Steven,Ordered,Received by S&amp;R,In Shop,In Shop (Lead Notified),Unpacked"</formula1>
    </dataValidation>
    <dataValidation type="list" allowBlank="1" sqref="X3 X11:X13 X15:X16 X49 X54:X59 X61:X62 X64:X65">
      <formula1>"Yes,Pending"</formula1>
    </dataValidation>
    <dataValidation type="list" allowBlank="1" showInputMessage="1" showErrorMessage="1" prompt="Click and enter a value from the list of items" sqref="B64:B65">
      <formula1>"ergo-struct,ergo-rig,driver-safety,el-cn,ergo-misc,frame-sub-items,outboards,suspension,steering,frame,brakes,el-safety,drivetrain,accumulator,accumulator-handcart,cooling,motor-and-controller,glv,battery-storage,segment-prototype,hand-cart,aero,bodywork,"&amp;"livery,car-misc,shop-misc,Front Wing,Rear Wing,Seat,Nosecone,Aero Structural,Cooling"</formula1>
    </dataValidation>
    <dataValidation type="list" allowBlank="1" sqref="AF3 AF5 AF9:AF16 AF20:AF22 AF26:AF46 AF49 AF54:AF55 AF58 AF61:AF65 AF67:AF68">
      <formula1>"On Hold,Ordered,Received by S&amp;R,In Shop,In Shop (Lead Notified),Unpacked,Submitted P-Card,Ordered,Requires Cheq Req,Out of Stock"</formula1>
    </dataValidation>
    <dataValidation type="list" allowBlank="1" sqref="A5 A9:A16 A20:A22 A26:A47 A50:A52 A56:A59 A64:A65">
      <formula1>"Fastener,Material,Part"</formula1>
    </dataValidation>
  </dataValidations>
  <hyperlinks>
    <hyperlink r:id="rId1" ref="L2"/>
    <hyperlink r:id="rId2" ref="AA3"/>
    <hyperlink r:id="rId3" ref="P5"/>
    <hyperlink r:id="rId4" ref="P9"/>
    <hyperlink r:id="rId5" ref="P10"/>
    <hyperlink r:id="rId6" ref="P11"/>
    <hyperlink r:id="rId7" ref="P12"/>
    <hyperlink r:id="rId8" ref="P13"/>
    <hyperlink r:id="rId9" location="/product/LOH3101-400" ref="P14"/>
    <hyperlink r:id="rId10" ref="P15"/>
    <hyperlink r:id="rId11" ref="P16"/>
    <hyperlink r:id="rId12" ref="P20"/>
    <hyperlink r:id="rId13" ref="P21"/>
    <hyperlink r:id="rId14" location="/product/CFT-22X20TW" ref="P22"/>
    <hyperlink r:id="rId15" ref="P26"/>
    <hyperlink r:id="rId16" ref="P27"/>
    <hyperlink r:id="rId17" ref="P28"/>
    <hyperlink r:id="rId18" ref="P29"/>
    <hyperlink r:id="rId19" ref="P30"/>
    <hyperlink r:id="rId20" ref="P31"/>
    <hyperlink r:id="rId21" ref="P32"/>
    <hyperlink r:id="rId22" ref="P33"/>
    <hyperlink r:id="rId23" ref="P34"/>
    <hyperlink r:id="rId24" location="/product/6903-4" ref="P35"/>
    <hyperlink r:id="rId25" location="/product/6903-2" ref="P36"/>
    <hyperlink r:id="rId26" location="/product/BR200-2-B24" ref="P37"/>
    <hyperlink r:id="rId27" location="/product/BR200-1" ref="P38"/>
    <hyperlink r:id="rId28" location="/product/9036-PT" ref="P39"/>
    <hyperlink r:id="rId29" location="/product/9037-Q" ref="P40"/>
    <hyperlink r:id="rId30" location="/product/9037-25" ref="P41"/>
    <hyperlink r:id="rId31" location="/product/9037-5" ref="P42"/>
    <hyperlink r:id="rId32" ref="P43"/>
    <hyperlink r:id="rId33" location="store=600" ref="P44"/>
    <hyperlink r:id="rId34" ref="P45"/>
    <hyperlink r:id="rId35" ref="P46"/>
    <hyperlink r:id="rId36" ref="P50"/>
    <hyperlink r:id="rId37" ref="P51"/>
    <hyperlink r:id="rId38" ref="P52"/>
    <hyperlink r:id="rId39" ref="P56"/>
    <hyperlink r:id="rId40" ref="P57"/>
    <hyperlink r:id="rId41" ref="P58"/>
    <hyperlink r:id="rId42" ref="P59"/>
    <hyperlink r:id="rId43" ref="P63"/>
    <hyperlink r:id="rId44" ref="Z63"/>
    <hyperlink r:id="rId45" ref="P64"/>
    <hyperlink r:id="rId46" ref="U64"/>
    <hyperlink r:id="rId47" ref="P65"/>
  </hyperlinks>
  <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33.75"/>
    <col customWidth="1" min="4" max="4" width="52.75"/>
    <col customWidth="1" min="5" max="5" width="32.25"/>
    <col customWidth="1" min="10" max="10" width="15.88"/>
    <col customWidth="1" min="11" max="11" width="11.25"/>
    <col customWidth="1" min="12" max="12" width="12.25"/>
    <col customWidth="1" min="13" max="13" width="13.88"/>
    <col customWidth="1" min="14" max="14" width="17.75"/>
    <col customWidth="1" min="15" max="15" width="15.5"/>
    <col customWidth="1" min="16" max="16" width="17.75"/>
    <col customWidth="1" min="17" max="17" width="16.0"/>
    <col customWidth="1" min="18" max="18" width="11.38"/>
    <col customWidth="1" min="19" max="19" width="13.13"/>
    <col customWidth="1" min="20" max="20" width="18.13"/>
    <col customWidth="1" min="21" max="21" width="28.38"/>
    <col customWidth="1" min="22" max="22" width="15.25"/>
    <col customWidth="1" min="23" max="23" width="15.38"/>
    <col customWidth="1" min="25" max="25" width="17.63"/>
    <col hidden="1" min="26" max="27" width="12.63"/>
    <col customWidth="1" hidden="1" min="28" max="30" width="18.0"/>
    <col customWidth="1" hidden="1" min="31" max="31" width="17.13"/>
    <col customWidth="1" min="32" max="32" width="22.75"/>
  </cols>
  <sheetData>
    <row r="1" ht="66.0" customHeight="1">
      <c r="A1" s="397"/>
      <c r="V1" s="398" t="s">
        <v>601</v>
      </c>
      <c r="X1" s="176"/>
      <c r="Y1" s="174"/>
      <c r="Z1" s="399" t="s">
        <v>602</v>
      </c>
      <c r="AF1" s="176"/>
    </row>
    <row r="2" ht="27.0" customHeight="1">
      <c r="A2" s="400" t="s">
        <v>603</v>
      </c>
      <c r="B2" s="401" t="s">
        <v>604</v>
      </c>
      <c r="C2" s="400" t="s">
        <v>605</v>
      </c>
      <c r="D2" s="400" t="s">
        <v>606</v>
      </c>
      <c r="E2" s="400" t="s">
        <v>607</v>
      </c>
      <c r="F2" s="401" t="s">
        <v>608</v>
      </c>
      <c r="G2" s="400" t="s">
        <v>609</v>
      </c>
      <c r="H2" s="401" t="s">
        <v>610</v>
      </c>
      <c r="I2" s="401" t="s">
        <v>611</v>
      </c>
      <c r="J2" s="402" t="s">
        <v>612</v>
      </c>
      <c r="K2" s="402" t="s">
        <v>613</v>
      </c>
      <c r="L2" s="403" t="s">
        <v>870</v>
      </c>
      <c r="M2" s="404" t="s">
        <v>615</v>
      </c>
      <c r="N2" s="400" t="s">
        <v>616</v>
      </c>
      <c r="O2" s="400" t="s">
        <v>617</v>
      </c>
      <c r="P2" s="400" t="s">
        <v>618</v>
      </c>
      <c r="Q2" s="401" t="s">
        <v>619</v>
      </c>
      <c r="R2" s="401" t="s">
        <v>620</v>
      </c>
      <c r="S2" s="401" t="s">
        <v>621</v>
      </c>
      <c r="T2" s="401" t="s">
        <v>622</v>
      </c>
      <c r="U2" s="400" t="s">
        <v>623</v>
      </c>
      <c r="V2" s="405" t="s">
        <v>624</v>
      </c>
      <c r="W2" s="406" t="s">
        <v>625</v>
      </c>
      <c r="X2" s="407" t="s">
        <v>626</v>
      </c>
      <c r="Y2" s="183" t="s">
        <v>627</v>
      </c>
      <c r="Z2" s="183" t="s">
        <v>628</v>
      </c>
      <c r="AA2" s="183" t="s">
        <v>629</v>
      </c>
      <c r="AB2" s="183" t="s">
        <v>630</v>
      </c>
      <c r="AC2" s="408" t="s">
        <v>631</v>
      </c>
      <c r="AD2" s="408" t="s">
        <v>632</v>
      </c>
      <c r="AE2" s="183" t="s">
        <v>633</v>
      </c>
      <c r="AF2" s="183" t="s">
        <v>634</v>
      </c>
    </row>
    <row r="3" ht="17.25" customHeight="1">
      <c r="A3" s="191" t="s">
        <v>635</v>
      </c>
      <c r="B3" s="191" t="s">
        <v>636</v>
      </c>
      <c r="C3" s="191" t="s">
        <v>637</v>
      </c>
      <c r="D3" s="191" t="s">
        <v>638</v>
      </c>
      <c r="E3" s="191" t="s">
        <v>639</v>
      </c>
      <c r="F3" s="191" t="s">
        <v>640</v>
      </c>
      <c r="G3" s="191">
        <v>1.0</v>
      </c>
      <c r="H3" s="191"/>
      <c r="I3" s="191">
        <v>1.0</v>
      </c>
      <c r="J3" s="409">
        <v>100.0</v>
      </c>
      <c r="K3" s="409">
        <v>0.0</v>
      </c>
      <c r="L3" s="409">
        <v>0.0</v>
      </c>
      <c r="M3" s="410">
        <f>J3*I3+K3</f>
        <v>100</v>
      </c>
      <c r="N3" s="411" t="s">
        <v>641</v>
      </c>
      <c r="O3" s="191" t="s">
        <v>642</v>
      </c>
      <c r="P3" s="412"/>
      <c r="Q3" s="191" t="s">
        <v>643</v>
      </c>
      <c r="R3" s="191" t="s">
        <v>871</v>
      </c>
      <c r="S3" s="191" t="s">
        <v>645</v>
      </c>
      <c r="T3" s="191" t="s">
        <v>646</v>
      </c>
      <c r="U3" s="191" t="s">
        <v>647</v>
      </c>
      <c r="V3" s="192" t="s">
        <v>648</v>
      </c>
      <c r="W3" s="192" t="s">
        <v>649</v>
      </c>
      <c r="X3" s="413" t="s">
        <v>650</v>
      </c>
      <c r="Y3" s="194"/>
      <c r="Z3" s="414" t="s">
        <v>652</v>
      </c>
      <c r="AA3" s="415" t="s">
        <v>653</v>
      </c>
      <c r="AB3" s="416" t="s">
        <v>650</v>
      </c>
      <c r="AC3" s="417" t="s">
        <v>642</v>
      </c>
      <c r="AD3" s="417" t="s">
        <v>642</v>
      </c>
      <c r="AE3" s="191" t="s">
        <v>654</v>
      </c>
      <c r="AF3" s="416" t="s">
        <v>655</v>
      </c>
    </row>
    <row r="4" ht="15.75" customHeight="1">
      <c r="A4" s="418" t="s">
        <v>564</v>
      </c>
      <c r="H4" s="419"/>
      <c r="I4" s="419"/>
      <c r="J4" s="420"/>
      <c r="K4" s="420"/>
      <c r="L4" s="420"/>
      <c r="M4" s="203"/>
      <c r="N4" s="203"/>
      <c r="O4" s="421"/>
      <c r="P4" s="421"/>
      <c r="Q4" s="421"/>
      <c r="R4" s="421"/>
      <c r="S4" s="421"/>
      <c r="T4" s="421"/>
      <c r="U4" s="421"/>
      <c r="V4" s="422"/>
      <c r="W4" s="419"/>
      <c r="X4" s="423"/>
      <c r="Y4" s="207"/>
      <c r="Z4" s="424"/>
      <c r="AA4" s="424"/>
      <c r="AB4" s="424"/>
      <c r="AC4" s="425"/>
      <c r="AD4" s="425"/>
      <c r="AE4" s="424"/>
      <c r="AF4" s="424"/>
    </row>
    <row r="5" ht="15.75" customHeight="1">
      <c r="A5" s="426" t="s">
        <v>753</v>
      </c>
      <c r="B5" s="426" t="s">
        <v>872</v>
      </c>
      <c r="C5" s="426" t="s">
        <v>873</v>
      </c>
      <c r="D5" s="426" t="s">
        <v>874</v>
      </c>
      <c r="E5" s="426" t="s">
        <v>875</v>
      </c>
      <c r="F5" s="426" t="s">
        <v>822</v>
      </c>
      <c r="G5" s="426">
        <v>1.0</v>
      </c>
      <c r="H5" s="427"/>
      <c r="I5" s="427">
        <f t="shared" ref="I5:I17" si="1">H5+G5</f>
        <v>1</v>
      </c>
      <c r="J5" s="428">
        <v>538.68</v>
      </c>
      <c r="K5" s="428">
        <v>240.0</v>
      </c>
      <c r="L5" s="429"/>
      <c r="M5" s="429">
        <f t="shared" ref="M5:M17" si="2">(K5+J5+L5)*I5</f>
        <v>778.68</v>
      </c>
      <c r="N5" s="426" t="s">
        <v>876</v>
      </c>
      <c r="O5" s="426" t="s">
        <v>877</v>
      </c>
      <c r="P5" s="430" t="s">
        <v>878</v>
      </c>
      <c r="Q5" s="426" t="s">
        <v>724</v>
      </c>
      <c r="R5" s="426" t="s">
        <v>567</v>
      </c>
      <c r="S5" s="426" t="s">
        <v>876</v>
      </c>
      <c r="T5" s="426" t="s">
        <v>879</v>
      </c>
      <c r="U5" s="426" t="s">
        <v>880</v>
      </c>
      <c r="V5" s="431" t="s">
        <v>479</v>
      </c>
      <c r="W5" s="431" t="s">
        <v>642</v>
      </c>
      <c r="X5" s="431" t="s">
        <v>724</v>
      </c>
      <c r="Y5" s="427"/>
      <c r="Z5" s="427"/>
      <c r="AA5" s="432"/>
      <c r="AB5" s="432"/>
      <c r="AC5" s="427"/>
      <c r="AD5" s="427"/>
      <c r="AE5" s="433"/>
      <c r="AF5" s="427"/>
    </row>
    <row r="6" ht="13.5" customHeight="1">
      <c r="A6" s="434" t="s">
        <v>753</v>
      </c>
      <c r="B6" s="434" t="s">
        <v>872</v>
      </c>
      <c r="C6" s="434" t="s">
        <v>881</v>
      </c>
      <c r="D6" s="434" t="s">
        <v>882</v>
      </c>
      <c r="E6" s="434" t="s">
        <v>883</v>
      </c>
      <c r="F6" s="434" t="s">
        <v>640</v>
      </c>
      <c r="G6" s="435">
        <v>1.0</v>
      </c>
      <c r="H6" s="435"/>
      <c r="I6" s="436">
        <f t="shared" si="1"/>
        <v>1</v>
      </c>
      <c r="J6" s="437">
        <v>20.0</v>
      </c>
      <c r="K6" s="363"/>
      <c r="L6" s="363"/>
      <c r="M6" s="278">
        <f t="shared" si="2"/>
        <v>20</v>
      </c>
      <c r="N6" s="434" t="s">
        <v>701</v>
      </c>
      <c r="O6" s="438" t="s">
        <v>642</v>
      </c>
      <c r="P6" s="439" t="s">
        <v>884</v>
      </c>
      <c r="Q6" s="366"/>
      <c r="R6" s="434" t="s">
        <v>567</v>
      </c>
      <c r="S6" s="366"/>
      <c r="T6" s="366"/>
      <c r="U6" s="366"/>
      <c r="V6" s="210" t="s">
        <v>479</v>
      </c>
      <c r="W6" s="210" t="s">
        <v>437</v>
      </c>
      <c r="X6" s="210" t="s">
        <v>650</v>
      </c>
      <c r="Y6" s="210" t="s">
        <v>696</v>
      </c>
      <c r="Z6" s="436"/>
      <c r="AA6" s="213"/>
      <c r="AB6" s="213"/>
      <c r="AC6" s="436"/>
      <c r="AD6" s="436"/>
      <c r="AE6" s="440"/>
      <c r="AF6" s="210" t="s">
        <v>677</v>
      </c>
    </row>
    <row r="7" ht="15.75" customHeight="1">
      <c r="A7" s="210" t="s">
        <v>656</v>
      </c>
      <c r="B7" s="210" t="s">
        <v>872</v>
      </c>
      <c r="C7" s="210" t="s">
        <v>885</v>
      </c>
      <c r="D7" s="210" t="s">
        <v>886</v>
      </c>
      <c r="E7" s="210" t="s">
        <v>887</v>
      </c>
      <c r="F7" s="210" t="s">
        <v>640</v>
      </c>
      <c r="G7" s="210">
        <v>1.0</v>
      </c>
      <c r="H7" s="436"/>
      <c r="I7" s="436">
        <f t="shared" si="1"/>
        <v>1</v>
      </c>
      <c r="J7" s="277">
        <v>10.0</v>
      </c>
      <c r="K7" s="278"/>
      <c r="L7" s="278"/>
      <c r="M7" s="278">
        <f t="shared" si="2"/>
        <v>10</v>
      </c>
      <c r="N7" s="434" t="s">
        <v>641</v>
      </c>
      <c r="O7" s="438" t="s">
        <v>642</v>
      </c>
      <c r="P7" s="290" t="s">
        <v>888</v>
      </c>
      <c r="Q7" s="221" t="s">
        <v>150</v>
      </c>
      <c r="R7" s="434" t="s">
        <v>567</v>
      </c>
      <c r="S7" s="436"/>
      <c r="T7" s="436"/>
      <c r="U7" s="436"/>
      <c r="V7" s="210" t="s">
        <v>479</v>
      </c>
      <c r="W7" s="210" t="s">
        <v>437</v>
      </c>
      <c r="X7" s="210" t="s">
        <v>650</v>
      </c>
      <c r="Y7" s="210" t="s">
        <v>696</v>
      </c>
      <c r="Z7" s="436"/>
      <c r="AA7" s="213"/>
      <c r="AB7" s="213"/>
      <c r="AC7" s="213"/>
      <c r="AD7" s="213"/>
      <c r="AE7" s="213"/>
      <c r="AF7" s="210" t="s">
        <v>677</v>
      </c>
    </row>
    <row r="8" ht="15.75" customHeight="1">
      <c r="A8" s="210" t="s">
        <v>656</v>
      </c>
      <c r="B8" s="210" t="s">
        <v>872</v>
      </c>
      <c r="C8" s="210" t="s">
        <v>889</v>
      </c>
      <c r="D8" s="210" t="s">
        <v>890</v>
      </c>
      <c r="E8" s="210" t="s">
        <v>887</v>
      </c>
      <c r="F8" s="210" t="s">
        <v>640</v>
      </c>
      <c r="G8" s="210">
        <v>1.0</v>
      </c>
      <c r="H8" s="436"/>
      <c r="I8" s="436">
        <f t="shared" si="1"/>
        <v>1</v>
      </c>
      <c r="J8" s="277">
        <v>13.0</v>
      </c>
      <c r="K8" s="278"/>
      <c r="L8" s="278"/>
      <c r="M8" s="278">
        <f t="shared" si="2"/>
        <v>13</v>
      </c>
      <c r="N8" s="434" t="s">
        <v>641</v>
      </c>
      <c r="O8" s="438" t="s">
        <v>642</v>
      </c>
      <c r="P8" s="290" t="s">
        <v>888</v>
      </c>
      <c r="Q8" s="221" t="s">
        <v>150</v>
      </c>
      <c r="R8" s="434" t="s">
        <v>567</v>
      </c>
      <c r="S8" s="436"/>
      <c r="T8" s="436"/>
      <c r="U8" s="436"/>
      <c r="V8" s="210" t="s">
        <v>479</v>
      </c>
      <c r="W8" s="210" t="s">
        <v>437</v>
      </c>
      <c r="X8" s="210" t="s">
        <v>650</v>
      </c>
      <c r="Y8" s="210" t="s">
        <v>696</v>
      </c>
      <c r="Z8" s="436"/>
      <c r="AA8" s="213"/>
      <c r="AB8" s="213"/>
      <c r="AC8" s="213"/>
      <c r="AD8" s="213"/>
      <c r="AE8" s="213"/>
      <c r="AF8" s="210" t="s">
        <v>677</v>
      </c>
    </row>
    <row r="9" ht="15.75" customHeight="1">
      <c r="A9" s="210" t="s">
        <v>656</v>
      </c>
      <c r="B9" s="210" t="s">
        <v>872</v>
      </c>
      <c r="C9" s="210" t="s">
        <v>891</v>
      </c>
      <c r="D9" s="210" t="s">
        <v>892</v>
      </c>
      <c r="E9" s="210" t="s">
        <v>887</v>
      </c>
      <c r="F9" s="210" t="s">
        <v>640</v>
      </c>
      <c r="G9" s="210">
        <v>1.0</v>
      </c>
      <c r="H9" s="436"/>
      <c r="I9" s="436">
        <f t="shared" si="1"/>
        <v>1</v>
      </c>
      <c r="J9" s="277">
        <v>7.4</v>
      </c>
      <c r="K9" s="278"/>
      <c r="L9" s="278"/>
      <c r="M9" s="278">
        <f t="shared" si="2"/>
        <v>7.4</v>
      </c>
      <c r="N9" s="434" t="s">
        <v>641</v>
      </c>
      <c r="O9" s="438" t="s">
        <v>642</v>
      </c>
      <c r="P9" s="290" t="s">
        <v>888</v>
      </c>
      <c r="Q9" s="221" t="s">
        <v>150</v>
      </c>
      <c r="R9" s="434" t="s">
        <v>567</v>
      </c>
      <c r="S9" s="436"/>
      <c r="T9" s="436"/>
      <c r="U9" s="436"/>
      <c r="V9" s="210" t="s">
        <v>479</v>
      </c>
      <c r="W9" s="210" t="s">
        <v>437</v>
      </c>
      <c r="X9" s="210" t="s">
        <v>650</v>
      </c>
      <c r="Y9" s="210" t="s">
        <v>696</v>
      </c>
      <c r="Z9" s="436"/>
      <c r="AA9" s="213"/>
      <c r="AB9" s="213"/>
      <c r="AC9" s="213"/>
      <c r="AD9" s="213"/>
      <c r="AE9" s="213"/>
      <c r="AF9" s="210" t="s">
        <v>677</v>
      </c>
    </row>
    <row r="10" ht="15.75" customHeight="1">
      <c r="A10" s="441" t="s">
        <v>678</v>
      </c>
      <c r="B10" s="441" t="s">
        <v>872</v>
      </c>
      <c r="C10" s="441" t="s">
        <v>893</v>
      </c>
      <c r="D10" s="441" t="s">
        <v>894</v>
      </c>
      <c r="E10" s="441" t="s">
        <v>895</v>
      </c>
      <c r="F10" s="441" t="s">
        <v>640</v>
      </c>
      <c r="G10" s="441">
        <v>80.0</v>
      </c>
      <c r="H10" s="441">
        <v>30.0</v>
      </c>
      <c r="I10" s="442">
        <f t="shared" si="1"/>
        <v>110</v>
      </c>
      <c r="J10" s="443">
        <v>1.06</v>
      </c>
      <c r="K10" s="444"/>
      <c r="L10" s="444"/>
      <c r="M10" s="444">
        <f t="shared" si="2"/>
        <v>116.6</v>
      </c>
      <c r="N10" s="441" t="s">
        <v>896</v>
      </c>
      <c r="O10" s="441" t="s">
        <v>897</v>
      </c>
      <c r="P10" s="445" t="s">
        <v>898</v>
      </c>
      <c r="Q10" s="441" t="s">
        <v>150</v>
      </c>
      <c r="R10" s="446" t="s">
        <v>567</v>
      </c>
      <c r="S10" s="442"/>
      <c r="T10" s="442"/>
      <c r="U10" s="442"/>
      <c r="V10" s="441" t="s">
        <v>479</v>
      </c>
      <c r="W10" s="441" t="s">
        <v>437</v>
      </c>
      <c r="X10" s="441" t="s">
        <v>650</v>
      </c>
      <c r="Y10" s="441" t="s">
        <v>651</v>
      </c>
      <c r="Z10" s="442"/>
      <c r="AA10" s="447"/>
      <c r="AB10" s="447"/>
      <c r="AC10" s="447"/>
      <c r="AD10" s="447"/>
      <c r="AE10" s="447"/>
      <c r="AF10" s="441" t="s">
        <v>845</v>
      </c>
    </row>
    <row r="11" ht="15.75" customHeight="1">
      <c r="A11" s="441" t="s">
        <v>678</v>
      </c>
      <c r="B11" s="441" t="s">
        <v>872</v>
      </c>
      <c r="C11" s="441" t="s">
        <v>899</v>
      </c>
      <c r="D11" s="441" t="s">
        <v>900</v>
      </c>
      <c r="E11" s="441" t="s">
        <v>901</v>
      </c>
      <c r="F11" s="441" t="s">
        <v>640</v>
      </c>
      <c r="G11" s="441">
        <v>8.0</v>
      </c>
      <c r="H11" s="441">
        <v>4.0</v>
      </c>
      <c r="I11" s="442">
        <f t="shared" si="1"/>
        <v>12</v>
      </c>
      <c r="J11" s="443">
        <v>25.43</v>
      </c>
      <c r="K11" s="444"/>
      <c r="L11" s="444"/>
      <c r="M11" s="444">
        <f t="shared" si="2"/>
        <v>305.16</v>
      </c>
      <c r="N11" s="441" t="s">
        <v>896</v>
      </c>
      <c r="O11" s="441" t="s">
        <v>902</v>
      </c>
      <c r="P11" s="448" t="s">
        <v>903</v>
      </c>
      <c r="Q11" s="441" t="s">
        <v>150</v>
      </c>
      <c r="R11" s="446" t="s">
        <v>567</v>
      </c>
      <c r="S11" s="442"/>
      <c r="T11" s="442"/>
      <c r="U11" s="442"/>
      <c r="V11" s="441" t="s">
        <v>479</v>
      </c>
      <c r="W11" s="441" t="s">
        <v>437</v>
      </c>
      <c r="X11" s="441" t="s">
        <v>650</v>
      </c>
      <c r="Y11" s="441" t="s">
        <v>651</v>
      </c>
      <c r="Z11" s="442"/>
      <c r="AA11" s="447"/>
      <c r="AB11" s="447"/>
      <c r="AC11" s="442"/>
      <c r="AD11" s="442"/>
      <c r="AE11" s="449"/>
      <c r="AF11" s="441" t="s">
        <v>845</v>
      </c>
    </row>
    <row r="12" ht="15.75" customHeight="1">
      <c r="A12" s="441" t="s">
        <v>678</v>
      </c>
      <c r="B12" s="441" t="s">
        <v>872</v>
      </c>
      <c r="C12" s="441" t="s">
        <v>904</v>
      </c>
      <c r="D12" s="441" t="s">
        <v>905</v>
      </c>
      <c r="E12" s="441" t="s">
        <v>906</v>
      </c>
      <c r="F12" s="441" t="s">
        <v>640</v>
      </c>
      <c r="G12" s="441">
        <v>25.0</v>
      </c>
      <c r="H12" s="441">
        <v>0.0</v>
      </c>
      <c r="I12" s="442">
        <f t="shared" si="1"/>
        <v>25</v>
      </c>
      <c r="J12" s="443">
        <v>9.82</v>
      </c>
      <c r="K12" s="444"/>
      <c r="L12" s="444"/>
      <c r="M12" s="444">
        <f t="shared" si="2"/>
        <v>245.5</v>
      </c>
      <c r="N12" s="441" t="s">
        <v>896</v>
      </c>
      <c r="O12" s="441" t="s">
        <v>907</v>
      </c>
      <c r="P12" s="448" t="s">
        <v>908</v>
      </c>
      <c r="Q12" s="441" t="s">
        <v>150</v>
      </c>
      <c r="R12" s="446" t="s">
        <v>567</v>
      </c>
      <c r="S12" s="442"/>
      <c r="T12" s="442"/>
      <c r="U12" s="442"/>
      <c r="V12" s="441" t="s">
        <v>479</v>
      </c>
      <c r="W12" s="441" t="s">
        <v>437</v>
      </c>
      <c r="X12" s="441" t="s">
        <v>650</v>
      </c>
      <c r="Y12" s="441" t="s">
        <v>651</v>
      </c>
      <c r="Z12" s="442"/>
      <c r="AA12" s="447"/>
      <c r="AB12" s="447"/>
      <c r="AC12" s="447"/>
      <c r="AD12" s="447"/>
      <c r="AE12" s="447"/>
      <c r="AF12" s="441" t="s">
        <v>845</v>
      </c>
    </row>
    <row r="13" ht="15.75" customHeight="1">
      <c r="A13" s="441" t="s">
        <v>678</v>
      </c>
      <c r="B13" s="441" t="s">
        <v>872</v>
      </c>
      <c r="C13" s="441" t="s">
        <v>909</v>
      </c>
      <c r="D13" s="441" t="s">
        <v>910</v>
      </c>
      <c r="E13" s="441" t="s">
        <v>911</v>
      </c>
      <c r="F13" s="441" t="s">
        <v>640</v>
      </c>
      <c r="G13" s="441">
        <v>22.0</v>
      </c>
      <c r="H13" s="441">
        <v>0.0</v>
      </c>
      <c r="I13" s="442">
        <f t="shared" si="1"/>
        <v>22</v>
      </c>
      <c r="J13" s="443">
        <v>10.25</v>
      </c>
      <c r="K13" s="444"/>
      <c r="L13" s="444"/>
      <c r="M13" s="444">
        <f t="shared" si="2"/>
        <v>225.5</v>
      </c>
      <c r="N13" s="441" t="s">
        <v>896</v>
      </c>
      <c r="O13" s="441" t="s">
        <v>912</v>
      </c>
      <c r="P13" s="445" t="s">
        <v>913</v>
      </c>
      <c r="Q13" s="441" t="s">
        <v>150</v>
      </c>
      <c r="R13" s="446" t="s">
        <v>567</v>
      </c>
      <c r="S13" s="442"/>
      <c r="T13" s="442"/>
      <c r="U13" s="441" t="s">
        <v>914</v>
      </c>
      <c r="V13" s="441" t="s">
        <v>479</v>
      </c>
      <c r="W13" s="441" t="s">
        <v>437</v>
      </c>
      <c r="X13" s="441" t="s">
        <v>650</v>
      </c>
      <c r="Y13" s="441" t="s">
        <v>651</v>
      </c>
      <c r="Z13" s="442"/>
      <c r="AA13" s="447"/>
      <c r="AB13" s="447"/>
      <c r="AC13" s="442"/>
      <c r="AD13" s="442"/>
      <c r="AE13" s="449"/>
      <c r="AF13" s="441" t="s">
        <v>845</v>
      </c>
    </row>
    <row r="14" ht="15.75" customHeight="1">
      <c r="A14" s="441" t="s">
        <v>678</v>
      </c>
      <c r="B14" s="441" t="s">
        <v>872</v>
      </c>
      <c r="C14" s="441" t="s">
        <v>893</v>
      </c>
      <c r="D14" s="441" t="s">
        <v>915</v>
      </c>
      <c r="E14" s="441" t="s">
        <v>916</v>
      </c>
      <c r="F14" s="441" t="s">
        <v>640</v>
      </c>
      <c r="G14" s="441">
        <v>8.0</v>
      </c>
      <c r="H14" s="441">
        <v>10.0</v>
      </c>
      <c r="I14" s="442">
        <f t="shared" si="1"/>
        <v>18</v>
      </c>
      <c r="J14" s="443">
        <v>0.85</v>
      </c>
      <c r="K14" s="444"/>
      <c r="L14" s="444"/>
      <c r="M14" s="444">
        <f t="shared" si="2"/>
        <v>15.3</v>
      </c>
      <c r="N14" s="441" t="s">
        <v>896</v>
      </c>
      <c r="O14" s="441" t="s">
        <v>917</v>
      </c>
      <c r="P14" s="445" t="s">
        <v>918</v>
      </c>
      <c r="Q14" s="441" t="s">
        <v>150</v>
      </c>
      <c r="R14" s="446" t="s">
        <v>567</v>
      </c>
      <c r="S14" s="442"/>
      <c r="T14" s="442"/>
      <c r="U14" s="442"/>
      <c r="V14" s="441" t="s">
        <v>479</v>
      </c>
      <c r="W14" s="441" t="s">
        <v>437</v>
      </c>
      <c r="X14" s="441" t="s">
        <v>650</v>
      </c>
      <c r="Y14" s="441" t="s">
        <v>651</v>
      </c>
      <c r="Z14" s="442"/>
      <c r="AA14" s="447"/>
      <c r="AB14" s="447"/>
      <c r="AC14" s="442"/>
      <c r="AD14" s="442"/>
      <c r="AE14" s="449"/>
      <c r="AF14" s="441" t="s">
        <v>845</v>
      </c>
    </row>
    <row r="15" ht="15.75" customHeight="1">
      <c r="A15" s="441" t="s">
        <v>678</v>
      </c>
      <c r="B15" s="441" t="s">
        <v>872</v>
      </c>
      <c r="C15" s="441" t="s">
        <v>904</v>
      </c>
      <c r="D15" s="441" t="s">
        <v>919</v>
      </c>
      <c r="E15" s="441" t="s">
        <v>920</v>
      </c>
      <c r="F15" s="441" t="s">
        <v>640</v>
      </c>
      <c r="G15" s="441">
        <v>9.0</v>
      </c>
      <c r="H15" s="441">
        <v>0.0</v>
      </c>
      <c r="I15" s="442">
        <f t="shared" si="1"/>
        <v>9</v>
      </c>
      <c r="J15" s="443">
        <v>9.82</v>
      </c>
      <c r="K15" s="444"/>
      <c r="L15" s="444"/>
      <c r="M15" s="444">
        <f t="shared" si="2"/>
        <v>88.38</v>
      </c>
      <c r="N15" s="441" t="s">
        <v>896</v>
      </c>
      <c r="O15" s="441" t="s">
        <v>921</v>
      </c>
      <c r="P15" s="445" t="s">
        <v>922</v>
      </c>
      <c r="Q15" s="441" t="s">
        <v>150</v>
      </c>
      <c r="R15" s="446" t="s">
        <v>567</v>
      </c>
      <c r="S15" s="442"/>
      <c r="T15" s="442"/>
      <c r="U15" s="442"/>
      <c r="V15" s="441" t="s">
        <v>479</v>
      </c>
      <c r="W15" s="441" t="s">
        <v>437</v>
      </c>
      <c r="X15" s="441" t="s">
        <v>650</v>
      </c>
      <c r="Y15" s="441" t="s">
        <v>651</v>
      </c>
      <c r="Z15" s="442"/>
      <c r="AA15" s="447"/>
      <c r="AB15" s="447"/>
      <c r="AC15" s="442"/>
      <c r="AD15" s="442"/>
      <c r="AE15" s="449"/>
      <c r="AF15" s="441" t="s">
        <v>845</v>
      </c>
    </row>
    <row r="16" ht="15.75" customHeight="1">
      <c r="A16" s="441" t="s">
        <v>678</v>
      </c>
      <c r="B16" s="441" t="s">
        <v>872</v>
      </c>
      <c r="C16" s="441" t="s">
        <v>909</v>
      </c>
      <c r="D16" s="441" t="s">
        <v>923</v>
      </c>
      <c r="E16" s="441" t="s">
        <v>924</v>
      </c>
      <c r="F16" s="441" t="s">
        <v>640</v>
      </c>
      <c r="G16" s="441">
        <v>6.0</v>
      </c>
      <c r="H16" s="441">
        <v>0.0</v>
      </c>
      <c r="I16" s="442">
        <f t="shared" si="1"/>
        <v>6</v>
      </c>
      <c r="J16" s="443">
        <v>10.25</v>
      </c>
      <c r="K16" s="444"/>
      <c r="L16" s="444"/>
      <c r="M16" s="444">
        <f t="shared" si="2"/>
        <v>61.5</v>
      </c>
      <c r="N16" s="441" t="s">
        <v>896</v>
      </c>
      <c r="O16" s="441" t="s">
        <v>925</v>
      </c>
      <c r="P16" s="445" t="s">
        <v>913</v>
      </c>
      <c r="Q16" s="441" t="s">
        <v>150</v>
      </c>
      <c r="R16" s="446" t="s">
        <v>567</v>
      </c>
      <c r="S16" s="442"/>
      <c r="T16" s="442"/>
      <c r="U16" s="441" t="s">
        <v>914</v>
      </c>
      <c r="V16" s="441" t="s">
        <v>479</v>
      </c>
      <c r="W16" s="441" t="s">
        <v>437</v>
      </c>
      <c r="X16" s="441" t="s">
        <v>650</v>
      </c>
      <c r="Y16" s="441" t="s">
        <v>651</v>
      </c>
      <c r="Z16" s="442"/>
      <c r="AA16" s="447"/>
      <c r="AB16" s="447"/>
      <c r="AC16" s="442"/>
      <c r="AD16" s="442"/>
      <c r="AE16" s="449"/>
      <c r="AF16" s="441" t="s">
        <v>845</v>
      </c>
    </row>
    <row r="17" ht="15.75" customHeight="1">
      <c r="A17" s="441" t="s">
        <v>678</v>
      </c>
      <c r="B17" s="441" t="s">
        <v>872</v>
      </c>
      <c r="C17" s="441" t="s">
        <v>926</v>
      </c>
      <c r="D17" s="441" t="s">
        <v>927</v>
      </c>
      <c r="E17" s="441" t="s">
        <v>928</v>
      </c>
      <c r="F17" s="441" t="s">
        <v>640</v>
      </c>
      <c r="G17" s="441">
        <v>8.0</v>
      </c>
      <c r="H17" s="441">
        <v>2.0</v>
      </c>
      <c r="I17" s="442">
        <f t="shared" si="1"/>
        <v>10</v>
      </c>
      <c r="J17" s="443">
        <v>9.48</v>
      </c>
      <c r="K17" s="444"/>
      <c r="L17" s="444"/>
      <c r="M17" s="444">
        <f t="shared" si="2"/>
        <v>94.8</v>
      </c>
      <c r="N17" s="441" t="s">
        <v>896</v>
      </c>
      <c r="O17" s="441" t="s">
        <v>929</v>
      </c>
      <c r="P17" s="445" t="s">
        <v>930</v>
      </c>
      <c r="Q17" s="441" t="s">
        <v>150</v>
      </c>
      <c r="R17" s="446" t="s">
        <v>567</v>
      </c>
      <c r="S17" s="442"/>
      <c r="T17" s="442"/>
      <c r="U17" s="442"/>
      <c r="V17" s="441" t="s">
        <v>479</v>
      </c>
      <c r="W17" s="441" t="s">
        <v>437</v>
      </c>
      <c r="X17" s="441" t="s">
        <v>650</v>
      </c>
      <c r="Y17" s="441" t="s">
        <v>651</v>
      </c>
      <c r="Z17" s="442"/>
      <c r="AA17" s="447"/>
      <c r="AB17" s="447"/>
      <c r="AC17" s="442"/>
      <c r="AD17" s="442"/>
      <c r="AE17" s="449"/>
      <c r="AF17" s="441" t="s">
        <v>845</v>
      </c>
    </row>
    <row r="18" ht="15.75" customHeight="1"/>
    <row r="19" ht="15.75" customHeight="1">
      <c r="A19" s="122"/>
    </row>
    <row r="20" ht="15.75" customHeight="1">
      <c r="A20" s="199"/>
      <c r="B20" s="199"/>
      <c r="C20" s="199"/>
      <c r="D20" s="199" t="s">
        <v>931</v>
      </c>
      <c r="E20" s="199"/>
      <c r="F20" s="199"/>
      <c r="G20" s="199"/>
      <c r="H20" s="200"/>
      <c r="I20" s="200"/>
      <c r="J20" s="201"/>
      <c r="K20" s="201"/>
      <c r="L20" s="201"/>
      <c r="M20" s="202"/>
      <c r="N20" s="202"/>
      <c r="O20" s="202"/>
      <c r="P20" s="450"/>
      <c r="Q20" s="203"/>
      <c r="R20" s="203"/>
      <c r="S20" s="203"/>
      <c r="T20" s="203"/>
      <c r="U20" s="451"/>
      <c r="V20" s="204"/>
      <c r="W20" s="204"/>
      <c r="X20" s="207"/>
      <c r="Y20" s="207"/>
      <c r="Z20" s="207"/>
      <c r="AA20" s="207"/>
      <c r="AB20" s="207"/>
      <c r="AC20" s="207"/>
      <c r="AD20" s="207"/>
      <c r="AE20" s="207"/>
      <c r="AF20" s="207"/>
    </row>
    <row r="21" ht="15.75" customHeight="1">
      <c r="A21" s="210" t="s">
        <v>753</v>
      </c>
      <c r="B21" s="210"/>
      <c r="C21" s="210" t="s">
        <v>932</v>
      </c>
      <c r="D21" s="210" t="s">
        <v>933</v>
      </c>
      <c r="E21" s="210" t="s">
        <v>934</v>
      </c>
      <c r="F21" s="210" t="s">
        <v>640</v>
      </c>
      <c r="G21" s="210">
        <v>2.0</v>
      </c>
      <c r="H21" s="210">
        <v>0.0</v>
      </c>
      <c r="I21" s="436">
        <f t="shared" ref="I21:I29" si="3">H21+G21</f>
        <v>2</v>
      </c>
      <c r="J21" s="277">
        <v>64.73</v>
      </c>
      <c r="K21" s="278"/>
      <c r="L21" s="278"/>
      <c r="M21" s="278">
        <f t="shared" ref="M21:M29" si="4">J21*I21</f>
        <v>129.46</v>
      </c>
      <c r="N21" s="210" t="s">
        <v>896</v>
      </c>
      <c r="O21" s="210" t="s">
        <v>935</v>
      </c>
      <c r="P21" s="290" t="s">
        <v>936</v>
      </c>
      <c r="Q21" s="210" t="s">
        <v>150</v>
      </c>
      <c r="R21" s="434" t="s">
        <v>567</v>
      </c>
      <c r="S21" s="436"/>
      <c r="T21" s="436"/>
      <c r="U21" s="436"/>
      <c r="V21" s="210" t="s">
        <v>479</v>
      </c>
      <c r="W21" s="210" t="s">
        <v>437</v>
      </c>
      <c r="X21" s="210" t="s">
        <v>650</v>
      </c>
      <c r="Y21" s="452" t="s">
        <v>479</v>
      </c>
      <c r="Z21" s="453"/>
      <c r="AA21" s="58"/>
      <c r="AB21" s="58"/>
      <c r="AC21" s="58"/>
      <c r="AD21" s="58"/>
      <c r="AE21" s="58"/>
      <c r="AF21" s="42" t="s">
        <v>837</v>
      </c>
    </row>
    <row r="22" ht="15.75" customHeight="1">
      <c r="A22" s="210" t="s">
        <v>753</v>
      </c>
      <c r="B22" s="210"/>
      <c r="C22" s="210" t="s">
        <v>932</v>
      </c>
      <c r="D22" s="210" t="s">
        <v>937</v>
      </c>
      <c r="E22" s="210" t="s">
        <v>934</v>
      </c>
      <c r="F22" s="210" t="s">
        <v>640</v>
      </c>
      <c r="G22" s="210">
        <v>2.0</v>
      </c>
      <c r="H22" s="210">
        <v>0.0</v>
      </c>
      <c r="I22" s="436">
        <f t="shared" si="3"/>
        <v>2</v>
      </c>
      <c r="J22" s="277">
        <v>84.2</v>
      </c>
      <c r="K22" s="278"/>
      <c r="L22" s="278"/>
      <c r="M22" s="278">
        <f t="shared" si="4"/>
        <v>168.4</v>
      </c>
      <c r="N22" s="210" t="s">
        <v>896</v>
      </c>
      <c r="O22" s="210" t="s">
        <v>938</v>
      </c>
      <c r="P22" s="290" t="s">
        <v>939</v>
      </c>
      <c r="Q22" s="210" t="s">
        <v>150</v>
      </c>
      <c r="R22" s="434" t="s">
        <v>567</v>
      </c>
      <c r="S22" s="436"/>
      <c r="T22" s="436"/>
      <c r="U22" s="436"/>
      <c r="V22" s="210" t="s">
        <v>479</v>
      </c>
      <c r="W22" s="210" t="s">
        <v>437</v>
      </c>
      <c r="X22" s="210" t="s">
        <v>650</v>
      </c>
      <c r="Y22" s="452" t="s">
        <v>479</v>
      </c>
      <c r="Z22" s="453"/>
      <c r="AA22" s="58"/>
      <c r="AB22" s="58"/>
      <c r="AC22" s="58"/>
      <c r="AD22" s="58"/>
      <c r="AE22" s="58"/>
      <c r="AF22" s="42" t="s">
        <v>837</v>
      </c>
    </row>
    <row r="23" ht="15.75" customHeight="1">
      <c r="A23" s="210" t="s">
        <v>753</v>
      </c>
      <c r="B23" s="210"/>
      <c r="C23" s="210" t="s">
        <v>932</v>
      </c>
      <c r="D23" s="210" t="s">
        <v>940</v>
      </c>
      <c r="E23" s="210" t="s">
        <v>941</v>
      </c>
      <c r="F23" s="210" t="s">
        <v>640</v>
      </c>
      <c r="G23" s="210">
        <v>4.0</v>
      </c>
      <c r="H23" s="210">
        <v>0.0</v>
      </c>
      <c r="I23" s="436">
        <f t="shared" si="3"/>
        <v>4</v>
      </c>
      <c r="J23" s="277">
        <v>28.83</v>
      </c>
      <c r="K23" s="278"/>
      <c r="L23" s="278"/>
      <c r="M23" s="278">
        <f t="shared" si="4"/>
        <v>115.32</v>
      </c>
      <c r="N23" s="210" t="s">
        <v>896</v>
      </c>
      <c r="O23" s="210" t="s">
        <v>942</v>
      </c>
      <c r="P23" s="290" t="s">
        <v>943</v>
      </c>
      <c r="Q23" s="210" t="s">
        <v>150</v>
      </c>
      <c r="R23" s="434" t="s">
        <v>567</v>
      </c>
      <c r="S23" s="436"/>
      <c r="T23" s="436"/>
      <c r="U23" s="436"/>
      <c r="V23" s="210" t="s">
        <v>479</v>
      </c>
      <c r="W23" s="210" t="s">
        <v>437</v>
      </c>
      <c r="X23" s="210" t="s">
        <v>650</v>
      </c>
      <c r="Y23" s="452" t="s">
        <v>479</v>
      </c>
      <c r="Z23" s="453"/>
      <c r="AA23" s="58"/>
      <c r="AB23" s="58"/>
      <c r="AC23" s="58"/>
      <c r="AD23" s="58"/>
      <c r="AE23" s="58"/>
      <c r="AF23" s="42" t="s">
        <v>837</v>
      </c>
    </row>
    <row r="24" ht="15.75" customHeight="1">
      <c r="A24" s="210" t="s">
        <v>753</v>
      </c>
      <c r="B24" s="210"/>
      <c r="C24" s="210" t="s">
        <v>932</v>
      </c>
      <c r="D24" s="210" t="s">
        <v>944</v>
      </c>
      <c r="E24" s="210" t="s">
        <v>934</v>
      </c>
      <c r="F24" s="210" t="s">
        <v>640</v>
      </c>
      <c r="G24" s="210">
        <v>4.0</v>
      </c>
      <c r="H24" s="210">
        <v>0.0</v>
      </c>
      <c r="I24" s="436">
        <f t="shared" si="3"/>
        <v>4</v>
      </c>
      <c r="J24" s="277">
        <v>13.66</v>
      </c>
      <c r="K24" s="278"/>
      <c r="L24" s="278"/>
      <c r="M24" s="278">
        <f t="shared" si="4"/>
        <v>54.64</v>
      </c>
      <c r="N24" s="210" t="s">
        <v>896</v>
      </c>
      <c r="O24" s="210" t="s">
        <v>945</v>
      </c>
      <c r="P24" s="290" t="s">
        <v>946</v>
      </c>
      <c r="Q24" s="210" t="s">
        <v>150</v>
      </c>
      <c r="R24" s="434" t="s">
        <v>567</v>
      </c>
      <c r="S24" s="436"/>
      <c r="T24" s="436"/>
      <c r="U24" s="436"/>
      <c r="V24" s="210" t="s">
        <v>479</v>
      </c>
      <c r="W24" s="210" t="s">
        <v>437</v>
      </c>
      <c r="X24" s="210" t="s">
        <v>650</v>
      </c>
      <c r="Y24" s="452" t="s">
        <v>479</v>
      </c>
      <c r="Z24" s="454"/>
      <c r="AA24" s="455"/>
      <c r="AB24" s="455"/>
      <c r="AC24" s="455"/>
      <c r="AD24" s="455"/>
      <c r="AE24" s="455"/>
      <c r="AF24" s="42" t="s">
        <v>837</v>
      </c>
    </row>
    <row r="25" ht="15.75" customHeight="1">
      <c r="A25" s="210" t="s">
        <v>753</v>
      </c>
      <c r="B25" s="210"/>
      <c r="C25" s="210" t="s">
        <v>947</v>
      </c>
      <c r="D25" s="210" t="s">
        <v>948</v>
      </c>
      <c r="E25" s="210" t="s">
        <v>949</v>
      </c>
      <c r="F25" s="210" t="s">
        <v>640</v>
      </c>
      <c r="G25" s="210">
        <v>4.0</v>
      </c>
      <c r="H25" s="210">
        <v>0.0</v>
      </c>
      <c r="I25" s="436">
        <f t="shared" si="3"/>
        <v>4</v>
      </c>
      <c r="J25" s="277">
        <v>12.25</v>
      </c>
      <c r="K25" s="278"/>
      <c r="L25" s="278"/>
      <c r="M25" s="278">
        <f t="shared" si="4"/>
        <v>49</v>
      </c>
      <c r="N25" s="210" t="s">
        <v>896</v>
      </c>
      <c r="O25" s="210" t="s">
        <v>950</v>
      </c>
      <c r="P25" s="290" t="s">
        <v>951</v>
      </c>
      <c r="Q25" s="210" t="s">
        <v>150</v>
      </c>
      <c r="R25" s="434" t="s">
        <v>567</v>
      </c>
      <c r="S25" s="436"/>
      <c r="T25" s="436"/>
      <c r="U25" s="436"/>
      <c r="V25" s="210" t="s">
        <v>479</v>
      </c>
      <c r="W25" s="210" t="s">
        <v>437</v>
      </c>
      <c r="X25" s="210" t="s">
        <v>650</v>
      </c>
      <c r="Y25" s="452" t="s">
        <v>479</v>
      </c>
      <c r="Z25" s="453"/>
      <c r="AA25" s="58"/>
      <c r="AB25" s="58"/>
      <c r="AC25" s="58"/>
      <c r="AD25" s="58"/>
      <c r="AE25" s="58"/>
      <c r="AF25" s="42" t="s">
        <v>837</v>
      </c>
    </row>
    <row r="26" ht="15.75" customHeight="1">
      <c r="A26" s="210" t="s">
        <v>753</v>
      </c>
      <c r="B26" s="210"/>
      <c r="C26" s="210" t="s">
        <v>932</v>
      </c>
      <c r="D26" s="210" t="s">
        <v>952</v>
      </c>
      <c r="E26" s="210" t="s">
        <v>953</v>
      </c>
      <c r="F26" s="210" t="s">
        <v>640</v>
      </c>
      <c r="G26" s="210">
        <v>4.0</v>
      </c>
      <c r="H26" s="210">
        <v>0.0</v>
      </c>
      <c r="I26" s="436">
        <f t="shared" si="3"/>
        <v>4</v>
      </c>
      <c r="J26" s="277">
        <v>120.33</v>
      </c>
      <c r="K26" s="278"/>
      <c r="L26" s="278"/>
      <c r="M26" s="278">
        <f t="shared" si="4"/>
        <v>481.32</v>
      </c>
      <c r="N26" s="210" t="s">
        <v>896</v>
      </c>
      <c r="O26" s="210" t="s">
        <v>954</v>
      </c>
      <c r="P26" s="290" t="s">
        <v>955</v>
      </c>
      <c r="Q26" s="210" t="s">
        <v>150</v>
      </c>
      <c r="R26" s="434" t="s">
        <v>567</v>
      </c>
      <c r="S26" s="436"/>
      <c r="T26" s="436"/>
      <c r="U26" s="436"/>
      <c r="V26" s="210" t="s">
        <v>479</v>
      </c>
      <c r="W26" s="210" t="s">
        <v>437</v>
      </c>
      <c r="X26" s="210" t="s">
        <v>650</v>
      </c>
      <c r="Y26" s="452" t="s">
        <v>479</v>
      </c>
      <c r="Z26" s="453"/>
      <c r="AA26" s="58"/>
      <c r="AB26" s="58"/>
      <c r="AC26" s="58"/>
      <c r="AD26" s="58"/>
      <c r="AE26" s="58"/>
      <c r="AF26" s="42" t="s">
        <v>837</v>
      </c>
    </row>
    <row r="27" ht="15.75" customHeight="1">
      <c r="A27" s="210" t="s">
        <v>753</v>
      </c>
      <c r="B27" s="210"/>
      <c r="C27" s="210" t="s">
        <v>956</v>
      </c>
      <c r="D27" s="210" t="s">
        <v>957</v>
      </c>
      <c r="E27" s="210" t="s">
        <v>958</v>
      </c>
      <c r="F27" s="210" t="s">
        <v>640</v>
      </c>
      <c r="G27" s="210">
        <v>2.0</v>
      </c>
      <c r="H27" s="210">
        <v>0.0</v>
      </c>
      <c r="I27" s="436">
        <f t="shared" si="3"/>
        <v>2</v>
      </c>
      <c r="J27" s="277">
        <v>7.09</v>
      </c>
      <c r="K27" s="278"/>
      <c r="L27" s="278"/>
      <c r="M27" s="278">
        <f t="shared" si="4"/>
        <v>14.18</v>
      </c>
      <c r="N27" s="210" t="s">
        <v>896</v>
      </c>
      <c r="O27" s="210" t="s">
        <v>959</v>
      </c>
      <c r="P27" s="290" t="s">
        <v>960</v>
      </c>
      <c r="Q27" s="210" t="s">
        <v>150</v>
      </c>
      <c r="R27" s="434" t="s">
        <v>567</v>
      </c>
      <c r="S27" s="436"/>
      <c r="T27" s="436"/>
      <c r="U27" s="436"/>
      <c r="V27" s="210" t="s">
        <v>479</v>
      </c>
      <c r="W27" s="210" t="s">
        <v>437</v>
      </c>
      <c r="X27" s="210" t="s">
        <v>650</v>
      </c>
      <c r="Y27" s="452" t="s">
        <v>479</v>
      </c>
      <c r="Z27" s="453"/>
      <c r="AA27" s="58"/>
      <c r="AB27" s="58"/>
      <c r="AC27" s="58"/>
      <c r="AD27" s="58"/>
      <c r="AE27" s="58"/>
      <c r="AF27" s="42" t="s">
        <v>837</v>
      </c>
    </row>
    <row r="28" ht="15.75" customHeight="1">
      <c r="A28" s="42" t="s">
        <v>753</v>
      </c>
      <c r="B28" s="42"/>
      <c r="C28" s="42" t="s">
        <v>961</v>
      </c>
      <c r="D28" s="42" t="s">
        <v>962</v>
      </c>
      <c r="E28" s="42" t="s">
        <v>963</v>
      </c>
      <c r="F28" s="42" t="s">
        <v>640</v>
      </c>
      <c r="G28" s="42">
        <v>1.0</v>
      </c>
      <c r="H28" s="42">
        <v>0.0</v>
      </c>
      <c r="I28" s="453">
        <f t="shared" si="3"/>
        <v>1</v>
      </c>
      <c r="J28" s="456">
        <v>5.97</v>
      </c>
      <c r="K28" s="457"/>
      <c r="L28" s="457"/>
      <c r="M28" s="457">
        <f t="shared" si="4"/>
        <v>5.97</v>
      </c>
      <c r="N28" s="42" t="s">
        <v>896</v>
      </c>
      <c r="O28" s="42" t="s">
        <v>964</v>
      </c>
      <c r="P28" s="458" t="s">
        <v>965</v>
      </c>
      <c r="Q28" s="42" t="s">
        <v>150</v>
      </c>
      <c r="R28" s="459" t="s">
        <v>567</v>
      </c>
      <c r="S28" s="453"/>
      <c r="T28" s="453"/>
      <c r="U28" s="453"/>
      <c r="V28" s="42"/>
      <c r="W28" s="42"/>
      <c r="X28" s="42"/>
      <c r="Y28" s="42"/>
      <c r="Z28" s="453"/>
      <c r="AA28" s="58"/>
      <c r="AB28" s="58"/>
      <c r="AC28" s="58"/>
      <c r="AD28" s="58"/>
      <c r="AE28" s="58"/>
      <c r="AF28" s="58"/>
    </row>
    <row r="29" ht="15.75" customHeight="1">
      <c r="A29" s="210" t="s">
        <v>753</v>
      </c>
      <c r="B29" s="210"/>
      <c r="C29" s="210" t="s">
        <v>966</v>
      </c>
      <c r="D29" s="210" t="s">
        <v>967</v>
      </c>
      <c r="E29" s="210" t="s">
        <v>968</v>
      </c>
      <c r="F29" s="210" t="s">
        <v>640</v>
      </c>
      <c r="G29" s="210">
        <v>1.0</v>
      </c>
      <c r="H29" s="210">
        <v>0.0</v>
      </c>
      <c r="I29" s="436">
        <f t="shared" si="3"/>
        <v>1</v>
      </c>
      <c r="J29" s="277">
        <v>13.33</v>
      </c>
      <c r="K29" s="278"/>
      <c r="L29" s="278"/>
      <c r="M29" s="278">
        <f t="shared" si="4"/>
        <v>13.33</v>
      </c>
      <c r="N29" s="210" t="s">
        <v>896</v>
      </c>
      <c r="O29" s="210" t="s">
        <v>969</v>
      </c>
      <c r="P29" s="290" t="s">
        <v>970</v>
      </c>
      <c r="Q29" s="210" t="s">
        <v>150</v>
      </c>
      <c r="R29" s="434" t="s">
        <v>567</v>
      </c>
      <c r="S29" s="436"/>
      <c r="T29" s="436"/>
      <c r="U29" s="436"/>
      <c r="V29" s="210" t="s">
        <v>479</v>
      </c>
      <c r="W29" s="210" t="s">
        <v>437</v>
      </c>
      <c r="X29" s="210" t="s">
        <v>650</v>
      </c>
      <c r="Y29" s="452" t="s">
        <v>479</v>
      </c>
      <c r="Z29" s="436"/>
      <c r="AA29" s="213"/>
      <c r="AB29" s="213"/>
      <c r="AC29" s="213"/>
      <c r="AD29" s="213"/>
      <c r="AE29" s="213"/>
      <c r="AF29" s="213"/>
    </row>
    <row r="30" ht="15.75" customHeight="1">
      <c r="A30" s="82" t="s">
        <v>664</v>
      </c>
      <c r="F30" s="122"/>
      <c r="J30" s="460"/>
      <c r="K30" s="460"/>
      <c r="L30" s="460"/>
      <c r="M30" s="461">
        <f>SUM(M21:M29)</f>
        <v>1031.62</v>
      </c>
      <c r="X30" s="122"/>
      <c r="Y30" s="122"/>
      <c r="AE30" s="462"/>
      <c r="AF30" s="122"/>
    </row>
    <row r="31" ht="15.75" customHeight="1">
      <c r="A31" s="199"/>
      <c r="B31" s="199"/>
      <c r="C31" s="199"/>
      <c r="D31" s="199" t="s">
        <v>971</v>
      </c>
      <c r="E31" s="199"/>
      <c r="F31" s="199"/>
      <c r="G31" s="199"/>
      <c r="H31" s="200"/>
      <c r="I31" s="200"/>
      <c r="J31" s="201"/>
      <c r="K31" s="201"/>
      <c r="L31" s="201"/>
      <c r="M31" s="202"/>
      <c r="N31" s="202"/>
      <c r="O31" s="202"/>
      <c r="P31" s="450"/>
      <c r="Q31" s="203"/>
      <c r="R31" s="203"/>
      <c r="S31" s="203"/>
      <c r="T31" s="203"/>
      <c r="U31" s="451"/>
      <c r="V31" s="463"/>
      <c r="W31" s="204"/>
      <c r="X31" s="464"/>
      <c r="Y31" s="464"/>
      <c r="Z31" s="207"/>
      <c r="AA31" s="207"/>
      <c r="AB31" s="207"/>
      <c r="AC31" s="207"/>
      <c r="AD31" s="207"/>
      <c r="AE31" s="207"/>
      <c r="AF31" s="207"/>
    </row>
    <row r="32" ht="15.75" customHeight="1">
      <c r="A32" s="210" t="s">
        <v>656</v>
      </c>
      <c r="B32" s="213"/>
      <c r="C32" s="210" t="s">
        <v>972</v>
      </c>
      <c r="D32" s="210" t="s">
        <v>973</v>
      </c>
      <c r="E32" s="210" t="s">
        <v>974</v>
      </c>
      <c r="F32" s="210" t="s">
        <v>640</v>
      </c>
      <c r="G32" s="210">
        <v>5.0</v>
      </c>
      <c r="H32" s="210"/>
      <c r="I32" s="210">
        <v>5.0</v>
      </c>
      <c r="J32" s="277">
        <v>25.99</v>
      </c>
      <c r="K32" s="277">
        <v>0.0</v>
      </c>
      <c r="L32" s="277">
        <v>0.0</v>
      </c>
      <c r="M32" s="277">
        <v>129.95</v>
      </c>
      <c r="N32" s="210" t="s">
        <v>706</v>
      </c>
      <c r="O32" s="210" t="s">
        <v>975</v>
      </c>
      <c r="P32" s="465" t="s">
        <v>976</v>
      </c>
      <c r="Q32" s="213"/>
      <c r="R32" s="210" t="s">
        <v>479</v>
      </c>
      <c r="S32" s="210" t="s">
        <v>977</v>
      </c>
      <c r="T32" s="210" t="s">
        <v>978</v>
      </c>
      <c r="U32" s="213"/>
      <c r="V32" s="210" t="s">
        <v>479</v>
      </c>
      <c r="W32" s="210" t="s">
        <v>437</v>
      </c>
      <c r="X32" s="210" t="s">
        <v>650</v>
      </c>
      <c r="Y32" s="210" t="s">
        <v>651</v>
      </c>
      <c r="Z32" s="213"/>
      <c r="AA32" s="213"/>
      <c r="AB32" s="213"/>
      <c r="AC32" s="213"/>
      <c r="AD32" s="213"/>
      <c r="AE32" s="440"/>
      <c r="AF32" s="37" t="s">
        <v>655</v>
      </c>
    </row>
    <row r="33" ht="15.75" customHeight="1">
      <c r="A33" s="122"/>
    </row>
    <row r="34" ht="15.75" customHeight="1">
      <c r="A34" s="82" t="s">
        <v>664</v>
      </c>
      <c r="F34" s="122"/>
      <c r="J34" s="460"/>
      <c r="K34" s="460"/>
      <c r="L34" s="460"/>
      <c r="M34" s="461">
        <f>SUM(M32:M33)</f>
        <v>129.95</v>
      </c>
      <c r="X34" s="122"/>
      <c r="Y34" s="122"/>
      <c r="AE34" s="462"/>
      <c r="AF34" s="122"/>
    </row>
    <row r="35" ht="15.75" customHeight="1">
      <c r="A35" s="199" t="s">
        <v>979</v>
      </c>
      <c r="H35" s="200"/>
      <c r="I35" s="200"/>
      <c r="J35" s="201"/>
      <c r="K35" s="201"/>
      <c r="L35" s="201"/>
      <c r="M35" s="202"/>
      <c r="N35" s="202"/>
      <c r="O35" s="202"/>
      <c r="P35" s="450"/>
      <c r="Q35" s="203"/>
      <c r="R35" s="203"/>
      <c r="S35" s="203"/>
      <c r="T35" s="203"/>
      <c r="U35" s="451"/>
      <c r="V35" s="463"/>
      <c r="W35" s="204"/>
      <c r="X35" s="464"/>
      <c r="Y35" s="464"/>
      <c r="Z35" s="207"/>
      <c r="AA35" s="207"/>
      <c r="AB35" s="207"/>
      <c r="AC35" s="207"/>
      <c r="AD35" s="207"/>
      <c r="AE35" s="207"/>
      <c r="AF35" s="207"/>
    </row>
    <row r="36" ht="15.75" customHeight="1">
      <c r="A36" s="210" t="s">
        <v>656</v>
      </c>
      <c r="B36" s="210" t="s">
        <v>980</v>
      </c>
      <c r="C36" s="210" t="s">
        <v>981</v>
      </c>
      <c r="D36" s="210" t="s">
        <v>982</v>
      </c>
      <c r="E36" s="210" t="s">
        <v>983</v>
      </c>
      <c r="F36" s="210" t="s">
        <v>640</v>
      </c>
      <c r="G36" s="210">
        <v>1.0</v>
      </c>
      <c r="H36" s="210">
        <v>0.0</v>
      </c>
      <c r="I36" s="210">
        <v>1.0</v>
      </c>
      <c r="J36" s="212">
        <v>6250.0</v>
      </c>
      <c r="K36" s="277">
        <v>0.0</v>
      </c>
      <c r="L36" s="277">
        <v>0.0</v>
      </c>
      <c r="M36" s="277">
        <v>8068.2</v>
      </c>
      <c r="N36" s="277" t="s">
        <v>984</v>
      </c>
      <c r="O36" s="277" t="s">
        <v>642</v>
      </c>
      <c r="P36" s="436"/>
      <c r="Q36" s="436"/>
      <c r="R36" s="210" t="s">
        <v>479</v>
      </c>
      <c r="S36" s="277" t="s">
        <v>984</v>
      </c>
      <c r="T36" s="210" t="s">
        <v>985</v>
      </c>
      <c r="U36" s="218" t="s">
        <v>986</v>
      </c>
      <c r="V36" s="210" t="s">
        <v>479</v>
      </c>
      <c r="W36" s="210" t="s">
        <v>437</v>
      </c>
      <c r="X36" s="210" t="s">
        <v>650</v>
      </c>
      <c r="Y36" s="210" t="s">
        <v>651</v>
      </c>
      <c r="Z36" s="213"/>
      <c r="AA36" s="213"/>
      <c r="AB36" s="213"/>
      <c r="AC36" s="436"/>
      <c r="AD36" s="436"/>
      <c r="AE36" s="440"/>
      <c r="AF36" s="37" t="s">
        <v>845</v>
      </c>
    </row>
    <row r="37" ht="15.75" hidden="1" customHeight="1">
      <c r="A37" s="466"/>
      <c r="B37" s="466"/>
      <c r="C37" s="466"/>
      <c r="D37" s="466"/>
      <c r="E37" s="466"/>
      <c r="F37" s="466"/>
      <c r="G37" s="466"/>
      <c r="H37" s="466"/>
      <c r="I37" s="466"/>
      <c r="J37" s="460"/>
      <c r="K37" s="460"/>
      <c r="L37" s="460"/>
      <c r="M37" s="460"/>
      <c r="N37" s="466"/>
      <c r="O37" s="466"/>
      <c r="P37" s="466"/>
      <c r="Q37" s="460"/>
      <c r="R37" s="466"/>
      <c r="V37" s="466"/>
      <c r="W37" s="466"/>
      <c r="X37" s="466"/>
      <c r="Y37" s="122"/>
      <c r="AA37" s="466"/>
      <c r="AE37" s="462"/>
      <c r="AF37" s="122"/>
    </row>
    <row r="38" ht="33.75" hidden="1" customHeight="1">
      <c r="A38" s="466"/>
      <c r="B38" s="466"/>
      <c r="C38" s="466"/>
      <c r="D38" s="466"/>
      <c r="E38" s="466"/>
      <c r="F38" s="466"/>
      <c r="G38" s="466"/>
      <c r="H38" s="466"/>
      <c r="I38" s="466"/>
      <c r="J38" s="460"/>
      <c r="K38" s="460"/>
      <c r="L38" s="460"/>
      <c r="M38" s="460"/>
      <c r="N38" s="466"/>
      <c r="O38" s="466"/>
      <c r="P38" s="460"/>
      <c r="Q38" s="460"/>
      <c r="R38" s="460"/>
      <c r="S38" s="460"/>
      <c r="T38" s="460"/>
      <c r="U38" s="466"/>
      <c r="V38" s="466"/>
      <c r="W38" s="466"/>
      <c r="X38" s="466"/>
      <c r="Y38" s="466"/>
      <c r="AA38" s="466"/>
      <c r="AB38" s="466"/>
      <c r="AC38" s="466"/>
      <c r="AD38" s="466"/>
      <c r="AE38" s="462"/>
      <c r="AF38" s="466"/>
    </row>
    <row r="39" ht="12.75" customHeight="1">
      <c r="A39" s="82"/>
    </row>
    <row r="40" ht="22.5" customHeight="1">
      <c r="A40" s="82" t="s">
        <v>987</v>
      </c>
      <c r="C40" s="466"/>
      <c r="E40" s="466"/>
      <c r="F40" s="466"/>
      <c r="G40" s="466"/>
      <c r="H40" s="466"/>
      <c r="I40" s="466"/>
      <c r="J40" s="460"/>
      <c r="K40" s="460"/>
      <c r="L40" s="460"/>
      <c r="M40" s="461">
        <f>SUM(M36)</f>
        <v>8068.2</v>
      </c>
      <c r="N40" s="466"/>
      <c r="O40" s="466"/>
      <c r="P40" s="460"/>
      <c r="Q40" s="460"/>
      <c r="R40" s="460"/>
      <c r="S40" s="460"/>
      <c r="T40" s="460"/>
      <c r="U40" s="466"/>
      <c r="V40" s="466"/>
      <c r="W40" s="466"/>
      <c r="X40" s="466"/>
      <c r="Y40" s="466"/>
      <c r="AA40" s="466"/>
      <c r="AB40" s="466"/>
      <c r="AC40" s="466"/>
      <c r="AD40" s="466"/>
      <c r="AE40" s="462"/>
      <c r="AF40" s="466"/>
    </row>
    <row r="41" ht="15.75" customHeight="1">
      <c r="A41" s="199" t="s">
        <v>484</v>
      </c>
      <c r="H41" s="200"/>
      <c r="I41" s="200"/>
      <c r="J41" s="201"/>
      <c r="K41" s="201"/>
      <c r="L41" s="201"/>
      <c r="M41" s="202"/>
      <c r="N41" s="202"/>
      <c r="O41" s="467"/>
      <c r="P41" s="468"/>
      <c r="Q41" s="469"/>
      <c r="R41" s="469"/>
      <c r="S41" s="469"/>
      <c r="T41" s="469"/>
      <c r="U41" s="451"/>
      <c r="V41" s="470"/>
      <c r="W41" s="200"/>
      <c r="X41" s="464"/>
      <c r="Y41" s="464"/>
      <c r="Z41" s="207"/>
      <c r="AA41" s="207"/>
      <c r="AB41" s="207"/>
      <c r="AC41" s="208"/>
      <c r="AD41" s="208"/>
      <c r="AE41" s="207"/>
      <c r="AF41" s="207"/>
    </row>
    <row r="42" ht="15.75" customHeight="1">
      <c r="A42" s="210" t="s">
        <v>656</v>
      </c>
      <c r="B42" s="210" t="s">
        <v>988</v>
      </c>
      <c r="C42" s="210" t="s">
        <v>989</v>
      </c>
      <c r="D42" s="210" t="s">
        <v>990</v>
      </c>
      <c r="E42" s="210" t="s">
        <v>991</v>
      </c>
      <c r="F42" s="210" t="s">
        <v>640</v>
      </c>
      <c r="G42" s="210">
        <v>1.0</v>
      </c>
      <c r="H42" s="436"/>
      <c r="I42" s="210">
        <v>1.0</v>
      </c>
      <c r="J42" s="277">
        <v>108.87</v>
      </c>
      <c r="K42" s="278"/>
      <c r="L42" s="471">
        <v>0.0</v>
      </c>
      <c r="M42" s="277">
        <v>108.87</v>
      </c>
      <c r="N42" s="210" t="s">
        <v>641</v>
      </c>
      <c r="O42" s="210" t="s">
        <v>642</v>
      </c>
      <c r="P42" s="333" t="s">
        <v>717</v>
      </c>
      <c r="Q42" s="210" t="s">
        <v>724</v>
      </c>
      <c r="R42" s="210" t="s">
        <v>494</v>
      </c>
      <c r="S42" s="436"/>
      <c r="T42" s="213"/>
      <c r="U42" s="210" t="s">
        <v>992</v>
      </c>
      <c r="V42" s="210" t="s">
        <v>479</v>
      </c>
      <c r="W42" s="210" t="s">
        <v>470</v>
      </c>
      <c r="X42" s="210" t="s">
        <v>650</v>
      </c>
      <c r="Y42" s="210" t="s">
        <v>470</v>
      </c>
      <c r="Z42" s="436"/>
      <c r="AA42" s="213"/>
      <c r="AB42" s="213"/>
      <c r="AC42" s="436"/>
      <c r="AD42" s="436"/>
      <c r="AE42" s="440"/>
      <c r="AF42" s="37" t="s">
        <v>845</v>
      </c>
    </row>
    <row r="43" ht="15.75" customHeight="1">
      <c r="A43" s="210" t="s">
        <v>656</v>
      </c>
      <c r="B43" s="210" t="s">
        <v>988</v>
      </c>
      <c r="C43" s="210" t="s">
        <v>989</v>
      </c>
      <c r="D43" s="210" t="s">
        <v>993</v>
      </c>
      <c r="E43" s="210" t="s">
        <v>994</v>
      </c>
      <c r="F43" s="210" t="s">
        <v>640</v>
      </c>
      <c r="G43" s="210">
        <v>1.0</v>
      </c>
      <c r="H43" s="436"/>
      <c r="I43" s="210">
        <v>1.0</v>
      </c>
      <c r="J43" s="277">
        <v>75.68</v>
      </c>
      <c r="K43" s="278"/>
      <c r="L43" s="471">
        <v>0.0</v>
      </c>
      <c r="M43" s="277">
        <v>75.68</v>
      </c>
      <c r="N43" s="210" t="s">
        <v>641</v>
      </c>
      <c r="O43" s="210" t="s">
        <v>642</v>
      </c>
      <c r="P43" s="290" t="s">
        <v>717</v>
      </c>
      <c r="Q43" s="210" t="s">
        <v>724</v>
      </c>
      <c r="R43" s="210" t="s">
        <v>494</v>
      </c>
      <c r="S43" s="436"/>
      <c r="T43" s="213"/>
      <c r="U43" s="210" t="s">
        <v>992</v>
      </c>
      <c r="V43" s="210" t="s">
        <v>479</v>
      </c>
      <c r="W43" s="210" t="s">
        <v>470</v>
      </c>
      <c r="X43" s="210" t="s">
        <v>650</v>
      </c>
      <c r="Y43" s="210" t="s">
        <v>470</v>
      </c>
      <c r="Z43" s="213"/>
      <c r="AA43" s="213"/>
      <c r="AB43" s="213"/>
      <c r="AC43" s="213"/>
      <c r="AD43" s="213"/>
      <c r="AE43" s="440"/>
      <c r="AF43" s="37" t="s">
        <v>845</v>
      </c>
    </row>
    <row r="44" ht="15.75" customHeight="1">
      <c r="A44" s="210" t="s">
        <v>656</v>
      </c>
      <c r="B44" s="210" t="s">
        <v>988</v>
      </c>
      <c r="C44" s="210" t="s">
        <v>989</v>
      </c>
      <c r="D44" s="210" t="s">
        <v>995</v>
      </c>
      <c r="E44" s="210" t="s">
        <v>996</v>
      </c>
      <c r="F44" s="210" t="s">
        <v>640</v>
      </c>
      <c r="G44" s="210">
        <v>1.0</v>
      </c>
      <c r="H44" s="436"/>
      <c r="I44" s="210">
        <v>1.0</v>
      </c>
      <c r="J44" s="277">
        <v>60.85</v>
      </c>
      <c r="K44" s="278"/>
      <c r="L44" s="471">
        <v>0.0</v>
      </c>
      <c r="M44" s="277">
        <v>60.85</v>
      </c>
      <c r="N44" s="210" t="s">
        <v>641</v>
      </c>
      <c r="O44" s="210" t="s">
        <v>642</v>
      </c>
      <c r="P44" s="290" t="s">
        <v>717</v>
      </c>
      <c r="Q44" s="210" t="s">
        <v>724</v>
      </c>
      <c r="R44" s="210" t="s">
        <v>486</v>
      </c>
      <c r="S44" s="436"/>
      <c r="T44" s="213"/>
      <c r="U44" s="210" t="s">
        <v>992</v>
      </c>
      <c r="V44" s="210" t="s">
        <v>479</v>
      </c>
      <c r="W44" s="210" t="s">
        <v>470</v>
      </c>
      <c r="X44" s="210" t="s">
        <v>650</v>
      </c>
      <c r="Y44" s="210" t="s">
        <v>470</v>
      </c>
      <c r="Z44" s="213"/>
      <c r="AA44" s="436"/>
      <c r="AB44" s="213"/>
      <c r="AC44" s="213"/>
      <c r="AD44" s="213"/>
      <c r="AE44" s="213"/>
      <c r="AF44" s="37" t="s">
        <v>845</v>
      </c>
    </row>
    <row r="45" ht="15.75" customHeight="1">
      <c r="A45" s="210" t="s">
        <v>656</v>
      </c>
      <c r="B45" s="210" t="s">
        <v>988</v>
      </c>
      <c r="C45" s="210" t="s">
        <v>989</v>
      </c>
      <c r="D45" s="210" t="s">
        <v>997</v>
      </c>
      <c r="E45" s="210" t="s">
        <v>998</v>
      </c>
      <c r="F45" s="210" t="s">
        <v>640</v>
      </c>
      <c r="G45" s="210">
        <v>1.0</v>
      </c>
      <c r="H45" s="436"/>
      <c r="I45" s="210">
        <v>1.0</v>
      </c>
      <c r="J45" s="472">
        <v>65.65</v>
      </c>
      <c r="K45" s="278"/>
      <c r="L45" s="471">
        <v>0.0</v>
      </c>
      <c r="M45" s="472">
        <v>65.65</v>
      </c>
      <c r="N45" s="210" t="s">
        <v>641</v>
      </c>
      <c r="O45" s="210" t="s">
        <v>642</v>
      </c>
      <c r="P45" s="290" t="s">
        <v>717</v>
      </c>
      <c r="Q45" s="210" t="s">
        <v>724</v>
      </c>
      <c r="R45" s="210" t="s">
        <v>486</v>
      </c>
      <c r="S45" s="436"/>
      <c r="T45" s="436"/>
      <c r="U45" s="210" t="s">
        <v>992</v>
      </c>
      <c r="V45" s="210" t="s">
        <v>479</v>
      </c>
      <c r="W45" s="210" t="s">
        <v>470</v>
      </c>
      <c r="X45" s="210" t="s">
        <v>650</v>
      </c>
      <c r="Y45" s="210" t="s">
        <v>470</v>
      </c>
      <c r="Z45" s="213"/>
      <c r="AA45" s="436"/>
      <c r="AB45" s="213"/>
      <c r="AC45" s="213"/>
      <c r="AD45" s="213"/>
      <c r="AE45" s="213"/>
      <c r="AF45" s="37" t="s">
        <v>845</v>
      </c>
    </row>
    <row r="46" ht="15.75" customHeight="1">
      <c r="A46" s="210" t="s">
        <v>678</v>
      </c>
      <c r="B46" s="210" t="s">
        <v>988</v>
      </c>
      <c r="C46" s="210" t="s">
        <v>999</v>
      </c>
      <c r="D46" s="210" t="s">
        <v>1000</v>
      </c>
      <c r="E46" s="210" t="s">
        <v>1001</v>
      </c>
      <c r="F46" s="210" t="s">
        <v>640</v>
      </c>
      <c r="G46" s="210" t="s">
        <v>1002</v>
      </c>
      <c r="H46" s="210">
        <v>66.0</v>
      </c>
      <c r="I46" s="210">
        <v>100.0</v>
      </c>
      <c r="J46" s="277">
        <v>9.47</v>
      </c>
      <c r="K46" s="278"/>
      <c r="L46" s="277">
        <v>0.0</v>
      </c>
      <c r="M46" s="277">
        <v>9.47</v>
      </c>
      <c r="N46" s="210" t="s">
        <v>1003</v>
      </c>
      <c r="O46" s="212" t="s">
        <v>1004</v>
      </c>
      <c r="P46" s="290" t="s">
        <v>1005</v>
      </c>
      <c r="Q46" s="210" t="s">
        <v>724</v>
      </c>
      <c r="R46" s="210" t="s">
        <v>494</v>
      </c>
      <c r="S46" s="436"/>
      <c r="T46" s="436"/>
      <c r="U46" s="213"/>
      <c r="V46" s="210" t="s">
        <v>479</v>
      </c>
      <c r="W46" s="210" t="s">
        <v>437</v>
      </c>
      <c r="X46" s="210" t="s">
        <v>650</v>
      </c>
      <c r="Y46" s="210" t="s">
        <v>651</v>
      </c>
      <c r="Z46" s="436"/>
      <c r="AA46" s="213"/>
      <c r="AB46" s="213"/>
      <c r="AC46" s="436"/>
      <c r="AD46" s="436"/>
      <c r="AE46" s="440"/>
      <c r="AF46" s="37" t="s">
        <v>845</v>
      </c>
    </row>
    <row r="47" ht="15.75" customHeight="1">
      <c r="A47" s="210" t="s">
        <v>678</v>
      </c>
      <c r="B47" s="210" t="s">
        <v>988</v>
      </c>
      <c r="C47" s="210" t="s">
        <v>881</v>
      </c>
      <c r="D47" s="210" t="s">
        <v>1006</v>
      </c>
      <c r="E47" s="210" t="s">
        <v>1007</v>
      </c>
      <c r="F47" s="210" t="s">
        <v>640</v>
      </c>
      <c r="G47" s="210">
        <v>1.0</v>
      </c>
      <c r="H47" s="436"/>
      <c r="I47" s="210">
        <v>1.0</v>
      </c>
      <c r="J47" s="212">
        <v>24.15</v>
      </c>
      <c r="K47" s="213"/>
      <c r="L47" s="210">
        <v>0.0</v>
      </c>
      <c r="M47" s="212">
        <v>24.15</v>
      </c>
      <c r="N47" s="210" t="s">
        <v>1003</v>
      </c>
      <c r="O47" s="210" t="s">
        <v>1008</v>
      </c>
      <c r="P47" s="290" t="s">
        <v>1009</v>
      </c>
      <c r="Q47" s="210" t="s">
        <v>724</v>
      </c>
      <c r="R47" s="210" t="s">
        <v>486</v>
      </c>
      <c r="S47" s="213"/>
      <c r="T47" s="213"/>
      <c r="U47" s="213"/>
      <c r="V47" s="210" t="s">
        <v>479</v>
      </c>
      <c r="W47" s="210" t="s">
        <v>437</v>
      </c>
      <c r="X47" s="210" t="s">
        <v>650</v>
      </c>
      <c r="Y47" s="210" t="s">
        <v>651</v>
      </c>
      <c r="Z47" s="213"/>
      <c r="AA47" s="436"/>
      <c r="AB47" s="213"/>
      <c r="AC47" s="213"/>
      <c r="AD47" s="213"/>
      <c r="AE47" s="213"/>
      <c r="AF47" s="37" t="s">
        <v>845</v>
      </c>
    </row>
    <row r="48" ht="15.75" customHeight="1">
      <c r="A48" s="473" t="s">
        <v>753</v>
      </c>
      <c r="B48" s="473" t="s">
        <v>988</v>
      </c>
      <c r="C48" s="474" t="s">
        <v>1010</v>
      </c>
      <c r="D48" s="474" t="s">
        <v>1011</v>
      </c>
      <c r="E48" s="474"/>
      <c r="F48" s="473" t="s">
        <v>640</v>
      </c>
      <c r="G48" s="474" t="s">
        <v>1012</v>
      </c>
      <c r="H48" s="475">
        <v>2.0</v>
      </c>
      <c r="I48" s="476">
        <v>2.0</v>
      </c>
      <c r="J48" s="477">
        <v>76.0</v>
      </c>
      <c r="K48" s="478"/>
      <c r="L48" s="479">
        <v>0.0</v>
      </c>
      <c r="M48" s="480">
        <v>152.0</v>
      </c>
      <c r="N48" s="481" t="s">
        <v>1013</v>
      </c>
      <c r="O48" s="482"/>
      <c r="P48" s="483"/>
      <c r="Q48" s="483"/>
      <c r="R48" s="340" t="s">
        <v>486</v>
      </c>
      <c r="S48" s="483"/>
      <c r="T48" s="483"/>
      <c r="U48" s="340" t="s">
        <v>1014</v>
      </c>
      <c r="V48" s="210" t="s">
        <v>479</v>
      </c>
      <c r="W48" s="210" t="s">
        <v>437</v>
      </c>
      <c r="X48" s="210" t="s">
        <v>650</v>
      </c>
      <c r="Y48" s="258" t="s">
        <v>696</v>
      </c>
      <c r="Z48" s="259"/>
      <c r="AA48" s="259"/>
      <c r="AB48" s="259"/>
      <c r="AC48" s="259"/>
      <c r="AD48" s="259"/>
      <c r="AE48" s="259"/>
      <c r="AF48" s="37" t="s">
        <v>677</v>
      </c>
    </row>
    <row r="49">
      <c r="A49" s="369" t="s">
        <v>656</v>
      </c>
      <c r="B49" s="368" t="s">
        <v>988</v>
      </c>
      <c r="C49" s="210" t="s">
        <v>1015</v>
      </c>
      <c r="D49" s="210" t="s">
        <v>1016</v>
      </c>
      <c r="E49" s="210" t="s">
        <v>1017</v>
      </c>
      <c r="F49" s="369" t="s">
        <v>640</v>
      </c>
      <c r="G49" s="210">
        <v>1.0</v>
      </c>
      <c r="H49" s="210">
        <v>0.0</v>
      </c>
      <c r="I49" s="213"/>
      <c r="J49" s="277">
        <v>30.47</v>
      </c>
      <c r="K49" s="213"/>
      <c r="L49" s="210">
        <v>0.0</v>
      </c>
      <c r="M49" s="277">
        <v>27.0</v>
      </c>
      <c r="N49" s="210" t="s">
        <v>641</v>
      </c>
      <c r="O49" s="213"/>
      <c r="P49" s="290" t="s">
        <v>1018</v>
      </c>
      <c r="Q49" s="210" t="s">
        <v>724</v>
      </c>
      <c r="R49" s="210" t="s">
        <v>486</v>
      </c>
      <c r="S49" s="213"/>
      <c r="T49" s="213"/>
      <c r="U49" s="213"/>
      <c r="V49" s="210" t="s">
        <v>479</v>
      </c>
      <c r="W49" s="210" t="s">
        <v>437</v>
      </c>
      <c r="X49" s="210" t="s">
        <v>650</v>
      </c>
      <c r="Y49" s="210" t="s">
        <v>651</v>
      </c>
      <c r="Z49" s="213"/>
      <c r="AA49" s="213"/>
      <c r="AB49" s="213"/>
      <c r="AC49" s="213"/>
      <c r="AD49" s="213"/>
      <c r="AE49" s="213"/>
      <c r="AF49" s="37" t="s">
        <v>845</v>
      </c>
    </row>
    <row r="50">
      <c r="A50" s="369" t="s">
        <v>656</v>
      </c>
      <c r="B50" s="369" t="s">
        <v>988</v>
      </c>
      <c r="C50" s="210" t="s">
        <v>1015</v>
      </c>
      <c r="D50" s="210" t="s">
        <v>1019</v>
      </c>
      <c r="E50" s="210" t="s">
        <v>1017</v>
      </c>
      <c r="F50" s="369" t="s">
        <v>640</v>
      </c>
      <c r="G50" s="210">
        <v>1.0</v>
      </c>
      <c r="H50" s="210">
        <v>0.0</v>
      </c>
      <c r="I50" s="210">
        <v>0.0</v>
      </c>
      <c r="J50" s="277"/>
      <c r="K50" s="213"/>
      <c r="L50" s="210"/>
      <c r="M50" s="277">
        <v>50.0</v>
      </c>
      <c r="N50" s="210" t="s">
        <v>641</v>
      </c>
      <c r="O50" s="213"/>
      <c r="P50" s="290" t="s">
        <v>1018</v>
      </c>
      <c r="Q50" s="210" t="s">
        <v>724</v>
      </c>
      <c r="R50" s="210" t="s">
        <v>486</v>
      </c>
      <c r="S50" s="213"/>
      <c r="T50" s="213"/>
      <c r="U50" s="213"/>
      <c r="V50" s="210" t="s">
        <v>479</v>
      </c>
      <c r="W50" s="210" t="s">
        <v>437</v>
      </c>
      <c r="X50" s="210" t="s">
        <v>650</v>
      </c>
      <c r="Y50" s="210" t="s">
        <v>651</v>
      </c>
      <c r="Z50" s="213"/>
      <c r="AA50" s="213"/>
      <c r="AB50" s="213"/>
      <c r="AC50" s="213"/>
      <c r="AD50" s="213"/>
      <c r="AE50" s="213"/>
      <c r="AF50" s="37" t="s">
        <v>845</v>
      </c>
    </row>
    <row r="51">
      <c r="A51" s="484" t="s">
        <v>656</v>
      </c>
      <c r="B51" s="485" t="s">
        <v>988</v>
      </c>
      <c r="C51" s="298" t="s">
        <v>1020</v>
      </c>
      <c r="D51" s="298" t="s">
        <v>1021</v>
      </c>
      <c r="E51" s="298" t="s">
        <v>1022</v>
      </c>
      <c r="F51" s="484" t="s">
        <v>640</v>
      </c>
      <c r="G51" s="298">
        <v>2.0</v>
      </c>
      <c r="H51" s="298">
        <v>98.0</v>
      </c>
      <c r="I51" s="298">
        <v>100.0</v>
      </c>
      <c r="J51" s="486">
        <v>8.97</v>
      </c>
      <c r="K51" s="298">
        <v>0.0</v>
      </c>
      <c r="L51" s="298">
        <v>0.0</v>
      </c>
      <c r="M51" s="487">
        <v>8.97</v>
      </c>
      <c r="N51" s="298" t="s">
        <v>1023</v>
      </c>
      <c r="O51" s="310"/>
      <c r="P51" s="488" t="s">
        <v>1024</v>
      </c>
      <c r="Q51" s="310"/>
      <c r="R51" s="298" t="s">
        <v>486</v>
      </c>
      <c r="S51" s="310"/>
      <c r="T51" s="310"/>
      <c r="U51" s="310"/>
      <c r="V51" s="210" t="s">
        <v>479</v>
      </c>
      <c r="W51" s="210" t="s">
        <v>437</v>
      </c>
      <c r="X51" s="210" t="s">
        <v>650</v>
      </c>
      <c r="Y51" s="489" t="s">
        <v>696</v>
      </c>
      <c r="Z51" s="490"/>
      <c r="AA51" s="490"/>
      <c r="AB51" s="490"/>
      <c r="AC51" s="490"/>
      <c r="AD51" s="490"/>
      <c r="AE51" s="490"/>
      <c r="AF51" s="37" t="s">
        <v>677</v>
      </c>
    </row>
    <row r="52" ht="15.75" customHeight="1">
      <c r="A52" s="82"/>
    </row>
    <row r="53" ht="15.75" customHeight="1">
      <c r="A53" s="491" t="s">
        <v>987</v>
      </c>
      <c r="C53" s="228"/>
      <c r="D53" s="492"/>
      <c r="E53" s="228"/>
      <c r="F53" s="228"/>
      <c r="G53" s="228"/>
      <c r="H53" s="228"/>
      <c r="I53" s="228"/>
      <c r="J53" s="493"/>
      <c r="K53" s="228"/>
      <c r="L53" s="228"/>
      <c r="M53" s="494">
        <f>SUM(M42:M51)</f>
        <v>582.64</v>
      </c>
      <c r="N53" s="228"/>
      <c r="O53" s="228"/>
      <c r="P53" s="228"/>
      <c r="Q53" s="228"/>
      <c r="R53" s="228"/>
      <c r="S53" s="228"/>
      <c r="T53" s="228"/>
      <c r="U53" s="228"/>
      <c r="V53" s="228"/>
      <c r="W53" s="228"/>
      <c r="X53" s="228"/>
      <c r="Y53" s="228"/>
      <c r="Z53" s="228"/>
      <c r="AA53" s="228"/>
      <c r="AB53" s="228"/>
      <c r="AC53" s="228"/>
      <c r="AD53" s="228"/>
      <c r="AE53" s="228"/>
      <c r="AF53" s="228"/>
    </row>
    <row r="54" ht="15.75" customHeight="1">
      <c r="A54" s="199" t="s">
        <v>530</v>
      </c>
      <c r="H54" s="207"/>
      <c r="I54" s="200"/>
      <c r="J54" s="201"/>
      <c r="K54" s="201"/>
      <c r="L54" s="201"/>
      <c r="M54" s="202"/>
      <c r="N54" s="202"/>
      <c r="O54" s="202"/>
      <c r="P54" s="467"/>
      <c r="Q54" s="425"/>
      <c r="R54" s="425"/>
      <c r="S54" s="425"/>
      <c r="T54" s="425"/>
      <c r="U54" s="495"/>
      <c r="V54" s="470"/>
      <c r="W54" s="204"/>
      <c r="X54" s="464"/>
      <c r="Y54" s="464"/>
      <c r="Z54" s="207"/>
      <c r="AA54" s="207"/>
      <c r="AB54" s="207"/>
      <c r="AC54" s="208"/>
      <c r="AD54" s="208"/>
      <c r="AE54" s="207"/>
      <c r="AF54" s="207"/>
    </row>
    <row r="55" ht="15.75" hidden="1" customHeight="1">
      <c r="A55" s="243" t="s">
        <v>678</v>
      </c>
      <c r="B55" s="243" t="s">
        <v>1025</v>
      </c>
      <c r="C55" s="243" t="s">
        <v>909</v>
      </c>
      <c r="D55" s="243" t="s">
        <v>1026</v>
      </c>
      <c r="E55" s="496" t="s">
        <v>1027</v>
      </c>
      <c r="F55" s="243" t="s">
        <v>822</v>
      </c>
      <c r="G55" s="497">
        <v>0.0</v>
      </c>
      <c r="H55" s="497">
        <v>0.0</v>
      </c>
      <c r="I55" s="497">
        <v>0.0</v>
      </c>
      <c r="J55" s="498"/>
      <c r="K55" s="498"/>
      <c r="L55" s="499"/>
      <c r="M55" s="500"/>
      <c r="N55" s="501"/>
      <c r="O55" s="28"/>
      <c r="P55" s="502"/>
      <c r="Q55" s="98"/>
      <c r="R55" s="69" t="s">
        <v>470</v>
      </c>
      <c r="S55" s="98"/>
      <c r="T55" s="28"/>
      <c r="U55" s="503"/>
      <c r="V55" s="504"/>
      <c r="W55" s="237"/>
      <c r="X55" s="505"/>
      <c r="Y55" s="122"/>
      <c r="AA55" s="69"/>
      <c r="AC55" s="28"/>
      <c r="AD55" s="28"/>
      <c r="AF55" s="122"/>
    </row>
    <row r="56" ht="15.75" hidden="1" customHeight="1">
      <c r="A56" s="243" t="s">
        <v>678</v>
      </c>
      <c r="B56" s="243" t="s">
        <v>1025</v>
      </c>
      <c r="C56" s="243" t="s">
        <v>909</v>
      </c>
      <c r="D56" s="243" t="s">
        <v>1028</v>
      </c>
      <c r="E56" s="496" t="s">
        <v>1029</v>
      </c>
      <c r="F56" s="243" t="s">
        <v>822</v>
      </c>
      <c r="G56" s="497">
        <v>0.0</v>
      </c>
      <c r="H56" s="497">
        <v>0.0</v>
      </c>
      <c r="I56" s="497">
        <v>0.0</v>
      </c>
      <c r="J56" s="506"/>
      <c r="K56" s="507"/>
      <c r="L56" s="499"/>
      <c r="M56" s="508"/>
      <c r="N56" s="28"/>
      <c r="O56" s="28"/>
      <c r="P56" s="502"/>
      <c r="Q56" s="98"/>
      <c r="R56" s="69" t="s">
        <v>470</v>
      </c>
      <c r="S56" s="509"/>
      <c r="T56" s="28"/>
      <c r="U56" s="510"/>
      <c r="V56" s="504"/>
      <c r="W56" s="237"/>
      <c r="X56" s="505"/>
      <c r="Y56" s="122"/>
      <c r="AA56" s="69"/>
      <c r="AC56" s="28"/>
      <c r="AD56" s="28"/>
      <c r="AF56" s="122"/>
    </row>
    <row r="57" ht="15.75" hidden="1" customHeight="1">
      <c r="A57" s="243" t="s">
        <v>678</v>
      </c>
      <c r="B57" s="243" t="s">
        <v>1025</v>
      </c>
      <c r="C57" s="243" t="s">
        <v>904</v>
      </c>
      <c r="D57" s="243" t="s">
        <v>1030</v>
      </c>
      <c r="E57" s="496" t="s">
        <v>1031</v>
      </c>
      <c r="F57" s="243" t="s">
        <v>822</v>
      </c>
      <c r="G57" s="497">
        <v>0.0</v>
      </c>
      <c r="H57" s="497">
        <v>0.0</v>
      </c>
      <c r="I57" s="497">
        <v>0.0</v>
      </c>
      <c r="J57" s="506"/>
      <c r="K57" s="499"/>
      <c r="L57" s="499"/>
      <c r="M57" s="511"/>
      <c r="N57" s="28"/>
      <c r="O57" s="28"/>
      <c r="P57" s="502"/>
      <c r="Q57" s="98"/>
      <c r="R57" s="69" t="s">
        <v>470</v>
      </c>
      <c r="S57" s="509"/>
      <c r="T57" s="28"/>
      <c r="U57" s="510"/>
      <c r="V57" s="504"/>
      <c r="W57" s="237"/>
      <c r="X57" s="505"/>
      <c r="Y57" s="122"/>
      <c r="AA57" s="28"/>
      <c r="AB57" s="28"/>
      <c r="AC57" s="28"/>
      <c r="AD57" s="28"/>
      <c r="AE57" s="512"/>
      <c r="AF57" s="28"/>
    </row>
    <row r="58" ht="15.75" hidden="1" customHeight="1">
      <c r="A58" s="243" t="s">
        <v>678</v>
      </c>
      <c r="B58" s="243" t="s">
        <v>1025</v>
      </c>
      <c r="C58" s="243" t="s">
        <v>904</v>
      </c>
      <c r="D58" s="243" t="s">
        <v>919</v>
      </c>
      <c r="E58" s="496" t="s">
        <v>1032</v>
      </c>
      <c r="F58" s="243" t="s">
        <v>822</v>
      </c>
      <c r="G58" s="497">
        <v>0.0</v>
      </c>
      <c r="H58" s="497">
        <v>0.0</v>
      </c>
      <c r="I58" s="497">
        <v>0.0</v>
      </c>
      <c r="J58" s="513"/>
      <c r="K58" s="514"/>
      <c r="L58" s="499"/>
      <c r="M58" s="500"/>
      <c r="N58" s="28"/>
      <c r="O58" s="515"/>
      <c r="P58" s="502"/>
      <c r="Q58" s="98"/>
      <c r="R58" s="69" t="s">
        <v>470</v>
      </c>
      <c r="S58" s="516"/>
      <c r="T58" s="28"/>
      <c r="U58" s="510"/>
      <c r="V58" s="504"/>
      <c r="W58" s="237"/>
      <c r="X58" s="505"/>
      <c r="Y58" s="122"/>
      <c r="AA58" s="69"/>
      <c r="AC58" s="28"/>
      <c r="AD58" s="28"/>
      <c r="AF58" s="122"/>
    </row>
    <row r="59" ht="15.75" customHeight="1">
      <c r="A59" s="210" t="s">
        <v>678</v>
      </c>
      <c r="B59" s="210" t="s">
        <v>1025</v>
      </c>
      <c r="C59" s="210" t="s">
        <v>1033</v>
      </c>
      <c r="D59" s="210" t="s">
        <v>1034</v>
      </c>
      <c r="E59" s="210" t="s">
        <v>1035</v>
      </c>
      <c r="F59" s="210" t="s">
        <v>640</v>
      </c>
      <c r="G59" s="210">
        <v>6.0</v>
      </c>
      <c r="H59" s="210">
        <v>2.0</v>
      </c>
      <c r="I59" s="210">
        <v>8.0</v>
      </c>
      <c r="J59" s="517">
        <v>7.3</v>
      </c>
      <c r="K59" s="213"/>
      <c r="L59" s="471">
        <v>0.0</v>
      </c>
      <c r="M59" s="518">
        <f>J59*I59*1.13</f>
        <v>65.992</v>
      </c>
      <c r="N59" s="210" t="s">
        <v>1003</v>
      </c>
      <c r="O59" s="519" t="s">
        <v>1036</v>
      </c>
      <c r="P59" s="290" t="s">
        <v>1037</v>
      </c>
      <c r="Q59" s="210" t="s">
        <v>724</v>
      </c>
      <c r="R59" s="210" t="s">
        <v>470</v>
      </c>
      <c r="S59" s="213"/>
      <c r="T59" s="213"/>
      <c r="U59" s="213"/>
      <c r="V59" s="210" t="s">
        <v>479</v>
      </c>
      <c r="W59" s="210" t="s">
        <v>437</v>
      </c>
      <c r="X59" s="210" t="s">
        <v>650</v>
      </c>
      <c r="Y59" s="210" t="s">
        <v>651</v>
      </c>
      <c r="Z59" s="213"/>
      <c r="AA59" s="213"/>
      <c r="AB59" s="213"/>
      <c r="AC59" s="213"/>
      <c r="AD59" s="213"/>
      <c r="AE59" s="213"/>
      <c r="AF59" s="37" t="s">
        <v>845</v>
      </c>
    </row>
    <row r="60" ht="15.75" customHeight="1">
      <c r="A60" s="210" t="s">
        <v>678</v>
      </c>
      <c r="B60" s="210" t="s">
        <v>1025</v>
      </c>
      <c r="C60" s="210" t="s">
        <v>1038</v>
      </c>
      <c r="D60" s="210" t="s">
        <v>1039</v>
      </c>
      <c r="E60" s="210" t="s">
        <v>1035</v>
      </c>
      <c r="F60" s="210" t="s">
        <v>640</v>
      </c>
      <c r="G60" s="210">
        <v>4.0</v>
      </c>
      <c r="H60" s="210">
        <v>21.0</v>
      </c>
      <c r="I60" s="210" t="s">
        <v>1040</v>
      </c>
      <c r="J60" s="212">
        <f>4.07/25</f>
        <v>0.1628</v>
      </c>
      <c r="K60" s="213"/>
      <c r="L60" s="471">
        <v>0.0</v>
      </c>
      <c r="M60" s="518">
        <f>J60*25*1.13</f>
        <v>4.5991</v>
      </c>
      <c r="N60" s="210" t="s">
        <v>1003</v>
      </c>
      <c r="O60" s="520" t="s">
        <v>1041</v>
      </c>
      <c r="P60" s="290" t="s">
        <v>1042</v>
      </c>
      <c r="Q60" s="210" t="s">
        <v>724</v>
      </c>
      <c r="R60" s="210" t="s">
        <v>470</v>
      </c>
      <c r="S60" s="213"/>
      <c r="T60" s="213"/>
      <c r="U60" s="210"/>
      <c r="V60" s="210" t="s">
        <v>479</v>
      </c>
      <c r="W60" s="210" t="s">
        <v>437</v>
      </c>
      <c r="X60" s="210" t="s">
        <v>650</v>
      </c>
      <c r="Y60" s="210" t="s">
        <v>651</v>
      </c>
      <c r="Z60" s="213"/>
      <c r="AA60" s="213"/>
      <c r="AB60" s="213"/>
      <c r="AC60" s="213"/>
      <c r="AD60" s="213"/>
      <c r="AE60" s="213"/>
      <c r="AF60" s="37" t="s">
        <v>845</v>
      </c>
    </row>
    <row r="61" ht="15.75" customHeight="1">
      <c r="A61" s="210" t="s">
        <v>678</v>
      </c>
      <c r="B61" s="210" t="s">
        <v>1025</v>
      </c>
      <c r="C61" s="210" t="s">
        <v>1043</v>
      </c>
      <c r="D61" s="210" t="s">
        <v>1044</v>
      </c>
      <c r="E61" s="210" t="s">
        <v>1045</v>
      </c>
      <c r="F61" s="210" t="s">
        <v>640</v>
      </c>
      <c r="G61" s="210">
        <v>2.0</v>
      </c>
      <c r="H61" s="210">
        <v>48.0</v>
      </c>
      <c r="I61" s="210" t="s">
        <v>1046</v>
      </c>
      <c r="J61" s="212">
        <f>18.09/50</f>
        <v>0.3618</v>
      </c>
      <c r="K61" s="213"/>
      <c r="L61" s="471">
        <v>0.0</v>
      </c>
      <c r="M61" s="518">
        <f>J61*50*1.13</f>
        <v>20.4417</v>
      </c>
      <c r="N61" s="210" t="s">
        <v>1003</v>
      </c>
      <c r="O61" s="521" t="s">
        <v>1047</v>
      </c>
      <c r="P61" s="290" t="s">
        <v>1048</v>
      </c>
      <c r="Q61" s="210" t="s">
        <v>724</v>
      </c>
      <c r="R61" s="210" t="s">
        <v>470</v>
      </c>
      <c r="S61" s="213"/>
      <c r="T61" s="213"/>
      <c r="U61" s="210"/>
      <c r="V61" s="210" t="s">
        <v>479</v>
      </c>
      <c r="W61" s="210" t="s">
        <v>437</v>
      </c>
      <c r="X61" s="210" t="s">
        <v>650</v>
      </c>
      <c r="Y61" s="210" t="s">
        <v>651</v>
      </c>
      <c r="Z61" s="213"/>
      <c r="AA61" s="213"/>
      <c r="AB61" s="213"/>
      <c r="AC61" s="213"/>
      <c r="AD61" s="213"/>
      <c r="AE61" s="213"/>
      <c r="AF61" s="37" t="s">
        <v>845</v>
      </c>
    </row>
    <row r="62" ht="15.75" hidden="1" customHeight="1">
      <c r="A62" s="122"/>
      <c r="B62" s="122"/>
      <c r="F62" s="122"/>
      <c r="J62" s="522"/>
      <c r="L62" s="523">
        <v>0.0</v>
      </c>
      <c r="M62" s="522"/>
      <c r="U62" s="37" t="s">
        <v>1049</v>
      </c>
      <c r="V62" s="213"/>
      <c r="X62" s="122"/>
      <c r="Y62" s="210" t="s">
        <v>651</v>
      </c>
      <c r="Z62" s="213"/>
      <c r="AA62" s="213"/>
      <c r="AB62" s="213"/>
      <c r="AC62" s="213"/>
      <c r="AD62" s="213"/>
      <c r="AE62" s="213"/>
      <c r="AF62" s="416" t="s">
        <v>845</v>
      </c>
    </row>
    <row r="63" ht="15.75" hidden="1" customHeight="1">
      <c r="A63" s="122"/>
      <c r="B63" s="122"/>
      <c r="F63" s="122"/>
      <c r="J63" s="522"/>
      <c r="L63" s="523">
        <v>0.0</v>
      </c>
      <c r="M63" s="522"/>
      <c r="U63" s="37" t="s">
        <v>1049</v>
      </c>
      <c r="V63" s="213"/>
      <c r="X63" s="122"/>
      <c r="Y63" s="210" t="s">
        <v>651</v>
      </c>
      <c r="Z63" s="213"/>
      <c r="AA63" s="213"/>
      <c r="AB63" s="213"/>
      <c r="AC63" s="213"/>
      <c r="AD63" s="213"/>
      <c r="AE63" s="213"/>
      <c r="AF63" s="416" t="s">
        <v>845</v>
      </c>
    </row>
    <row r="64" ht="15.75" customHeight="1">
      <c r="A64" s="210" t="s">
        <v>656</v>
      </c>
      <c r="B64" s="210" t="s">
        <v>1025</v>
      </c>
      <c r="C64" s="210" t="s">
        <v>1050</v>
      </c>
      <c r="D64" s="210" t="s">
        <v>1051</v>
      </c>
      <c r="E64" s="210" t="s">
        <v>1052</v>
      </c>
      <c r="F64" s="210" t="s">
        <v>640</v>
      </c>
      <c r="G64" s="210">
        <v>1.0</v>
      </c>
      <c r="H64" s="210">
        <v>0.0</v>
      </c>
      <c r="I64" s="210">
        <v>1.0</v>
      </c>
      <c r="J64" s="212">
        <v>54.92</v>
      </c>
      <c r="K64" s="213"/>
      <c r="L64" s="471">
        <v>0.0</v>
      </c>
      <c r="M64" s="518">
        <f>J64*1.13</f>
        <v>62.0596</v>
      </c>
      <c r="N64" s="210" t="s">
        <v>1053</v>
      </c>
      <c r="O64" s="210" t="s">
        <v>1054</v>
      </c>
      <c r="P64" s="290" t="s">
        <v>1055</v>
      </c>
      <c r="Q64" s="210" t="s">
        <v>724</v>
      </c>
      <c r="R64" s="210" t="s">
        <v>470</v>
      </c>
      <c r="S64" s="213"/>
      <c r="T64" s="213"/>
      <c r="U64" s="213"/>
      <c r="V64" s="210" t="s">
        <v>479</v>
      </c>
      <c r="W64" s="210" t="s">
        <v>437</v>
      </c>
      <c r="X64" s="210" t="s">
        <v>650</v>
      </c>
      <c r="Y64" s="210" t="s">
        <v>651</v>
      </c>
      <c r="Z64" s="213"/>
      <c r="AA64" s="213"/>
      <c r="AB64" s="213"/>
      <c r="AC64" s="213"/>
      <c r="AD64" s="213"/>
      <c r="AE64" s="213"/>
      <c r="AF64" s="37" t="s">
        <v>845</v>
      </c>
    </row>
    <row r="65" ht="15.75" customHeight="1">
      <c r="A65" s="82"/>
    </row>
    <row r="66" ht="15.75" customHeight="1">
      <c r="A66" s="491" t="s">
        <v>987</v>
      </c>
      <c r="C66" s="325"/>
      <c r="D66" s="524" t="s">
        <v>1056</v>
      </c>
      <c r="E66" s="321"/>
      <c r="F66" s="273"/>
      <c r="G66" s="322"/>
      <c r="H66" s="323"/>
      <c r="I66" s="273"/>
      <c r="J66" s="525"/>
      <c r="K66" s="525"/>
      <c r="L66" s="525"/>
      <c r="M66" s="526">
        <f>SUM(M59:M64)</f>
        <v>153.0924</v>
      </c>
      <c r="N66" s="527"/>
      <c r="O66" s="528"/>
      <c r="P66" s="529"/>
      <c r="Q66" s="530"/>
      <c r="R66" s="326"/>
      <c r="S66" s="326"/>
      <c r="T66" s="326"/>
      <c r="U66" s="531"/>
      <c r="V66" s="532"/>
      <c r="W66" s="533"/>
      <c r="X66" s="534"/>
      <c r="Y66" s="228"/>
      <c r="Z66" s="228"/>
      <c r="AA66" s="323"/>
      <c r="AB66" s="323"/>
      <c r="AC66" s="323"/>
      <c r="AD66" s="323"/>
      <c r="AE66" s="323"/>
      <c r="AF66" s="228"/>
    </row>
    <row r="67" ht="15.75" customHeight="1">
      <c r="A67" s="199" t="s">
        <v>1057</v>
      </c>
      <c r="H67" s="207"/>
      <c r="I67" s="200"/>
      <c r="J67" s="201"/>
      <c r="K67" s="201"/>
      <c r="L67" s="201"/>
      <c r="M67" s="202"/>
      <c r="N67" s="202"/>
      <c r="O67" s="208"/>
      <c r="P67" s="467"/>
      <c r="Q67" s="425"/>
      <c r="R67" s="425"/>
      <c r="S67" s="425"/>
      <c r="T67" s="425"/>
      <c r="U67" s="495"/>
      <c r="V67" s="470"/>
      <c r="W67" s="204"/>
      <c r="X67" s="464"/>
      <c r="Y67" s="464"/>
      <c r="Z67" s="207"/>
      <c r="AA67" s="207"/>
      <c r="AB67" s="207"/>
      <c r="AC67" s="208"/>
      <c r="AD67" s="208"/>
      <c r="AE67" s="207"/>
      <c r="AF67" s="207"/>
    </row>
    <row r="68" ht="15.75" customHeight="1">
      <c r="A68" s="210" t="s">
        <v>753</v>
      </c>
      <c r="B68" s="210" t="s">
        <v>1058</v>
      </c>
      <c r="C68" s="210" t="s">
        <v>1059</v>
      </c>
      <c r="D68" s="210" t="s">
        <v>1060</v>
      </c>
      <c r="E68" s="210" t="s">
        <v>1061</v>
      </c>
      <c r="F68" s="210" t="s">
        <v>640</v>
      </c>
      <c r="G68" s="210">
        <v>1.0</v>
      </c>
      <c r="H68" s="210">
        <v>0.0</v>
      </c>
      <c r="I68" s="210">
        <v>1.0</v>
      </c>
      <c r="J68" s="212">
        <v>1178.0</v>
      </c>
      <c r="K68" s="213"/>
      <c r="L68" s="213"/>
      <c r="M68" s="212">
        <v>1178.0</v>
      </c>
      <c r="N68" s="436"/>
      <c r="O68" s="436"/>
      <c r="P68" s="436"/>
      <c r="Q68" s="213"/>
      <c r="R68" s="436"/>
      <c r="S68" s="213"/>
      <c r="T68" s="213"/>
      <c r="U68" s="210" t="s">
        <v>1062</v>
      </c>
      <c r="V68" s="210" t="s">
        <v>479</v>
      </c>
      <c r="W68" s="210" t="s">
        <v>437</v>
      </c>
      <c r="X68" s="210" t="s">
        <v>650</v>
      </c>
      <c r="Y68" s="210" t="s">
        <v>651</v>
      </c>
      <c r="Z68" s="213"/>
      <c r="AA68" s="436"/>
      <c r="AB68" s="213"/>
      <c r="AC68" s="213"/>
      <c r="AD68" s="213"/>
      <c r="AE68" s="213"/>
      <c r="AF68" s="37" t="s">
        <v>845</v>
      </c>
    </row>
    <row r="69" ht="15.75" customHeight="1">
      <c r="A69" s="258" t="s">
        <v>753</v>
      </c>
      <c r="B69" s="258" t="s">
        <v>1058</v>
      </c>
      <c r="C69" s="258" t="s">
        <v>1063</v>
      </c>
      <c r="D69" s="258" t="s">
        <v>1064</v>
      </c>
      <c r="E69" s="258" t="s">
        <v>1065</v>
      </c>
      <c r="F69" s="258" t="s">
        <v>640</v>
      </c>
      <c r="G69" s="258">
        <v>4.0</v>
      </c>
      <c r="H69" s="258">
        <v>2.0</v>
      </c>
      <c r="I69" s="258">
        <v>6.0</v>
      </c>
      <c r="J69" s="535">
        <v>36.26</v>
      </c>
      <c r="K69" s="258" t="s">
        <v>1066</v>
      </c>
      <c r="L69" s="258">
        <v>0.0</v>
      </c>
      <c r="M69" s="535">
        <v>245.84</v>
      </c>
      <c r="N69" s="258" t="s">
        <v>1067</v>
      </c>
      <c r="O69" s="258">
        <v>657442.0</v>
      </c>
      <c r="P69" s="536" t="s">
        <v>1068</v>
      </c>
      <c r="Q69" s="258" t="s">
        <v>762</v>
      </c>
      <c r="R69" s="258" t="s">
        <v>479</v>
      </c>
      <c r="S69" s="258" t="s">
        <v>762</v>
      </c>
      <c r="T69" s="258" t="s">
        <v>762</v>
      </c>
      <c r="U69" s="258" t="s">
        <v>1069</v>
      </c>
      <c r="V69" s="210" t="s">
        <v>479</v>
      </c>
      <c r="W69" s="210" t="s">
        <v>437</v>
      </c>
      <c r="X69" s="210" t="s">
        <v>650</v>
      </c>
      <c r="Y69" s="258" t="s">
        <v>651</v>
      </c>
      <c r="Z69" s="259"/>
      <c r="AA69" s="537"/>
      <c r="AB69" s="259"/>
      <c r="AC69" s="259"/>
      <c r="AD69" s="259"/>
      <c r="AE69" s="259"/>
      <c r="AF69" s="37" t="s">
        <v>837</v>
      </c>
    </row>
    <row r="70" ht="15.75" customHeight="1">
      <c r="A70" s="258" t="s">
        <v>753</v>
      </c>
      <c r="B70" s="258" t="s">
        <v>1058</v>
      </c>
      <c r="C70" s="258" t="s">
        <v>1070</v>
      </c>
      <c r="D70" s="258" t="s">
        <v>1071</v>
      </c>
      <c r="E70" s="258" t="s">
        <v>1072</v>
      </c>
      <c r="F70" s="258" t="s">
        <v>640</v>
      </c>
      <c r="G70" s="258">
        <v>4.0</v>
      </c>
      <c r="H70" s="258">
        <v>2.0</v>
      </c>
      <c r="I70" s="258">
        <v>6.0</v>
      </c>
      <c r="J70" s="535">
        <v>87.33</v>
      </c>
      <c r="K70" s="258" t="s">
        <v>1066</v>
      </c>
      <c r="L70" s="258">
        <v>0.0</v>
      </c>
      <c r="M70" s="535">
        <v>592.1</v>
      </c>
      <c r="N70" s="258" t="s">
        <v>1067</v>
      </c>
      <c r="O70" s="258">
        <v>657434.0</v>
      </c>
      <c r="P70" s="538" t="s">
        <v>1073</v>
      </c>
      <c r="Q70" s="258" t="s">
        <v>762</v>
      </c>
      <c r="R70" s="258" t="s">
        <v>479</v>
      </c>
      <c r="S70" s="258" t="s">
        <v>1074</v>
      </c>
      <c r="T70" s="258" t="s">
        <v>762</v>
      </c>
      <c r="U70" s="258" t="s">
        <v>1069</v>
      </c>
      <c r="V70" s="210" t="s">
        <v>479</v>
      </c>
      <c r="W70" s="210" t="s">
        <v>437</v>
      </c>
      <c r="X70" s="210" t="s">
        <v>650</v>
      </c>
      <c r="Y70" s="258" t="s">
        <v>651</v>
      </c>
      <c r="Z70" s="259"/>
      <c r="AA70" s="537"/>
      <c r="AB70" s="259"/>
      <c r="AC70" s="259"/>
      <c r="AD70" s="259"/>
      <c r="AE70" s="259"/>
      <c r="AF70" s="37" t="s">
        <v>837</v>
      </c>
    </row>
    <row r="71" ht="15.75" customHeight="1">
      <c r="A71" s="258" t="s">
        <v>753</v>
      </c>
      <c r="B71" s="258" t="s">
        <v>1058</v>
      </c>
      <c r="C71" s="258" t="s">
        <v>1075</v>
      </c>
      <c r="D71" s="258" t="s">
        <v>1076</v>
      </c>
      <c r="E71" s="258" t="s">
        <v>1072</v>
      </c>
      <c r="F71" s="258" t="s">
        <v>640</v>
      </c>
      <c r="G71" s="258">
        <v>4.0</v>
      </c>
      <c r="H71" s="258">
        <v>2.0</v>
      </c>
      <c r="I71" s="258">
        <v>6.0</v>
      </c>
      <c r="J71" s="535">
        <v>109.79</v>
      </c>
      <c r="K71" s="258" t="s">
        <v>1066</v>
      </c>
      <c r="L71" s="258">
        <v>0.0</v>
      </c>
      <c r="M71" s="535">
        <v>744.38</v>
      </c>
      <c r="N71" s="258" t="s">
        <v>1067</v>
      </c>
      <c r="O71" s="258">
        <v>662016.0</v>
      </c>
      <c r="P71" s="538" t="s">
        <v>1077</v>
      </c>
      <c r="Q71" s="258" t="s">
        <v>762</v>
      </c>
      <c r="R71" s="258" t="s">
        <v>479</v>
      </c>
      <c r="S71" s="258" t="s">
        <v>1074</v>
      </c>
      <c r="T71" s="258" t="s">
        <v>1074</v>
      </c>
      <c r="U71" s="258" t="s">
        <v>1069</v>
      </c>
      <c r="V71" s="210" t="s">
        <v>479</v>
      </c>
      <c r="W71" s="210" t="s">
        <v>437</v>
      </c>
      <c r="X71" s="210" t="s">
        <v>650</v>
      </c>
      <c r="Y71" s="258" t="s">
        <v>651</v>
      </c>
      <c r="Z71" s="259"/>
      <c r="AA71" s="537"/>
      <c r="AB71" s="259"/>
      <c r="AC71" s="259"/>
      <c r="AD71" s="259"/>
      <c r="AE71" s="259"/>
      <c r="AF71" s="37" t="s">
        <v>837</v>
      </c>
    </row>
    <row r="72" ht="15.75" customHeight="1">
      <c r="A72" s="258" t="s">
        <v>753</v>
      </c>
      <c r="B72" s="258" t="s">
        <v>1058</v>
      </c>
      <c r="C72" s="539" t="s">
        <v>1078</v>
      </c>
      <c r="D72" s="258" t="s">
        <v>1079</v>
      </c>
      <c r="E72" s="258" t="s">
        <v>1072</v>
      </c>
      <c r="F72" s="258" t="s">
        <v>640</v>
      </c>
      <c r="G72" s="258">
        <v>4.0</v>
      </c>
      <c r="H72" s="258">
        <v>2.0</v>
      </c>
      <c r="I72" s="258">
        <v>6.0</v>
      </c>
      <c r="J72" s="535">
        <v>272.87</v>
      </c>
      <c r="K72" s="258" t="s">
        <v>1066</v>
      </c>
      <c r="L72" s="258">
        <v>0.0</v>
      </c>
      <c r="M72" s="535">
        <v>1850.06</v>
      </c>
      <c r="N72" s="258" t="s">
        <v>1067</v>
      </c>
      <c r="O72" s="258">
        <v>662021.0</v>
      </c>
      <c r="P72" s="538" t="s">
        <v>1080</v>
      </c>
      <c r="Q72" s="258" t="s">
        <v>762</v>
      </c>
      <c r="R72" s="258" t="s">
        <v>479</v>
      </c>
      <c r="S72" s="258" t="s">
        <v>762</v>
      </c>
      <c r="T72" s="258" t="s">
        <v>762</v>
      </c>
      <c r="U72" s="258" t="s">
        <v>1069</v>
      </c>
      <c r="V72" s="210" t="s">
        <v>479</v>
      </c>
      <c r="W72" s="210" t="s">
        <v>437</v>
      </c>
      <c r="X72" s="210" t="s">
        <v>650</v>
      </c>
      <c r="Y72" s="258" t="s">
        <v>651</v>
      </c>
      <c r="Z72" s="259"/>
      <c r="AA72" s="537"/>
      <c r="AB72" s="259"/>
      <c r="AC72" s="259"/>
      <c r="AD72" s="259"/>
      <c r="AE72" s="259"/>
      <c r="AF72" s="37" t="s">
        <v>837</v>
      </c>
    </row>
    <row r="73" ht="15.75" customHeight="1">
      <c r="A73" s="82"/>
    </row>
    <row r="74" ht="15.75" customHeight="1">
      <c r="A74" s="491" t="s">
        <v>987</v>
      </c>
      <c r="C74" s="321"/>
      <c r="D74" s="491"/>
      <c r="E74" s="323"/>
      <c r="F74" s="323"/>
      <c r="G74" s="323"/>
      <c r="H74" s="323"/>
      <c r="I74" s="323"/>
      <c r="J74" s="540"/>
      <c r="K74" s="323"/>
      <c r="L74" s="323"/>
      <c r="M74" s="541">
        <f>SUM(M68:M72)</f>
        <v>4610.38</v>
      </c>
      <c r="N74" s="323"/>
      <c r="O74" s="323"/>
      <c r="P74" s="542"/>
      <c r="Q74" s="323"/>
      <c r="R74" s="323"/>
      <c r="S74" s="323"/>
      <c r="T74" s="323"/>
      <c r="U74" s="323"/>
      <c r="V74" s="543"/>
      <c r="W74" s="543"/>
      <c r="X74" s="543"/>
      <c r="Y74" s="543"/>
      <c r="Z74" s="228"/>
      <c r="AA74" s="543"/>
      <c r="AB74" s="228"/>
      <c r="AC74" s="228"/>
      <c r="AD74" s="228"/>
      <c r="AE74" s="228"/>
      <c r="AF74" s="543"/>
    </row>
    <row r="75" ht="15.75" customHeight="1">
      <c r="A75" s="199" t="s">
        <v>559</v>
      </c>
      <c r="H75" s="207"/>
      <c r="I75" s="200"/>
      <c r="J75" s="201"/>
      <c r="K75" s="201"/>
      <c r="L75" s="201"/>
      <c r="M75" s="202"/>
      <c r="N75" s="202"/>
      <c r="O75" s="208"/>
      <c r="P75" s="467"/>
      <c r="Q75" s="425"/>
      <c r="R75" s="425"/>
      <c r="S75" s="425"/>
      <c r="T75" s="425"/>
      <c r="U75" s="495"/>
      <c r="V75" s="470"/>
      <c r="W75" s="204"/>
      <c r="X75" s="464"/>
      <c r="Y75" s="464"/>
      <c r="Z75" s="207"/>
      <c r="AA75" s="207"/>
      <c r="AB75" s="207"/>
      <c r="AC75" s="208"/>
      <c r="AD75" s="208"/>
      <c r="AE75" s="207"/>
      <c r="AF75" s="207"/>
    </row>
    <row r="76" ht="16.5" customHeight="1">
      <c r="A76" s="431" t="s">
        <v>753</v>
      </c>
      <c r="B76" s="431" t="s">
        <v>1081</v>
      </c>
      <c r="C76" s="431" t="s">
        <v>1082</v>
      </c>
      <c r="D76" s="431" t="s">
        <v>1083</v>
      </c>
      <c r="E76" s="431" t="s">
        <v>1084</v>
      </c>
      <c r="F76" s="431" t="s">
        <v>640</v>
      </c>
      <c r="G76" s="431">
        <v>1.0</v>
      </c>
      <c r="H76" s="544" t="s">
        <v>1085</v>
      </c>
      <c r="I76" s="431">
        <v>1.0</v>
      </c>
      <c r="J76" s="545" t="s">
        <v>1086</v>
      </c>
      <c r="K76" s="546" t="s">
        <v>1087</v>
      </c>
      <c r="L76" s="545">
        <v>234.09</v>
      </c>
      <c r="M76" s="545">
        <v>1417.56</v>
      </c>
      <c r="N76" s="431" t="s">
        <v>1088</v>
      </c>
      <c r="O76" s="431" t="s">
        <v>1089</v>
      </c>
      <c r="P76" s="547" t="s">
        <v>1090</v>
      </c>
      <c r="Q76" s="431" t="s">
        <v>724</v>
      </c>
      <c r="R76" s="431" t="s">
        <v>464</v>
      </c>
      <c r="S76" s="431" t="s">
        <v>646</v>
      </c>
      <c r="T76" s="431" t="s">
        <v>1091</v>
      </c>
      <c r="U76" s="431" t="s">
        <v>1092</v>
      </c>
      <c r="V76" s="431" t="s">
        <v>479</v>
      </c>
      <c r="W76" s="431" t="s">
        <v>642</v>
      </c>
      <c r="X76" s="37" t="s">
        <v>724</v>
      </c>
      <c r="Y76" s="431"/>
      <c r="Z76" s="431"/>
      <c r="AA76" s="431"/>
      <c r="AB76" s="431"/>
      <c r="AC76" s="431"/>
      <c r="AD76" s="431"/>
      <c r="AE76" s="431"/>
      <c r="AF76" s="431"/>
    </row>
    <row r="77" ht="19.5" customHeight="1">
      <c r="A77" s="210" t="s">
        <v>753</v>
      </c>
      <c r="B77" s="210" t="s">
        <v>1081</v>
      </c>
      <c r="C77" s="210" t="s">
        <v>1093</v>
      </c>
      <c r="D77" s="210" t="s">
        <v>1094</v>
      </c>
      <c r="E77" s="210" t="s">
        <v>1095</v>
      </c>
      <c r="F77" s="210" t="s">
        <v>640</v>
      </c>
      <c r="G77" s="210">
        <v>1.0</v>
      </c>
      <c r="H77" s="548" t="s">
        <v>1085</v>
      </c>
      <c r="I77" s="210">
        <v>1.0</v>
      </c>
      <c r="J77" s="277">
        <v>20.63</v>
      </c>
      <c r="K77" s="277">
        <v>18.85</v>
      </c>
      <c r="L77" s="277">
        <v>14.92</v>
      </c>
      <c r="M77" s="277">
        <v>54.4</v>
      </c>
      <c r="N77" s="210" t="s">
        <v>1096</v>
      </c>
      <c r="O77" s="210" t="s">
        <v>1097</v>
      </c>
      <c r="P77" s="290" t="s">
        <v>1098</v>
      </c>
      <c r="Q77" s="210" t="s">
        <v>724</v>
      </c>
      <c r="R77" s="210" t="s">
        <v>1099</v>
      </c>
      <c r="S77" s="210" t="s">
        <v>646</v>
      </c>
      <c r="T77" s="210" t="s">
        <v>1100</v>
      </c>
      <c r="U77" s="210" t="s">
        <v>1101</v>
      </c>
      <c r="V77" s="210" t="s">
        <v>479</v>
      </c>
      <c r="W77" s="210" t="s">
        <v>437</v>
      </c>
      <c r="X77" s="210" t="s">
        <v>650</v>
      </c>
      <c r="Y77" s="210" t="s">
        <v>464</v>
      </c>
      <c r="Z77" s="213"/>
      <c r="AA77" s="213"/>
      <c r="AB77" s="213"/>
      <c r="AC77" s="213"/>
      <c r="AD77" s="213"/>
      <c r="AE77" s="440"/>
      <c r="AF77" s="37" t="s">
        <v>837</v>
      </c>
    </row>
    <row r="78" ht="20.25" customHeight="1">
      <c r="A78" s="210" t="s">
        <v>753</v>
      </c>
      <c r="B78" s="210" t="s">
        <v>1081</v>
      </c>
      <c r="C78" s="210" t="s">
        <v>1102</v>
      </c>
      <c r="D78" s="549" t="s">
        <v>1103</v>
      </c>
      <c r="E78" s="210" t="s">
        <v>1104</v>
      </c>
      <c r="F78" s="210" t="s">
        <v>640</v>
      </c>
      <c r="G78" s="210">
        <v>2.0</v>
      </c>
      <c r="H78" s="210">
        <v>0.0</v>
      </c>
      <c r="I78" s="210">
        <v>2.0</v>
      </c>
      <c r="J78" s="277">
        <v>19.57</v>
      </c>
      <c r="K78" s="277">
        <v>18.39</v>
      </c>
      <c r="L78" s="277">
        <v>18.63</v>
      </c>
      <c r="M78" s="277">
        <v>76.16</v>
      </c>
      <c r="N78" s="210" t="s">
        <v>1096</v>
      </c>
      <c r="O78" s="549" t="s">
        <v>1105</v>
      </c>
      <c r="P78" s="290" t="s">
        <v>1106</v>
      </c>
      <c r="Q78" s="210" t="s">
        <v>724</v>
      </c>
      <c r="R78" s="210" t="s">
        <v>464</v>
      </c>
      <c r="S78" s="210" t="s">
        <v>646</v>
      </c>
      <c r="T78" s="436"/>
      <c r="U78" s="436"/>
      <c r="V78" s="210" t="s">
        <v>479</v>
      </c>
      <c r="W78" s="210" t="s">
        <v>437</v>
      </c>
      <c r="X78" s="210" t="s">
        <v>650</v>
      </c>
      <c r="Y78" s="210" t="s">
        <v>464</v>
      </c>
      <c r="Z78" s="213"/>
      <c r="AA78" s="213"/>
      <c r="AB78" s="213"/>
      <c r="AC78" s="213"/>
      <c r="AD78" s="213"/>
      <c r="AE78" s="440"/>
      <c r="AF78" s="37" t="s">
        <v>837</v>
      </c>
    </row>
    <row r="79" ht="20.25" customHeight="1">
      <c r="A79" s="42" t="s">
        <v>753</v>
      </c>
      <c r="B79" s="42" t="s">
        <v>1081</v>
      </c>
      <c r="C79" s="42" t="s">
        <v>1107</v>
      </c>
      <c r="D79" s="550" t="s">
        <v>1108</v>
      </c>
      <c r="E79" s="58"/>
      <c r="F79" s="42" t="s">
        <v>640</v>
      </c>
      <c r="G79" s="42">
        <v>6.0</v>
      </c>
      <c r="H79" s="551" t="s">
        <v>1085</v>
      </c>
      <c r="I79" s="42">
        <v>12.0</v>
      </c>
      <c r="J79" s="552" t="s">
        <v>1109</v>
      </c>
      <c r="K79" s="42" t="s">
        <v>1110</v>
      </c>
      <c r="L79" s="457"/>
      <c r="M79" s="457"/>
      <c r="N79" s="42" t="s">
        <v>1111</v>
      </c>
      <c r="O79" s="42" t="s">
        <v>1112</v>
      </c>
      <c r="P79" s="553" t="s">
        <v>1113</v>
      </c>
      <c r="Q79" s="42" t="s">
        <v>1114</v>
      </c>
      <c r="R79" s="42" t="s">
        <v>464</v>
      </c>
      <c r="S79" s="42" t="s">
        <v>646</v>
      </c>
      <c r="T79" s="453"/>
      <c r="U79" s="42" t="s">
        <v>1115</v>
      </c>
      <c r="V79" s="210" t="s">
        <v>479</v>
      </c>
      <c r="W79" s="37"/>
      <c r="X79" s="37"/>
      <c r="Y79" s="37" t="s">
        <v>696</v>
      </c>
      <c r="AE79" s="462"/>
      <c r="AF79" s="466"/>
    </row>
    <row r="80" ht="17.25" customHeight="1">
      <c r="A80" s="210" t="s">
        <v>753</v>
      </c>
      <c r="B80" s="210" t="s">
        <v>1081</v>
      </c>
      <c r="C80" s="210" t="s">
        <v>1116</v>
      </c>
      <c r="D80" s="554" t="s">
        <v>1117</v>
      </c>
      <c r="E80" s="210" t="s">
        <v>1118</v>
      </c>
      <c r="F80" s="210" t="s">
        <v>640</v>
      </c>
      <c r="G80" s="210">
        <v>5.0</v>
      </c>
      <c r="H80" s="210">
        <v>95.0</v>
      </c>
      <c r="I80" s="210">
        <v>100.0</v>
      </c>
      <c r="J80" s="212">
        <v>18.31</v>
      </c>
      <c r="K80" s="213"/>
      <c r="L80" s="213"/>
      <c r="M80" s="518"/>
      <c r="N80" s="210" t="s">
        <v>1119</v>
      </c>
      <c r="O80" s="436"/>
      <c r="P80" s="290" t="s">
        <v>1120</v>
      </c>
      <c r="Q80" s="210" t="s">
        <v>724</v>
      </c>
      <c r="R80" s="213"/>
      <c r="S80" s="213"/>
      <c r="T80" s="436"/>
      <c r="U80" s="436"/>
      <c r="V80" s="210" t="s">
        <v>479</v>
      </c>
      <c r="W80" s="210" t="s">
        <v>437</v>
      </c>
      <c r="X80" s="210" t="s">
        <v>650</v>
      </c>
      <c r="Y80" s="210" t="s">
        <v>651</v>
      </c>
      <c r="Z80" s="213"/>
      <c r="AA80" s="213"/>
      <c r="AB80" s="213"/>
      <c r="AC80" s="213"/>
      <c r="AD80" s="213"/>
      <c r="AE80" s="213"/>
      <c r="AF80" s="37" t="s">
        <v>845</v>
      </c>
    </row>
    <row r="81" ht="18.75" customHeight="1">
      <c r="A81" s="466"/>
    </row>
    <row r="82" ht="19.5" hidden="1" customHeight="1">
      <c r="A82" s="122"/>
      <c r="B82" s="466"/>
      <c r="C82" s="466"/>
      <c r="D82" s="466"/>
      <c r="E82" s="466"/>
      <c r="F82" s="466"/>
      <c r="H82" s="555"/>
      <c r="J82" s="460"/>
      <c r="K82" s="460"/>
      <c r="L82" s="460"/>
      <c r="M82" s="460"/>
      <c r="O82" s="466"/>
      <c r="P82" s="466"/>
      <c r="R82" s="466"/>
      <c r="S82" s="466"/>
      <c r="U82" s="466"/>
      <c r="V82" s="466"/>
      <c r="W82" s="466"/>
      <c r="X82" s="466"/>
      <c r="Y82" s="122"/>
    </row>
    <row r="83" ht="15.75" hidden="1" customHeight="1">
      <c r="A83" s="466"/>
      <c r="B83" s="466"/>
      <c r="C83" s="466"/>
      <c r="D83" s="466"/>
      <c r="E83" s="466"/>
      <c r="F83" s="466"/>
      <c r="G83" s="466"/>
      <c r="H83" s="466"/>
      <c r="I83" s="466"/>
      <c r="J83" s="460"/>
      <c r="K83" s="460"/>
      <c r="L83" s="460"/>
      <c r="M83" s="460"/>
      <c r="N83" s="466"/>
      <c r="O83" s="466"/>
      <c r="P83" s="466"/>
      <c r="Q83" s="466"/>
      <c r="R83" s="466"/>
      <c r="S83" s="466"/>
      <c r="T83" s="466"/>
      <c r="U83" s="466"/>
      <c r="V83" s="466"/>
      <c r="X83" s="466"/>
      <c r="Y83" s="122"/>
      <c r="AE83" s="462"/>
      <c r="AF83" s="122"/>
    </row>
    <row r="84" ht="21.0" customHeight="1">
      <c r="A84" s="491" t="s">
        <v>987</v>
      </c>
      <c r="C84" s="543"/>
      <c r="D84" s="491"/>
      <c r="E84" s="543"/>
      <c r="F84" s="543"/>
      <c r="G84" s="543"/>
      <c r="H84" s="543"/>
      <c r="I84" s="543"/>
      <c r="J84" s="556"/>
      <c r="K84" s="556"/>
      <c r="L84" s="556"/>
      <c r="M84" s="557">
        <f>SUM(M76:M81)</f>
        <v>1548.12</v>
      </c>
      <c r="N84" s="228"/>
      <c r="O84" s="228"/>
      <c r="P84" s="543"/>
      <c r="Q84" s="543"/>
      <c r="R84" s="543"/>
      <c r="S84" s="543"/>
      <c r="T84" s="543"/>
      <c r="U84" s="543"/>
      <c r="V84" s="543"/>
      <c r="W84" s="543"/>
      <c r="X84" s="543"/>
      <c r="Y84" s="228"/>
      <c r="Z84" s="228"/>
      <c r="AA84" s="228"/>
      <c r="AB84" s="228"/>
      <c r="AC84" s="228"/>
      <c r="AD84" s="228"/>
      <c r="AE84" s="558"/>
      <c r="AF84" s="228"/>
    </row>
    <row r="85" ht="15.75" customHeight="1">
      <c r="A85" s="559" t="s">
        <v>1121</v>
      </c>
      <c r="H85" s="208"/>
      <c r="I85" s="208"/>
      <c r="J85" s="560"/>
      <c r="K85" s="560"/>
      <c r="L85" s="560"/>
      <c r="M85" s="560"/>
      <c r="N85" s="208"/>
      <c r="O85" s="208"/>
      <c r="P85" s="208"/>
      <c r="Q85" s="208"/>
      <c r="R85" s="208"/>
      <c r="S85" s="208"/>
      <c r="T85" s="208"/>
      <c r="U85" s="561"/>
      <c r="V85" s="208"/>
      <c r="W85" s="208"/>
      <c r="X85" s="561"/>
      <c r="Y85" s="464"/>
      <c r="Z85" s="208"/>
      <c r="AA85" s="208"/>
      <c r="AB85" s="208"/>
      <c r="AC85" s="208"/>
      <c r="AD85" s="208"/>
      <c r="AE85" s="208"/>
      <c r="AF85" s="208"/>
    </row>
    <row r="86">
      <c r="A86" s="562" t="s">
        <v>753</v>
      </c>
      <c r="B86" s="258" t="s">
        <v>1121</v>
      </c>
      <c r="C86" s="562" t="s">
        <v>1122</v>
      </c>
      <c r="D86" s="563" t="s">
        <v>1123</v>
      </c>
      <c r="E86" s="562" t="s">
        <v>1122</v>
      </c>
      <c r="F86" s="562" t="s">
        <v>640</v>
      </c>
      <c r="G86" s="564">
        <v>1.0</v>
      </c>
      <c r="H86" s="565">
        <v>1.0</v>
      </c>
      <c r="I86" s="564">
        <v>2.0</v>
      </c>
      <c r="J86" s="566">
        <v>1.02</v>
      </c>
      <c r="K86" s="566">
        <v>0.0</v>
      </c>
      <c r="L86" s="567"/>
      <c r="M86" s="568">
        <f>K86+2*J86*1.13</f>
        <v>2.3052</v>
      </c>
      <c r="N86" s="562" t="s">
        <v>1124</v>
      </c>
      <c r="O86" s="562" t="s">
        <v>1125</v>
      </c>
      <c r="P86" s="569" t="s">
        <v>1126</v>
      </c>
      <c r="Q86" s="260" t="s">
        <v>724</v>
      </c>
      <c r="R86" s="260" t="s">
        <v>1127</v>
      </c>
      <c r="S86" s="562"/>
      <c r="T86" s="562" t="s">
        <v>646</v>
      </c>
      <c r="U86" s="562" t="s">
        <v>1128</v>
      </c>
      <c r="V86" s="258" t="s">
        <v>479</v>
      </c>
      <c r="W86" s="258" t="s">
        <v>437</v>
      </c>
      <c r="X86" s="258" t="s">
        <v>650</v>
      </c>
      <c r="Y86" s="258" t="s">
        <v>296</v>
      </c>
      <c r="Z86" s="259"/>
      <c r="AA86" s="259"/>
      <c r="AB86" s="259"/>
      <c r="AC86" s="259"/>
      <c r="AD86" s="259"/>
      <c r="AE86" s="259"/>
      <c r="AF86" s="258" t="s">
        <v>837</v>
      </c>
    </row>
    <row r="87">
      <c r="A87" s="236" t="s">
        <v>678</v>
      </c>
      <c r="B87" s="210" t="s">
        <v>1121</v>
      </c>
      <c r="C87" s="210" t="s">
        <v>1129</v>
      </c>
      <c r="D87" s="570" t="s">
        <v>1130</v>
      </c>
      <c r="E87" s="221" t="s">
        <v>1131</v>
      </c>
      <c r="F87" s="236" t="s">
        <v>640</v>
      </c>
      <c r="G87" s="350">
        <v>1.0</v>
      </c>
      <c r="H87" s="350">
        <v>0.0</v>
      </c>
      <c r="I87" s="350">
        <v>1.0</v>
      </c>
      <c r="J87" s="571">
        <v>6.69</v>
      </c>
      <c r="K87" s="363"/>
      <c r="L87" s="363"/>
      <c r="M87" s="571">
        <v>6.69</v>
      </c>
      <c r="N87" s="363" t="s">
        <v>1132</v>
      </c>
      <c r="O87" s="236" t="s">
        <v>1133</v>
      </c>
      <c r="P87" s="367" t="s">
        <v>1134</v>
      </c>
      <c r="Q87" s="221" t="s">
        <v>724</v>
      </c>
      <c r="R87" s="221" t="s">
        <v>1127</v>
      </c>
      <c r="S87" s="236"/>
      <c r="T87" s="236"/>
      <c r="U87" s="236"/>
      <c r="V87" s="210" t="s">
        <v>479</v>
      </c>
      <c r="W87" s="210" t="s">
        <v>437</v>
      </c>
      <c r="X87" s="210" t="s">
        <v>650</v>
      </c>
      <c r="Y87" s="210" t="s">
        <v>651</v>
      </c>
      <c r="Z87" s="213"/>
      <c r="AA87" s="213"/>
      <c r="AB87" s="213"/>
      <c r="AC87" s="213"/>
      <c r="AD87" s="213"/>
      <c r="AE87" s="213"/>
      <c r="AF87" s="37" t="s">
        <v>845</v>
      </c>
    </row>
    <row r="88">
      <c r="A88" s="210" t="s">
        <v>678</v>
      </c>
      <c r="B88" s="210" t="s">
        <v>1121</v>
      </c>
      <c r="C88" s="210" t="s">
        <v>1135</v>
      </c>
      <c r="D88" s="572" t="s">
        <v>1136</v>
      </c>
      <c r="E88" s="210" t="s">
        <v>1137</v>
      </c>
      <c r="F88" s="210" t="s">
        <v>640</v>
      </c>
      <c r="G88" s="210">
        <v>2.0</v>
      </c>
      <c r="H88" s="210">
        <v>1.0</v>
      </c>
      <c r="I88" s="210">
        <v>3.0</v>
      </c>
      <c r="J88" s="277">
        <v>1.16</v>
      </c>
      <c r="K88" s="363"/>
      <c r="L88" s="278"/>
      <c r="M88" s="278">
        <f t="shared" ref="M88:M104" si="5">I88*J88</f>
        <v>3.48</v>
      </c>
      <c r="N88" s="363" t="s">
        <v>1132</v>
      </c>
      <c r="O88" s="210" t="s">
        <v>1138</v>
      </c>
      <c r="P88" s="290" t="s">
        <v>1139</v>
      </c>
      <c r="Q88" s="221" t="s">
        <v>724</v>
      </c>
      <c r="R88" s="221" t="s">
        <v>1127</v>
      </c>
      <c r="S88" s="213"/>
      <c r="T88" s="213"/>
      <c r="U88" s="213"/>
      <c r="V88" s="210" t="s">
        <v>479</v>
      </c>
      <c r="W88" s="210" t="s">
        <v>437</v>
      </c>
      <c r="X88" s="210" t="s">
        <v>650</v>
      </c>
      <c r="Y88" s="210" t="s">
        <v>651</v>
      </c>
      <c r="Z88" s="213"/>
      <c r="AA88" s="213"/>
      <c r="AB88" s="213"/>
      <c r="AC88" s="213"/>
      <c r="AD88" s="213"/>
      <c r="AE88" s="213"/>
      <c r="AF88" s="37" t="s">
        <v>845</v>
      </c>
    </row>
    <row r="89">
      <c r="A89" s="210" t="s">
        <v>678</v>
      </c>
      <c r="B89" s="210" t="s">
        <v>1121</v>
      </c>
      <c r="C89" s="210" t="s">
        <v>1140</v>
      </c>
      <c r="D89" s="573" t="s">
        <v>1141</v>
      </c>
      <c r="E89" s="210" t="s">
        <v>1142</v>
      </c>
      <c r="F89" s="210" t="s">
        <v>640</v>
      </c>
      <c r="G89" s="210">
        <v>3.0</v>
      </c>
      <c r="H89" s="210">
        <v>0.0</v>
      </c>
      <c r="I89" s="210">
        <v>2.0</v>
      </c>
      <c r="J89" s="277">
        <v>1.14</v>
      </c>
      <c r="K89" s="363"/>
      <c r="L89" s="278"/>
      <c r="M89" s="278">
        <f t="shared" si="5"/>
        <v>2.28</v>
      </c>
      <c r="N89" s="363" t="s">
        <v>1132</v>
      </c>
      <c r="O89" s="210" t="s">
        <v>1143</v>
      </c>
      <c r="P89" s="290" t="s">
        <v>1144</v>
      </c>
      <c r="Q89" s="221" t="s">
        <v>724</v>
      </c>
      <c r="R89" s="221" t="s">
        <v>1127</v>
      </c>
      <c r="S89" s="213"/>
      <c r="T89" s="213"/>
      <c r="U89" s="213"/>
      <c r="V89" s="210" t="s">
        <v>479</v>
      </c>
      <c r="W89" s="210" t="s">
        <v>437</v>
      </c>
      <c r="X89" s="210" t="s">
        <v>650</v>
      </c>
      <c r="Y89" s="210" t="s">
        <v>651</v>
      </c>
      <c r="Z89" s="213"/>
      <c r="AA89" s="213"/>
      <c r="AB89" s="213"/>
      <c r="AC89" s="213"/>
      <c r="AD89" s="213"/>
      <c r="AE89" s="213"/>
      <c r="AF89" s="37" t="s">
        <v>845</v>
      </c>
    </row>
    <row r="90" hidden="1">
      <c r="A90" s="259"/>
      <c r="B90" s="259"/>
      <c r="C90" s="259"/>
      <c r="D90" s="574"/>
      <c r="E90" s="259"/>
      <c r="F90" s="259"/>
      <c r="G90" s="537"/>
      <c r="H90" s="259"/>
      <c r="I90" s="537"/>
      <c r="J90" s="575"/>
      <c r="K90" s="575"/>
      <c r="L90" s="575"/>
      <c r="M90" s="575">
        <f t="shared" si="5"/>
        <v>0</v>
      </c>
      <c r="N90" s="259"/>
      <c r="O90" s="537"/>
      <c r="P90" s="537"/>
      <c r="Q90" s="260" t="s">
        <v>724</v>
      </c>
      <c r="R90" s="260" t="s">
        <v>1127</v>
      </c>
      <c r="S90" s="259"/>
      <c r="T90" s="259"/>
      <c r="U90" s="259"/>
      <c r="V90" s="537"/>
      <c r="W90" s="210" t="s">
        <v>437</v>
      </c>
      <c r="X90" s="210" t="s">
        <v>650</v>
      </c>
      <c r="Y90" s="210" t="s">
        <v>651</v>
      </c>
      <c r="Z90" s="259"/>
      <c r="AA90" s="259"/>
      <c r="AB90" s="259"/>
      <c r="AC90" s="259"/>
      <c r="AD90" s="259"/>
      <c r="AE90" s="259"/>
      <c r="AF90" s="37" t="s">
        <v>845</v>
      </c>
    </row>
    <row r="91" hidden="1">
      <c r="A91" s="259"/>
      <c r="B91" s="259"/>
      <c r="C91" s="259"/>
      <c r="D91" s="574"/>
      <c r="E91" s="259"/>
      <c r="F91" s="259"/>
      <c r="G91" s="259"/>
      <c r="H91" s="259"/>
      <c r="I91" s="259"/>
      <c r="J91" s="575"/>
      <c r="K91" s="575"/>
      <c r="L91" s="575"/>
      <c r="M91" s="575">
        <f t="shared" si="5"/>
        <v>0</v>
      </c>
      <c r="N91" s="259"/>
      <c r="O91" s="537"/>
      <c r="P91" s="537"/>
      <c r="Q91" s="260" t="s">
        <v>724</v>
      </c>
      <c r="R91" s="260" t="s">
        <v>1127</v>
      </c>
      <c r="S91" s="259"/>
      <c r="T91" s="259"/>
      <c r="U91" s="259"/>
      <c r="V91" s="537"/>
      <c r="W91" s="210" t="s">
        <v>437</v>
      </c>
      <c r="X91" s="210" t="s">
        <v>650</v>
      </c>
      <c r="Y91" s="210" t="s">
        <v>651</v>
      </c>
      <c r="Z91" s="259"/>
      <c r="AA91" s="259"/>
      <c r="AB91" s="259"/>
      <c r="AC91" s="259"/>
      <c r="AD91" s="259"/>
      <c r="AE91" s="259"/>
      <c r="AF91" s="37" t="s">
        <v>845</v>
      </c>
    </row>
    <row r="92" hidden="1">
      <c r="A92" s="259"/>
      <c r="B92" s="259"/>
      <c r="C92" s="259"/>
      <c r="D92" s="574"/>
      <c r="E92" s="259"/>
      <c r="F92" s="259"/>
      <c r="G92" s="537"/>
      <c r="H92" s="259"/>
      <c r="I92" s="537"/>
      <c r="J92" s="575"/>
      <c r="K92" s="575"/>
      <c r="L92" s="575"/>
      <c r="M92" s="575">
        <f t="shared" si="5"/>
        <v>0</v>
      </c>
      <c r="N92" s="259"/>
      <c r="O92" s="537"/>
      <c r="P92" s="537"/>
      <c r="Q92" s="260" t="s">
        <v>724</v>
      </c>
      <c r="R92" s="260" t="s">
        <v>1127</v>
      </c>
      <c r="S92" s="259"/>
      <c r="T92" s="259"/>
      <c r="U92" s="259"/>
      <c r="V92" s="537"/>
      <c r="W92" s="210" t="s">
        <v>437</v>
      </c>
      <c r="X92" s="210" t="s">
        <v>650</v>
      </c>
      <c r="Y92" s="210" t="s">
        <v>651</v>
      </c>
      <c r="Z92" s="259"/>
      <c r="AA92" s="259"/>
      <c r="AB92" s="259"/>
      <c r="AC92" s="259"/>
      <c r="AD92" s="259"/>
      <c r="AE92" s="259"/>
      <c r="AF92" s="37" t="s">
        <v>845</v>
      </c>
    </row>
    <row r="93" hidden="1">
      <c r="A93" s="259"/>
      <c r="B93" s="259"/>
      <c r="C93" s="259"/>
      <c r="D93" s="574"/>
      <c r="E93" s="259"/>
      <c r="F93" s="259"/>
      <c r="G93" s="537"/>
      <c r="H93" s="259"/>
      <c r="I93" s="537"/>
      <c r="J93" s="575"/>
      <c r="K93" s="575"/>
      <c r="L93" s="575"/>
      <c r="M93" s="575">
        <f t="shared" si="5"/>
        <v>0</v>
      </c>
      <c r="N93" s="259"/>
      <c r="O93" s="537"/>
      <c r="P93" s="537"/>
      <c r="Q93" s="260" t="s">
        <v>724</v>
      </c>
      <c r="R93" s="260" t="s">
        <v>1127</v>
      </c>
      <c r="S93" s="259"/>
      <c r="T93" s="259"/>
      <c r="U93" s="259"/>
      <c r="V93" s="537"/>
      <c r="W93" s="210" t="s">
        <v>437</v>
      </c>
      <c r="X93" s="210" t="s">
        <v>650</v>
      </c>
      <c r="Y93" s="210" t="s">
        <v>651</v>
      </c>
      <c r="Z93" s="259"/>
      <c r="AA93" s="259"/>
      <c r="AB93" s="259"/>
      <c r="AC93" s="259"/>
      <c r="AD93" s="259"/>
      <c r="AE93" s="259"/>
      <c r="AF93" s="37" t="s">
        <v>845</v>
      </c>
    </row>
    <row r="94" hidden="1">
      <c r="A94" s="259"/>
      <c r="B94" s="259"/>
      <c r="C94" s="259"/>
      <c r="D94" s="576"/>
      <c r="E94" s="259"/>
      <c r="F94" s="259"/>
      <c r="G94" s="259"/>
      <c r="H94" s="259"/>
      <c r="I94" s="259"/>
      <c r="J94" s="575"/>
      <c r="K94" s="575"/>
      <c r="L94" s="575"/>
      <c r="M94" s="575">
        <f t="shared" si="5"/>
        <v>0</v>
      </c>
      <c r="N94" s="259"/>
      <c r="O94" s="259"/>
      <c r="P94" s="537"/>
      <c r="Q94" s="260" t="s">
        <v>724</v>
      </c>
      <c r="R94" s="260" t="s">
        <v>1127</v>
      </c>
      <c r="S94" s="259"/>
      <c r="T94" s="259"/>
      <c r="U94" s="259"/>
      <c r="V94" s="537"/>
      <c r="W94" s="210" t="s">
        <v>437</v>
      </c>
      <c r="X94" s="210" t="s">
        <v>650</v>
      </c>
      <c r="Y94" s="210" t="s">
        <v>651</v>
      </c>
      <c r="Z94" s="259"/>
      <c r="AA94" s="259"/>
      <c r="AB94" s="259"/>
      <c r="AC94" s="259"/>
      <c r="AD94" s="259"/>
      <c r="AE94" s="259"/>
      <c r="AF94" s="37" t="s">
        <v>845</v>
      </c>
    </row>
    <row r="95" hidden="1">
      <c r="A95" s="259"/>
      <c r="B95" s="259"/>
      <c r="C95" s="259"/>
      <c r="D95" s="576"/>
      <c r="E95" s="259"/>
      <c r="F95" s="259"/>
      <c r="G95" s="259"/>
      <c r="H95" s="259"/>
      <c r="I95" s="259"/>
      <c r="J95" s="575"/>
      <c r="K95" s="575"/>
      <c r="L95" s="575"/>
      <c r="M95" s="575">
        <f t="shared" si="5"/>
        <v>0</v>
      </c>
      <c r="N95" s="259"/>
      <c r="O95" s="259"/>
      <c r="P95" s="537"/>
      <c r="Q95" s="260" t="s">
        <v>724</v>
      </c>
      <c r="R95" s="260" t="s">
        <v>1127</v>
      </c>
      <c r="S95" s="259"/>
      <c r="T95" s="259"/>
      <c r="U95" s="259"/>
      <c r="V95" s="537"/>
      <c r="W95" s="210" t="s">
        <v>437</v>
      </c>
      <c r="X95" s="210" t="s">
        <v>650</v>
      </c>
      <c r="Y95" s="210" t="s">
        <v>651</v>
      </c>
      <c r="Z95" s="259"/>
      <c r="AA95" s="259"/>
      <c r="AB95" s="259"/>
      <c r="AC95" s="259"/>
      <c r="AD95" s="259"/>
      <c r="AE95" s="259"/>
      <c r="AF95" s="37" t="s">
        <v>845</v>
      </c>
    </row>
    <row r="96" hidden="1">
      <c r="A96" s="537"/>
      <c r="B96" s="259"/>
      <c r="C96" s="537"/>
      <c r="D96" s="574"/>
      <c r="E96" s="259"/>
      <c r="F96" s="259"/>
      <c r="G96" s="537"/>
      <c r="H96" s="537"/>
      <c r="I96" s="258">
        <v>1.0</v>
      </c>
      <c r="J96" s="575"/>
      <c r="K96" s="575"/>
      <c r="L96" s="575"/>
      <c r="M96" s="575">
        <f t="shared" si="5"/>
        <v>0</v>
      </c>
      <c r="N96" s="259"/>
      <c r="O96" s="537"/>
      <c r="P96" s="537"/>
      <c r="Q96" s="260" t="s">
        <v>724</v>
      </c>
      <c r="R96" s="260" t="s">
        <v>1127</v>
      </c>
      <c r="S96" s="259"/>
      <c r="T96" s="259"/>
      <c r="U96" s="259"/>
      <c r="V96" s="537"/>
      <c r="W96" s="210" t="s">
        <v>437</v>
      </c>
      <c r="X96" s="210" t="s">
        <v>650</v>
      </c>
      <c r="Y96" s="210" t="s">
        <v>651</v>
      </c>
      <c r="Z96" s="259"/>
      <c r="AA96" s="259"/>
      <c r="AB96" s="259"/>
      <c r="AC96" s="259"/>
      <c r="AD96" s="259"/>
      <c r="AE96" s="259"/>
      <c r="AF96" s="37" t="s">
        <v>845</v>
      </c>
    </row>
    <row r="97" ht="15.75" customHeight="1">
      <c r="A97" s="210" t="s">
        <v>678</v>
      </c>
      <c r="B97" s="210" t="s">
        <v>1121</v>
      </c>
      <c r="C97" s="210" t="s">
        <v>678</v>
      </c>
      <c r="D97" s="577" t="s">
        <v>1145</v>
      </c>
      <c r="E97" s="210" t="s">
        <v>1146</v>
      </c>
      <c r="F97" s="210" t="s">
        <v>640</v>
      </c>
      <c r="G97" s="210">
        <v>1.0</v>
      </c>
      <c r="H97" s="210">
        <v>1.0</v>
      </c>
      <c r="I97" s="210">
        <v>1.0</v>
      </c>
      <c r="J97" s="578">
        <v>3.18</v>
      </c>
      <c r="K97" s="363"/>
      <c r="L97" s="278"/>
      <c r="M97" s="278">
        <f t="shared" si="5"/>
        <v>3.18</v>
      </c>
      <c r="N97" s="363" t="s">
        <v>1132</v>
      </c>
      <c r="O97" s="210" t="s">
        <v>1147</v>
      </c>
      <c r="P97" s="346" t="s">
        <v>1148</v>
      </c>
      <c r="Q97" s="221" t="s">
        <v>724</v>
      </c>
      <c r="R97" s="221" t="s">
        <v>508</v>
      </c>
      <c r="S97" s="213"/>
      <c r="T97" s="213"/>
      <c r="U97" s="213"/>
      <c r="V97" s="210" t="s">
        <v>479</v>
      </c>
      <c r="W97" s="210" t="s">
        <v>437</v>
      </c>
      <c r="X97" s="210" t="s">
        <v>650</v>
      </c>
      <c r="Y97" s="210" t="s">
        <v>651</v>
      </c>
      <c r="Z97" s="213"/>
      <c r="AA97" s="213"/>
      <c r="AB97" s="213"/>
      <c r="AC97" s="213"/>
      <c r="AD97" s="213"/>
      <c r="AE97" s="213"/>
      <c r="AF97" s="37" t="s">
        <v>845</v>
      </c>
    </row>
    <row r="98">
      <c r="A98" s="210" t="s">
        <v>753</v>
      </c>
      <c r="B98" s="210" t="s">
        <v>1121</v>
      </c>
      <c r="C98" s="210" t="s">
        <v>678</v>
      </c>
      <c r="D98" s="572" t="s">
        <v>1149</v>
      </c>
      <c r="E98" s="210" t="s">
        <v>1150</v>
      </c>
      <c r="F98" s="210" t="s">
        <v>640</v>
      </c>
      <c r="G98" s="210">
        <v>2.0</v>
      </c>
      <c r="H98" s="210">
        <v>0.0</v>
      </c>
      <c r="I98" s="210">
        <v>2.0</v>
      </c>
      <c r="J98" s="277">
        <v>1.21</v>
      </c>
      <c r="K98" s="278"/>
      <c r="L98" s="278"/>
      <c r="M98" s="278">
        <f t="shared" si="5"/>
        <v>2.42</v>
      </c>
      <c r="N98" s="363" t="s">
        <v>1132</v>
      </c>
      <c r="O98" s="210" t="s">
        <v>1151</v>
      </c>
      <c r="P98" s="290" t="s">
        <v>1152</v>
      </c>
      <c r="Q98" s="221" t="s">
        <v>724</v>
      </c>
      <c r="R98" s="221" t="s">
        <v>1127</v>
      </c>
      <c r="S98" s="213"/>
      <c r="T98" s="213"/>
      <c r="U98" s="213"/>
      <c r="V98" s="210" t="s">
        <v>479</v>
      </c>
      <c r="W98" s="210" t="s">
        <v>437</v>
      </c>
      <c r="X98" s="210" t="s">
        <v>650</v>
      </c>
      <c r="Y98" s="210" t="s">
        <v>651</v>
      </c>
      <c r="Z98" s="213"/>
      <c r="AA98" s="213"/>
      <c r="AB98" s="213"/>
      <c r="AC98" s="213"/>
      <c r="AD98" s="213"/>
      <c r="AE98" s="213"/>
      <c r="AF98" s="37" t="s">
        <v>845</v>
      </c>
    </row>
    <row r="99">
      <c r="A99" s="210" t="s">
        <v>753</v>
      </c>
      <c r="B99" s="210" t="s">
        <v>1121</v>
      </c>
      <c r="C99" s="210" t="s">
        <v>1129</v>
      </c>
      <c r="D99" s="572" t="s">
        <v>1153</v>
      </c>
      <c r="E99" s="210" t="s">
        <v>1154</v>
      </c>
      <c r="F99" s="210" t="s">
        <v>640</v>
      </c>
      <c r="G99" s="210">
        <v>1.0</v>
      </c>
      <c r="H99" s="210">
        <v>0.0</v>
      </c>
      <c r="I99" s="210">
        <v>1.0</v>
      </c>
      <c r="J99" s="277">
        <v>4.48</v>
      </c>
      <c r="K99" s="278"/>
      <c r="L99" s="278"/>
      <c r="M99" s="278">
        <f t="shared" si="5"/>
        <v>4.48</v>
      </c>
      <c r="N99" s="363" t="s">
        <v>1132</v>
      </c>
      <c r="O99" s="210" t="s">
        <v>1155</v>
      </c>
      <c r="P99" s="290" t="s">
        <v>1156</v>
      </c>
      <c r="Q99" s="221" t="s">
        <v>724</v>
      </c>
      <c r="R99" s="221" t="s">
        <v>1127</v>
      </c>
      <c r="S99" s="213"/>
      <c r="T99" s="213"/>
      <c r="U99" s="213"/>
      <c r="V99" s="210" t="s">
        <v>479</v>
      </c>
      <c r="W99" s="210" t="s">
        <v>437</v>
      </c>
      <c r="X99" s="210" t="s">
        <v>650</v>
      </c>
      <c r="Y99" s="210" t="s">
        <v>651</v>
      </c>
      <c r="Z99" s="213"/>
      <c r="AA99" s="213"/>
      <c r="AB99" s="213"/>
      <c r="AC99" s="213"/>
      <c r="AD99" s="213"/>
      <c r="AE99" s="213"/>
      <c r="AF99" s="37" t="s">
        <v>845</v>
      </c>
    </row>
    <row r="100">
      <c r="A100" s="210" t="s">
        <v>753</v>
      </c>
      <c r="B100" s="210" t="s">
        <v>1121</v>
      </c>
      <c r="C100" s="210" t="s">
        <v>1129</v>
      </c>
      <c r="D100" s="572" t="s">
        <v>1157</v>
      </c>
      <c r="E100" s="210" t="s">
        <v>1158</v>
      </c>
      <c r="F100" s="210" t="s">
        <v>640</v>
      </c>
      <c r="G100" s="210">
        <v>1.0</v>
      </c>
      <c r="H100" s="210">
        <v>0.0</v>
      </c>
      <c r="I100" s="210">
        <v>1.0</v>
      </c>
      <c r="J100" s="277">
        <v>4.48</v>
      </c>
      <c r="K100" s="278"/>
      <c r="L100" s="278"/>
      <c r="M100" s="278">
        <f t="shared" si="5"/>
        <v>4.48</v>
      </c>
      <c r="N100" s="363" t="s">
        <v>1132</v>
      </c>
      <c r="O100" s="210" t="s">
        <v>1159</v>
      </c>
      <c r="P100" s="290" t="s">
        <v>1160</v>
      </c>
      <c r="Q100" s="221" t="s">
        <v>724</v>
      </c>
      <c r="R100" s="221" t="s">
        <v>1127</v>
      </c>
      <c r="S100" s="213"/>
      <c r="T100" s="213"/>
      <c r="U100" s="213"/>
      <c r="V100" s="210" t="s">
        <v>479</v>
      </c>
      <c r="W100" s="210" t="s">
        <v>437</v>
      </c>
      <c r="X100" s="210" t="s">
        <v>650</v>
      </c>
      <c r="Y100" s="210" t="s">
        <v>651</v>
      </c>
      <c r="Z100" s="213"/>
      <c r="AA100" s="213"/>
      <c r="AB100" s="213"/>
      <c r="AC100" s="213"/>
      <c r="AD100" s="213"/>
      <c r="AE100" s="213"/>
      <c r="AF100" s="37" t="s">
        <v>845</v>
      </c>
    </row>
    <row r="101" ht="15.75" customHeight="1">
      <c r="A101" s="210" t="s">
        <v>753</v>
      </c>
      <c r="B101" s="210" t="s">
        <v>1121</v>
      </c>
      <c r="C101" s="210" t="s">
        <v>1161</v>
      </c>
      <c r="D101" s="572" t="s">
        <v>1162</v>
      </c>
      <c r="E101" s="210" t="s">
        <v>1163</v>
      </c>
      <c r="F101" s="210" t="s">
        <v>640</v>
      </c>
      <c r="G101" s="210">
        <v>5.0</v>
      </c>
      <c r="H101" s="210">
        <v>3.0</v>
      </c>
      <c r="I101" s="210">
        <v>1.0</v>
      </c>
      <c r="J101" s="277">
        <v>7.53</v>
      </c>
      <c r="K101" s="278"/>
      <c r="L101" s="278"/>
      <c r="M101" s="278">
        <f t="shared" si="5"/>
        <v>7.53</v>
      </c>
      <c r="N101" s="363" t="s">
        <v>1132</v>
      </c>
      <c r="O101" s="210" t="s">
        <v>1164</v>
      </c>
      <c r="P101" s="333" t="s">
        <v>1165</v>
      </c>
      <c r="Q101" s="221" t="s">
        <v>724</v>
      </c>
      <c r="R101" s="221" t="s">
        <v>1127</v>
      </c>
      <c r="S101" s="213"/>
      <c r="T101" s="213"/>
      <c r="U101" s="213"/>
      <c r="V101" s="210" t="s">
        <v>479</v>
      </c>
      <c r="W101" s="210" t="s">
        <v>437</v>
      </c>
      <c r="X101" s="210" t="s">
        <v>650</v>
      </c>
      <c r="Y101" s="210" t="s">
        <v>651</v>
      </c>
      <c r="Z101" s="213"/>
      <c r="AA101" s="213"/>
      <c r="AB101" s="213"/>
      <c r="AC101" s="213"/>
      <c r="AD101" s="213"/>
      <c r="AE101" s="213"/>
      <c r="AF101" s="37" t="s">
        <v>845</v>
      </c>
    </row>
    <row r="102">
      <c r="A102" s="210" t="s">
        <v>753</v>
      </c>
      <c r="B102" s="210" t="s">
        <v>1121</v>
      </c>
      <c r="C102" s="210" t="s">
        <v>1129</v>
      </c>
      <c r="D102" s="572" t="s">
        <v>1166</v>
      </c>
      <c r="E102" s="210" t="s">
        <v>1167</v>
      </c>
      <c r="F102" s="210" t="s">
        <v>640</v>
      </c>
      <c r="G102" s="436"/>
      <c r="H102" s="213"/>
      <c r="I102" s="210">
        <v>1.0</v>
      </c>
      <c r="J102" s="277">
        <v>1.37</v>
      </c>
      <c r="K102" s="278"/>
      <c r="L102" s="278"/>
      <c r="M102" s="278">
        <f t="shared" si="5"/>
        <v>1.37</v>
      </c>
      <c r="N102" s="363" t="s">
        <v>1132</v>
      </c>
      <c r="O102" s="210" t="s">
        <v>1168</v>
      </c>
      <c r="P102" s="290" t="s">
        <v>1169</v>
      </c>
      <c r="Q102" s="221" t="s">
        <v>724</v>
      </c>
      <c r="R102" s="221" t="s">
        <v>1127</v>
      </c>
      <c r="S102" s="213"/>
      <c r="T102" s="213"/>
      <c r="U102" s="213"/>
      <c r="V102" s="210" t="s">
        <v>479</v>
      </c>
      <c r="W102" s="210" t="s">
        <v>437</v>
      </c>
      <c r="X102" s="210" t="s">
        <v>650</v>
      </c>
      <c r="Y102" s="210" t="s">
        <v>651</v>
      </c>
      <c r="Z102" s="213"/>
      <c r="AA102" s="213"/>
      <c r="AB102" s="213"/>
      <c r="AC102" s="213"/>
      <c r="AD102" s="213"/>
      <c r="AE102" s="213"/>
      <c r="AF102" s="37" t="s">
        <v>845</v>
      </c>
    </row>
    <row r="103">
      <c r="A103" s="210" t="s">
        <v>753</v>
      </c>
      <c r="B103" s="210" t="s">
        <v>1121</v>
      </c>
      <c r="C103" s="210" t="s">
        <v>1170</v>
      </c>
      <c r="D103" s="572" t="s">
        <v>1171</v>
      </c>
      <c r="E103" s="210" t="s">
        <v>1172</v>
      </c>
      <c r="F103" s="210" t="s">
        <v>640</v>
      </c>
      <c r="G103" s="436"/>
      <c r="H103" s="213"/>
      <c r="I103" s="210">
        <v>1.0</v>
      </c>
      <c r="J103" s="277">
        <v>3.31</v>
      </c>
      <c r="K103" s="278"/>
      <c r="L103" s="278"/>
      <c r="M103" s="278">
        <f t="shared" si="5"/>
        <v>3.31</v>
      </c>
      <c r="N103" s="363" t="s">
        <v>1132</v>
      </c>
      <c r="O103" s="210" t="s">
        <v>1173</v>
      </c>
      <c r="P103" s="290" t="s">
        <v>1174</v>
      </c>
      <c r="Q103" s="221" t="s">
        <v>724</v>
      </c>
      <c r="R103" s="221" t="s">
        <v>1127</v>
      </c>
      <c r="S103" s="213"/>
      <c r="T103" s="213"/>
      <c r="U103" s="213"/>
      <c r="V103" s="210" t="s">
        <v>479</v>
      </c>
      <c r="W103" s="210" t="s">
        <v>437</v>
      </c>
      <c r="X103" s="210" t="s">
        <v>650</v>
      </c>
      <c r="Y103" s="210" t="s">
        <v>651</v>
      </c>
      <c r="Z103" s="213"/>
      <c r="AA103" s="213"/>
      <c r="AB103" s="213"/>
      <c r="AC103" s="213"/>
      <c r="AD103" s="213"/>
      <c r="AE103" s="213"/>
      <c r="AF103" s="37" t="s">
        <v>845</v>
      </c>
    </row>
    <row r="104">
      <c r="A104" s="210" t="s">
        <v>753</v>
      </c>
      <c r="B104" s="210" t="s">
        <v>1121</v>
      </c>
      <c r="C104" s="210" t="s">
        <v>1170</v>
      </c>
      <c r="D104" s="572" t="s">
        <v>1175</v>
      </c>
      <c r="E104" s="210" t="s">
        <v>1176</v>
      </c>
      <c r="F104" s="210" t="s">
        <v>640</v>
      </c>
      <c r="G104" s="436"/>
      <c r="H104" s="213"/>
      <c r="I104" s="210">
        <v>1.0</v>
      </c>
      <c r="J104" s="277">
        <v>9.75</v>
      </c>
      <c r="K104" s="278"/>
      <c r="L104" s="278"/>
      <c r="M104" s="278">
        <f t="shared" si="5"/>
        <v>9.75</v>
      </c>
      <c r="N104" s="363" t="s">
        <v>1132</v>
      </c>
      <c r="O104" s="210" t="s">
        <v>1177</v>
      </c>
      <c r="P104" s="290" t="s">
        <v>1178</v>
      </c>
      <c r="Q104" s="221" t="s">
        <v>724</v>
      </c>
      <c r="R104" s="221" t="s">
        <v>1127</v>
      </c>
      <c r="S104" s="213"/>
      <c r="T104" s="213"/>
      <c r="U104" s="213"/>
      <c r="V104" s="210" t="s">
        <v>479</v>
      </c>
      <c r="W104" s="210" t="s">
        <v>437</v>
      </c>
      <c r="X104" s="210" t="s">
        <v>650</v>
      </c>
      <c r="Y104" s="210" t="s">
        <v>651</v>
      </c>
      <c r="Z104" s="213"/>
      <c r="AA104" s="213"/>
      <c r="AB104" s="213"/>
      <c r="AC104" s="213"/>
      <c r="AD104" s="213"/>
      <c r="AE104" s="213"/>
      <c r="AF104" s="37" t="s">
        <v>845</v>
      </c>
    </row>
    <row r="105">
      <c r="A105" s="258" t="s">
        <v>656</v>
      </c>
      <c r="B105" s="258" t="s">
        <v>1179</v>
      </c>
      <c r="C105" s="258" t="s">
        <v>1180</v>
      </c>
      <c r="D105" s="579" t="s">
        <v>1181</v>
      </c>
      <c r="E105" s="258"/>
      <c r="F105" s="258" t="s">
        <v>640</v>
      </c>
      <c r="G105" s="537"/>
      <c r="H105" s="259"/>
      <c r="I105" s="259"/>
      <c r="J105" s="580">
        <v>41.99</v>
      </c>
      <c r="K105" s="580">
        <v>50.0</v>
      </c>
      <c r="L105" s="575"/>
      <c r="M105" s="575">
        <f>SUM(J105:K105)</f>
        <v>91.99</v>
      </c>
      <c r="N105" s="258" t="s">
        <v>1182</v>
      </c>
      <c r="O105" s="258" t="s">
        <v>1183</v>
      </c>
      <c r="P105" s="581" t="s">
        <v>1184</v>
      </c>
      <c r="Q105" s="258" t="s">
        <v>724</v>
      </c>
      <c r="R105" s="260" t="s">
        <v>508</v>
      </c>
      <c r="S105" s="259"/>
      <c r="T105" s="259"/>
      <c r="U105" s="259"/>
      <c r="V105" s="210" t="s">
        <v>479</v>
      </c>
      <c r="W105" s="210" t="s">
        <v>437</v>
      </c>
      <c r="X105" s="210" t="s">
        <v>650</v>
      </c>
      <c r="Y105" s="37" t="s">
        <v>696</v>
      </c>
      <c r="AF105" s="37" t="s">
        <v>677</v>
      </c>
    </row>
    <row r="106">
      <c r="A106" s="82"/>
    </row>
    <row r="107">
      <c r="A107" s="491" t="s">
        <v>987</v>
      </c>
      <c r="C107" s="228"/>
      <c r="D107" s="492"/>
      <c r="E107" s="582"/>
      <c r="F107" s="582"/>
      <c r="G107" s="583"/>
      <c r="H107" s="582"/>
      <c r="I107" s="583"/>
      <c r="J107" s="584"/>
      <c r="K107" s="557"/>
      <c r="L107" s="557"/>
      <c r="M107" s="584">
        <f>SUM(M86:M105)</f>
        <v>143.2652</v>
      </c>
      <c r="N107" s="228"/>
      <c r="O107" s="323"/>
      <c r="P107" s="323"/>
      <c r="Q107" s="543"/>
      <c r="R107" s="320"/>
      <c r="S107" s="228"/>
      <c r="T107" s="228"/>
      <c r="U107" s="228"/>
      <c r="V107" s="543"/>
      <c r="W107" s="543"/>
      <c r="X107" s="543"/>
      <c r="Y107" s="543"/>
      <c r="Z107" s="228"/>
      <c r="AA107" s="228"/>
      <c r="AB107" s="228"/>
      <c r="AC107" s="228"/>
      <c r="AD107" s="228"/>
      <c r="AE107" s="228"/>
      <c r="AF107" s="543"/>
    </row>
    <row r="108" ht="15.75" customHeight="1">
      <c r="A108" s="559" t="s">
        <v>1185</v>
      </c>
      <c r="H108" s="207"/>
      <c r="I108" s="207"/>
      <c r="J108" s="585"/>
      <c r="K108" s="585"/>
      <c r="L108" s="585"/>
      <c r="M108" s="585"/>
      <c r="N108" s="207"/>
      <c r="O108" s="207"/>
      <c r="P108" s="495"/>
      <c r="Q108" s="207"/>
      <c r="R108" s="207"/>
      <c r="S108" s="207"/>
      <c r="T108" s="207"/>
      <c r="U108" s="495"/>
      <c r="V108" s="586"/>
      <c r="W108" s="207"/>
      <c r="X108" s="464"/>
      <c r="Y108" s="464"/>
      <c r="Z108" s="207"/>
      <c r="AA108" s="207"/>
      <c r="AB108" s="207"/>
      <c r="AC108" s="208"/>
      <c r="AD108" s="208"/>
      <c r="AE108" s="207"/>
      <c r="AF108" s="207"/>
    </row>
    <row r="109" ht="15.75" customHeight="1">
      <c r="A109" s="587" t="s">
        <v>656</v>
      </c>
      <c r="B109" s="587" t="s">
        <v>1186</v>
      </c>
      <c r="C109" s="587" t="s">
        <v>1187</v>
      </c>
      <c r="D109" s="587" t="s">
        <v>1188</v>
      </c>
      <c r="E109" s="587" t="s">
        <v>1189</v>
      </c>
      <c r="F109" s="587" t="s">
        <v>640</v>
      </c>
      <c r="G109" s="587">
        <v>1.0</v>
      </c>
      <c r="H109" s="588"/>
      <c r="I109" s="587">
        <v>1.0</v>
      </c>
      <c r="J109" s="589">
        <v>145.16</v>
      </c>
      <c r="K109" s="590"/>
      <c r="L109" s="590"/>
      <c r="M109" s="589">
        <v>145.16</v>
      </c>
      <c r="N109" s="587" t="s">
        <v>641</v>
      </c>
      <c r="O109" s="306"/>
      <c r="P109" s="591" t="s">
        <v>712</v>
      </c>
      <c r="Q109" s="588"/>
      <c r="R109" s="587" t="s">
        <v>544</v>
      </c>
      <c r="S109" s="306"/>
      <c r="T109" s="306"/>
      <c r="U109" s="587" t="s">
        <v>1190</v>
      </c>
      <c r="V109" s="306"/>
      <c r="W109" s="588"/>
      <c r="X109" s="306"/>
      <c r="Y109" s="588"/>
      <c r="Z109" s="306"/>
      <c r="AA109" s="306"/>
      <c r="AB109" s="306"/>
      <c r="AC109" s="306"/>
      <c r="AD109" s="306"/>
      <c r="AE109" s="306"/>
      <c r="AF109" s="306"/>
    </row>
    <row r="110" ht="15.75" customHeight="1">
      <c r="A110" s="587" t="s">
        <v>656</v>
      </c>
      <c r="B110" s="587" t="s">
        <v>1186</v>
      </c>
      <c r="C110" s="587" t="s">
        <v>1187</v>
      </c>
      <c r="D110" s="587" t="s">
        <v>1191</v>
      </c>
      <c r="E110" s="587" t="s">
        <v>1192</v>
      </c>
      <c r="F110" s="587" t="s">
        <v>640</v>
      </c>
      <c r="G110" s="587">
        <v>1.0</v>
      </c>
      <c r="H110" s="588"/>
      <c r="I110" s="587">
        <v>1.0</v>
      </c>
      <c r="J110" s="589">
        <v>97.41</v>
      </c>
      <c r="K110" s="590"/>
      <c r="L110" s="590"/>
      <c r="M110" s="589">
        <v>97.41</v>
      </c>
      <c r="N110" s="587" t="s">
        <v>641</v>
      </c>
      <c r="O110" s="306"/>
      <c r="P110" s="591" t="s">
        <v>712</v>
      </c>
      <c r="Q110" s="588"/>
      <c r="R110" s="587" t="s">
        <v>544</v>
      </c>
      <c r="S110" s="306"/>
      <c r="T110" s="306"/>
      <c r="U110" s="306"/>
      <c r="V110" s="587" t="s">
        <v>479</v>
      </c>
      <c r="W110" s="587" t="s">
        <v>437</v>
      </c>
      <c r="X110" s="587" t="s">
        <v>650</v>
      </c>
      <c r="Y110" s="587" t="s">
        <v>544</v>
      </c>
      <c r="Z110" s="306"/>
      <c r="AA110" s="306"/>
      <c r="AB110" s="306"/>
      <c r="AC110" s="306"/>
      <c r="AD110" s="306"/>
      <c r="AE110" s="306"/>
      <c r="AF110" s="587" t="s">
        <v>837</v>
      </c>
    </row>
    <row r="111" ht="15.75" customHeight="1">
      <c r="A111" s="587" t="s">
        <v>656</v>
      </c>
      <c r="B111" s="587" t="s">
        <v>1186</v>
      </c>
      <c r="C111" s="587" t="s">
        <v>1187</v>
      </c>
      <c r="D111" s="587" t="s">
        <v>1193</v>
      </c>
      <c r="E111" s="587" t="s">
        <v>1194</v>
      </c>
      <c r="F111" s="587" t="s">
        <v>640</v>
      </c>
      <c r="G111" s="587">
        <v>1.0</v>
      </c>
      <c r="H111" s="588"/>
      <c r="I111" s="587">
        <v>1.0</v>
      </c>
      <c r="J111" s="589">
        <v>56.51</v>
      </c>
      <c r="K111" s="590"/>
      <c r="L111" s="590"/>
      <c r="M111" s="589">
        <v>63.86</v>
      </c>
      <c r="N111" s="587" t="s">
        <v>641</v>
      </c>
      <c r="O111" s="306"/>
      <c r="P111" s="591" t="s">
        <v>712</v>
      </c>
      <c r="Q111" s="588"/>
      <c r="R111" s="587" t="s">
        <v>544</v>
      </c>
      <c r="S111" s="306"/>
      <c r="T111" s="306"/>
      <c r="U111" s="306"/>
      <c r="V111" s="592" t="s">
        <v>479</v>
      </c>
      <c r="W111" s="587" t="s">
        <v>437</v>
      </c>
      <c r="X111" s="587" t="s">
        <v>650</v>
      </c>
      <c r="Y111" s="587" t="s">
        <v>544</v>
      </c>
      <c r="Z111" s="306"/>
      <c r="AA111" s="306"/>
      <c r="AB111" s="306"/>
      <c r="AC111" s="306"/>
      <c r="AD111" s="306"/>
      <c r="AE111" s="306"/>
      <c r="AF111" s="587" t="s">
        <v>837</v>
      </c>
    </row>
    <row r="112" ht="15.75" customHeight="1">
      <c r="A112" s="587" t="s">
        <v>656</v>
      </c>
      <c r="B112" s="587" t="s">
        <v>1186</v>
      </c>
      <c r="C112" s="587" t="s">
        <v>1187</v>
      </c>
      <c r="D112" s="587" t="s">
        <v>1195</v>
      </c>
      <c r="E112" s="587" t="s">
        <v>1196</v>
      </c>
      <c r="F112" s="587" t="s">
        <v>640</v>
      </c>
      <c r="G112" s="587">
        <v>1.0</v>
      </c>
      <c r="H112" s="588"/>
      <c r="I112" s="587">
        <v>1.0</v>
      </c>
      <c r="J112" s="589">
        <v>38.73</v>
      </c>
      <c r="K112" s="590"/>
      <c r="L112" s="590"/>
      <c r="M112" s="589">
        <v>38.73</v>
      </c>
      <c r="N112" s="587" t="s">
        <v>641</v>
      </c>
      <c r="O112" s="306"/>
      <c r="P112" s="591" t="s">
        <v>712</v>
      </c>
      <c r="Q112" s="588"/>
      <c r="R112" s="587" t="s">
        <v>544</v>
      </c>
      <c r="S112" s="306"/>
      <c r="T112" s="306"/>
      <c r="U112" s="306"/>
      <c r="V112" s="592" t="s">
        <v>479</v>
      </c>
      <c r="W112" s="587" t="s">
        <v>437</v>
      </c>
      <c r="X112" s="587" t="s">
        <v>650</v>
      </c>
      <c r="Y112" s="587" t="s">
        <v>544</v>
      </c>
      <c r="Z112" s="306"/>
      <c r="AA112" s="306"/>
      <c r="AB112" s="306"/>
      <c r="AC112" s="306"/>
      <c r="AD112" s="306"/>
      <c r="AE112" s="306"/>
      <c r="AF112" s="587" t="s">
        <v>837</v>
      </c>
    </row>
    <row r="113" ht="15.75" customHeight="1">
      <c r="A113" s="587" t="s">
        <v>656</v>
      </c>
      <c r="B113" s="587" t="s">
        <v>1186</v>
      </c>
      <c r="C113" s="587" t="s">
        <v>637</v>
      </c>
      <c r="D113" s="587" t="s">
        <v>1197</v>
      </c>
      <c r="E113" s="587" t="s">
        <v>1198</v>
      </c>
      <c r="F113" s="587" t="s">
        <v>640</v>
      </c>
      <c r="G113" s="587">
        <v>1.0</v>
      </c>
      <c r="H113" s="306"/>
      <c r="I113" s="587">
        <v>1.0</v>
      </c>
      <c r="J113" s="589">
        <v>80.22</v>
      </c>
      <c r="K113" s="590"/>
      <c r="L113" s="590"/>
      <c r="M113" s="589">
        <v>90.65</v>
      </c>
      <c r="N113" s="587" t="s">
        <v>641</v>
      </c>
      <c r="O113" s="306"/>
      <c r="P113" s="593" t="s">
        <v>1199</v>
      </c>
      <c r="Q113" s="306"/>
      <c r="R113" s="587" t="s">
        <v>544</v>
      </c>
      <c r="S113" s="306"/>
      <c r="T113" s="306"/>
      <c r="U113" s="306"/>
      <c r="V113" s="592" t="s">
        <v>479</v>
      </c>
      <c r="W113" s="587" t="s">
        <v>437</v>
      </c>
      <c r="X113" s="587" t="s">
        <v>650</v>
      </c>
      <c r="Y113" s="587" t="s">
        <v>544</v>
      </c>
      <c r="Z113" s="306"/>
      <c r="AA113" s="306"/>
      <c r="AB113" s="306"/>
      <c r="AC113" s="306"/>
      <c r="AD113" s="306"/>
      <c r="AE113" s="306"/>
      <c r="AF113" s="587" t="s">
        <v>837</v>
      </c>
    </row>
    <row r="114" ht="15.75" customHeight="1">
      <c r="A114" s="298" t="s">
        <v>753</v>
      </c>
      <c r="B114" s="298" t="s">
        <v>1186</v>
      </c>
      <c r="C114" s="298" t="s">
        <v>1200</v>
      </c>
      <c r="D114" s="298" t="s">
        <v>1201</v>
      </c>
      <c r="E114" s="298" t="s">
        <v>1202</v>
      </c>
      <c r="F114" s="298" t="s">
        <v>640</v>
      </c>
      <c r="G114" s="298">
        <v>1.0</v>
      </c>
      <c r="H114" s="310"/>
      <c r="I114" s="298">
        <v>1.0</v>
      </c>
      <c r="J114" s="594" t="s">
        <v>1203</v>
      </c>
      <c r="K114" s="301"/>
      <c r="L114" s="301"/>
      <c r="M114" s="335">
        <v>0.0</v>
      </c>
      <c r="N114" s="298" t="s">
        <v>1204</v>
      </c>
      <c r="O114" s="298" t="s">
        <v>1201</v>
      </c>
      <c r="P114" s="595" t="s">
        <v>1205</v>
      </c>
      <c r="Q114" s="310"/>
      <c r="R114" s="298" t="s">
        <v>544</v>
      </c>
      <c r="S114" s="310"/>
      <c r="T114" s="310"/>
      <c r="U114" s="310"/>
      <c r="V114" s="366" t="s">
        <v>479</v>
      </c>
      <c r="W114" s="210" t="s">
        <v>437</v>
      </c>
      <c r="X114" s="210" t="s">
        <v>650</v>
      </c>
      <c r="Y114" s="37" t="s">
        <v>1206</v>
      </c>
      <c r="AF114" s="122"/>
    </row>
    <row r="115" ht="15.75" customHeight="1">
      <c r="A115" s="298" t="s">
        <v>753</v>
      </c>
      <c r="B115" s="298" t="s">
        <v>1186</v>
      </c>
      <c r="C115" s="298" t="s">
        <v>1200</v>
      </c>
      <c r="D115" s="298" t="s">
        <v>1207</v>
      </c>
      <c r="E115" s="298" t="s">
        <v>1208</v>
      </c>
      <c r="F115" s="298" t="s">
        <v>640</v>
      </c>
      <c r="G115" s="298">
        <v>1.0</v>
      </c>
      <c r="H115" s="310"/>
      <c r="I115" s="298">
        <v>1.0</v>
      </c>
      <c r="J115" s="594" t="s">
        <v>1203</v>
      </c>
      <c r="K115" s="301"/>
      <c r="L115" s="301"/>
      <c r="M115" s="335">
        <v>0.0</v>
      </c>
      <c r="N115" s="298" t="s">
        <v>1204</v>
      </c>
      <c r="O115" s="298" t="s">
        <v>1207</v>
      </c>
      <c r="P115" s="595" t="s">
        <v>1209</v>
      </c>
      <c r="Q115" s="310"/>
      <c r="R115" s="298" t="s">
        <v>544</v>
      </c>
      <c r="S115" s="310"/>
      <c r="T115" s="310"/>
      <c r="U115" s="310"/>
      <c r="V115" s="366" t="s">
        <v>479</v>
      </c>
      <c r="W115" s="210" t="s">
        <v>437</v>
      </c>
      <c r="X115" s="210" t="s">
        <v>650</v>
      </c>
      <c r="Y115" s="37" t="s">
        <v>1206</v>
      </c>
      <c r="AF115" s="122"/>
    </row>
    <row r="116" ht="15.75" customHeight="1">
      <c r="A116" s="298" t="s">
        <v>753</v>
      </c>
      <c r="B116" s="298" t="s">
        <v>1186</v>
      </c>
      <c r="C116" s="298" t="s">
        <v>1200</v>
      </c>
      <c r="D116" s="298" t="s">
        <v>1210</v>
      </c>
      <c r="E116" s="298" t="s">
        <v>1211</v>
      </c>
      <c r="F116" s="298" t="s">
        <v>640</v>
      </c>
      <c r="G116" s="298">
        <v>1.0</v>
      </c>
      <c r="H116" s="310"/>
      <c r="I116" s="298">
        <v>1.0</v>
      </c>
      <c r="J116" s="594" t="s">
        <v>1203</v>
      </c>
      <c r="K116" s="301"/>
      <c r="L116" s="301"/>
      <c r="M116" s="335">
        <v>0.0</v>
      </c>
      <c r="N116" s="298" t="s">
        <v>1204</v>
      </c>
      <c r="O116" s="298" t="s">
        <v>1210</v>
      </c>
      <c r="P116" s="595" t="s">
        <v>1212</v>
      </c>
      <c r="Q116" s="310"/>
      <c r="R116" s="298" t="s">
        <v>544</v>
      </c>
      <c r="S116" s="310"/>
      <c r="T116" s="310"/>
      <c r="U116" s="310"/>
      <c r="V116" s="366" t="s">
        <v>479</v>
      </c>
      <c r="W116" s="210" t="s">
        <v>437</v>
      </c>
      <c r="X116" s="210" t="s">
        <v>650</v>
      </c>
      <c r="Y116" s="37" t="s">
        <v>1206</v>
      </c>
      <c r="AF116" s="122"/>
    </row>
    <row r="117" ht="15.75" customHeight="1">
      <c r="A117" s="122"/>
    </row>
    <row r="118" ht="15.75" customHeight="1">
      <c r="A118" s="491" t="s">
        <v>664</v>
      </c>
      <c r="C118" s="228"/>
      <c r="D118" s="228"/>
      <c r="E118" s="228"/>
      <c r="F118" s="228"/>
      <c r="G118" s="228"/>
      <c r="H118" s="228"/>
      <c r="I118" s="228"/>
      <c r="J118" s="596"/>
      <c r="K118" s="556"/>
      <c r="L118" s="556"/>
      <c r="M118" s="557">
        <f>SUM(M109:M116)</f>
        <v>435.81</v>
      </c>
      <c r="N118" s="228"/>
      <c r="O118" s="597"/>
      <c r="P118" s="228"/>
      <c r="Q118" s="228"/>
      <c r="R118" s="228"/>
      <c r="S118" s="228"/>
      <c r="T118" s="228"/>
      <c r="U118" s="228"/>
      <c r="V118" s="228"/>
      <c r="W118" s="228"/>
      <c r="X118" s="543"/>
      <c r="Y118" s="228"/>
      <c r="Z118" s="228"/>
      <c r="AA118" s="228"/>
      <c r="AB118" s="228"/>
      <c r="AC118" s="228"/>
      <c r="AD118" s="228"/>
      <c r="AE118" s="228"/>
      <c r="AF118" s="543"/>
    </row>
    <row r="119" ht="15.75" customHeight="1">
      <c r="A119" s="598" t="s">
        <v>1213</v>
      </c>
      <c r="C119" s="395"/>
      <c r="D119" s="599"/>
      <c r="E119" s="395"/>
      <c r="F119" s="395"/>
      <c r="G119" s="395"/>
      <c r="H119" s="395"/>
      <c r="I119" s="395"/>
      <c r="J119" s="600"/>
      <c r="K119" s="601"/>
      <c r="L119" s="601"/>
      <c r="M119" s="602" t="str">
        <f>SUM(#REF!+M34+M40+M53+M53+M66+M74+M84+M107+M118)</f>
        <v>#REF!</v>
      </c>
      <c r="N119" s="395"/>
      <c r="O119" s="395"/>
      <c r="P119" s="395"/>
      <c r="Q119" s="395"/>
      <c r="R119" s="395"/>
      <c r="S119" s="395"/>
      <c r="T119" s="395"/>
      <c r="U119" s="395"/>
      <c r="V119" s="395"/>
      <c r="W119" s="395"/>
      <c r="X119" s="395"/>
      <c r="Y119" s="395"/>
      <c r="Z119" s="395"/>
      <c r="AA119" s="395"/>
      <c r="AB119" s="395"/>
      <c r="AC119" s="395"/>
      <c r="AD119" s="395"/>
      <c r="AE119" s="395"/>
      <c r="AF119" s="395"/>
    </row>
  </sheetData>
  <mergeCells count="30">
    <mergeCell ref="A1:U1"/>
    <mergeCell ref="V1:X1"/>
    <mergeCell ref="Z1:AF1"/>
    <mergeCell ref="A4:G4"/>
    <mergeCell ref="A19:AF19"/>
    <mergeCell ref="A30:B30"/>
    <mergeCell ref="A33:AF33"/>
    <mergeCell ref="A34:B34"/>
    <mergeCell ref="A35:G35"/>
    <mergeCell ref="A39:AF39"/>
    <mergeCell ref="A40:B40"/>
    <mergeCell ref="A41:G41"/>
    <mergeCell ref="A52:AF52"/>
    <mergeCell ref="A53:B53"/>
    <mergeCell ref="A74:B74"/>
    <mergeCell ref="A84:B84"/>
    <mergeCell ref="A85:G85"/>
    <mergeCell ref="A106:AF106"/>
    <mergeCell ref="A107:B107"/>
    <mergeCell ref="A108:G108"/>
    <mergeCell ref="A117:AF117"/>
    <mergeCell ref="A118:B118"/>
    <mergeCell ref="A119:B119"/>
    <mergeCell ref="A54:G54"/>
    <mergeCell ref="A65:AF65"/>
    <mergeCell ref="A66:B66"/>
    <mergeCell ref="A67:G67"/>
    <mergeCell ref="A73:AF73"/>
    <mergeCell ref="A75:G75"/>
    <mergeCell ref="A81:AF81"/>
  </mergeCells>
  <conditionalFormatting sqref="V3:W3 Y3:Y4 Y20 Y31 Y35 Y41 Y54:Y58 Y66:Y67 Y75 Y85 Y108">
    <cfRule type="containsText" dxfId="3" priority="1" operator="containsText" text="In Shop">
      <formula>NOT(ISERROR(SEARCH(("In Shop"),(V3))))</formula>
    </cfRule>
  </conditionalFormatting>
  <conditionalFormatting sqref="A1:AF4 A20:AF20 A31:AF31 A35:AF35 A41:AF41 A54:AF58 AF62:AF63 C66:AF67 A67:B67 A75:AF75 Y85 A108:AF108 M119">
    <cfRule type="cellIs" dxfId="3" priority="2" operator="equal">
      <formula>"Yes"</formula>
    </cfRule>
  </conditionalFormatting>
  <conditionalFormatting sqref="V3:V4 W3 AE3 V20 V31 V35 V41 V54:V58 V66:V67 V75 AE75 V108">
    <cfRule type="notContainsBlanks" dxfId="3" priority="3">
      <formula>LEN(TRIM(V3))&gt;0</formula>
    </cfRule>
  </conditionalFormatting>
  <conditionalFormatting sqref="X4 X20:Y20 AF20 X31:Y31 AF31 X35:Y35 AF35 X41:Y41 AF41 X54:Y58 AF54:AF58 AA55:AA58 X66:Y67 AA67 X75:Y75 Y85 X108:Y108">
    <cfRule type="cellIs" dxfId="7" priority="4" operator="equal">
      <formula>"Pending"</formula>
    </cfRule>
  </conditionalFormatting>
  <conditionalFormatting sqref="AF3:AF4 AF20 AF31 AF35 AF41 AF54:AF58 AF62:AF63 AF66:AF67 AF75 AF108">
    <cfRule type="cellIs" dxfId="3" priority="5" operator="equal">
      <formula>"Unpacked"</formula>
    </cfRule>
  </conditionalFormatting>
  <conditionalFormatting sqref="AF3:AF4 AF20 AF31 AF35 AF41 AF54:AF58 AF62:AF63 AF66:AF67 AF75 AF108">
    <cfRule type="cellIs" dxfId="1" priority="6" operator="equal">
      <formula>"Apt booked with Steven"</formula>
    </cfRule>
  </conditionalFormatting>
  <conditionalFormatting sqref="AF3:AF4 AF20 AF31 AF35 AF41 AF54:AF58 AF62:AF63 AF66:AF67 AF75 AF108">
    <cfRule type="cellIs" dxfId="2" priority="7" operator="equal">
      <formula>"Ordered"</formula>
    </cfRule>
  </conditionalFormatting>
  <conditionalFormatting sqref="AF3:AF4 AF20 AF31 AF35 AF41 AF54:AF58 AF62:AF63 AF66:AF67 AF75 AF108">
    <cfRule type="cellIs" dxfId="2" priority="8" operator="equal">
      <formula>"Received by S&amp;R"</formula>
    </cfRule>
  </conditionalFormatting>
  <conditionalFormatting sqref="Y3:AF3 Y20 Y31 Y35 Y41:Z41 Y54:Y58 Z55:Z58 AF62:AF63 Y66:Z67 Y75 Y85 Y108:Z108">
    <cfRule type="notContainsBlanks" dxfId="3" priority="9">
      <formula>LEN(TRIM(Y3))&gt;0</formula>
    </cfRule>
  </conditionalFormatting>
  <conditionalFormatting sqref="V1:X1 W20 W31 W35 W41 W54:W58 W66:W67 W75 W108">
    <cfRule type="notContainsBlanks" dxfId="3" priority="10">
      <formula>LEN(TRIM(V1))&gt;0</formula>
    </cfRule>
  </conditionalFormatting>
  <conditionalFormatting sqref="AF20 AF31 AF35 AF41 AF54:AF58 AF66">
    <cfRule type="cellIs" dxfId="3" priority="11" operator="equal">
      <formula>"In Shop"</formula>
    </cfRule>
  </conditionalFormatting>
  <conditionalFormatting sqref="AF1:AF4 AF20 AF31 AF35 AF41 AF54:AF58 AF62:AF63 AF66:AF67 AF75 AF108">
    <cfRule type="cellIs" dxfId="3" priority="12" operator="equal">
      <formula>"In Shop"</formula>
    </cfRule>
  </conditionalFormatting>
  <dataValidations>
    <dataValidation type="list" allowBlank="1" showInputMessage="1" showErrorMessage="1" prompt="Click and enter a value from the list of items" sqref="B82 B86:B104">
      <formula1>"ergo-struct,ergo-rig,driver-safety,el-cn,ergo-misc,frame-sub-items,outboards,suspension,frame,brakes,el-safety,drivetrain,accumulator,cooling,motor-and-controller,glv,battery-storage,hand-cart,aero,bodywork,livery,car-misc,shop-misc,Pedal Box"</formula1>
    </dataValidation>
    <dataValidation type="list" allowBlank="1" sqref="F5:F17 F21:F30 F32 F34 F36:F38 F40 F42:F51 F53 F55:F64 F66 F68:F72 F74 F76:F80 F82:F84 F86:F105 F107">
      <formula1>"Critical,Non-critical"</formula1>
    </dataValidation>
    <dataValidation type="list" allowBlank="1" showInputMessage="1" showErrorMessage="1" prompt="Click and enter a value from the list of items" sqref="B5:B17 B21:B29 B32 B36:B38 B55:B58 B68:B72">
      <formula1>"ergo-struct,ergo-rig,driver-safety,el-cn,ergo-misc,frame-sub-items,outboards,suspension,steering,frame,brakes,el-safety,drivetrain,accumulator,accumulator-handcart,cooling,motor-and-controller,glv,battery-storage,segment-prototype,hand-cart,aero,bodywork,"&amp;"livery,car-misc,shop-misc,sensors"</formula1>
    </dataValidation>
    <dataValidation type="list" allowBlank="1" sqref="AB3:AD3">
      <formula1>"Yes"</formula1>
    </dataValidation>
    <dataValidation type="list" allowBlank="1" showInputMessage="1" showErrorMessage="1" prompt="If your subsystem does not appear here, message Morgan with the name of the subsystem and she will add it." sqref="B48:B51">
      <formula1>"ergo-struct,ergo-rig,driver-safety,el-cn,ergo-misc,frame-sub-items,outboards,suspension,steering,frame,brakes,el-safety,drivetrain,accumulator,accumulator-handcart,cooling,motor-and-controller,glv,battery-storage,segment-prototype,hand-cart,aero,bodywork,"&amp;"livery,car-misc,shop-misc"</formula1>
    </dataValidation>
    <dataValidation type="list" allowBlank="1" sqref="X3 X5:X17 X21:X30 X32 X34 X36:X38 X40 X42:X51 X53 X55:X64 X66 X68:X72 X74 X76:AF76 X77:X80 X82 X84 X86:X105 X107 X109:X116 X118">
      <formula1>"Yes,Pending,No"</formula1>
    </dataValidation>
    <dataValidation type="list" allowBlank="1" sqref="AF3 AF62:AF63">
      <formula1>"Apt booked with Steven,Ordered,Received by S&amp;R,In Shop,In Shop (Lead Notified),Unpacked,Cancelled"</formula1>
    </dataValidation>
    <dataValidation type="list" allowBlank="1" showInputMessage="1" showErrorMessage="1" prompt="Click and enter a value from the list of items" sqref="B109:B116">
      <formula1>"ergo-struct,ergo-rig,driver-safety,el-cn,ergo-misc,frame-sub-items,outboards,suspension,frame,brakes,el-safety,drivetrain,accumulator,cooling,motor-and-controller,glv,battery-storage,hand-cart,aero,bodywork,livery,car-misc,shop-misc,drive train"</formula1>
    </dataValidation>
    <dataValidation type="list" allowBlank="1" showInputMessage="1" showErrorMessage="1" prompt="Click and enter a value from the list of items" sqref="B42:B47 B59:B64 B76:B80 B83">
      <formula1>"ergo-struct,ergo-rig,driver-safety,el-cn,ergo-misc,frame-sub-items,outboards,suspension,steering,frame,brakes,el-safety,drivetrain,accumulator,accumulator-handcart,cooling,motor-and-controller,glv,battery-storage,segment-prototype,hand-cart,aero,bodywork,"&amp;"livery,car-misc,shop-misc,Driver Interface"</formula1>
    </dataValidation>
    <dataValidation type="list" allowBlank="1" showInputMessage="1" showErrorMessage="1" prompt="Click and enter a value from the list of items" sqref="B105">
      <formula1>"ergo-struct,ergo-rig,driver-safety,el-cn,ergo-misc,frame-sub-items,outboards,suspension,frame,brakes,el-safety,drivetrain,accumulator,cooling,motor-and-controller,glv,battery-storage,hand-cart,aero,bodywork,livery,car-misc,shop-misc,Pedal Box,Steering Whe"&amp;"el,Headrest"</formula1>
    </dataValidation>
    <dataValidation type="list" allowBlank="1" sqref="Y3 Y5:Y17 Y20:Y32 Y34 Y36:Y38 AF38 Y40 Y42:Y51 Y53 Y55:Y64 Y66 Y68:Y72 Y74 AF79 Y77:Y80 Y82:Y84 Y86:Y105 Y107 Y109:Y116 Y118:Y119">
      <formula1>"P-CARD,Emi,PENDING,Luca,Yesim BANK,Dejan,Anisha Das,Sponser,Filip,P-CARD 2,Ethan,Ronnie,Nathan"</formula1>
    </dataValidation>
    <dataValidation type="list" allowBlank="1" sqref="AF5 AF30 AF34 AF37 AF40 AF53 AF55:AF58 AF66 AF74 AF83:AF84 AF107 AF109:AF116 AF118">
      <formula1>"Apt booked with Steven,Ordered,Received by S&amp;R,In Shop,In Shop (Lead Notified),Unpacked"</formula1>
    </dataValidation>
    <dataValidation type="list" allowBlank="1" sqref="A5:A17 A19 A21:A29 A32:A33 A36:A38 A42:A51 A55:A64 A68:A72 A76:A83 A86:A105 A109:A117">
      <formula1>"Fastener,Material,Part"</formula1>
    </dataValidation>
    <dataValidation type="list" allowBlank="1" sqref="AF6:AF17 AF21:AF29 AF32 AF36 AF42:AF51 AF59:AF61 AF64 AF68:AF72 AF77:AF78 AF80 AF86:AF105">
      <formula1>"Apt booked with Steven,Ordered,Received by S&amp;R,In Shop,In Shop (Lead Notified),Unpacked,Submitted P-Card,Ordered,Requires Cheq Req"</formula1>
    </dataValidation>
  </dataValidations>
  <hyperlinks>
    <hyperlink r:id="rId1" ref="L2"/>
    <hyperlink r:id="rId2" ref="AA3"/>
    <hyperlink r:id="rId3" ref="P5"/>
    <hyperlink r:id="rId4" ref="P6"/>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 r:id="rId16" ref="P21"/>
    <hyperlink r:id="rId17" ref="P22"/>
    <hyperlink r:id="rId18" ref="P23"/>
    <hyperlink r:id="rId19" ref="P24"/>
    <hyperlink r:id="rId20" ref="P25"/>
    <hyperlink r:id="rId21" ref="P26"/>
    <hyperlink r:id="rId22" ref="P27"/>
    <hyperlink r:id="rId23" ref="P28"/>
    <hyperlink r:id="rId24" ref="P29"/>
    <hyperlink r:id="rId25" ref="P32"/>
    <hyperlink r:id="rId26" ref="P42"/>
    <hyperlink r:id="rId27" ref="P43"/>
    <hyperlink r:id="rId28" ref="P44"/>
    <hyperlink r:id="rId29" ref="P45"/>
    <hyperlink r:id="rId30" ref="P46"/>
    <hyperlink r:id="rId31" ref="P47"/>
    <hyperlink r:id="rId32" ref="P49"/>
    <hyperlink r:id="rId33" ref="P50"/>
    <hyperlink r:id="rId34" ref="P51"/>
    <hyperlink r:id="rId35" ref="P59"/>
    <hyperlink r:id="rId36" ref="O60"/>
    <hyperlink r:id="rId37" ref="P60"/>
    <hyperlink r:id="rId38" ref="P61"/>
    <hyperlink r:id="rId39" ref="P64"/>
    <hyperlink r:id="rId40" ref="P69"/>
    <hyperlink r:id="rId41" ref="P70"/>
    <hyperlink r:id="rId42" ref="P71"/>
    <hyperlink r:id="rId43" ref="P72"/>
    <hyperlink r:id="rId44" ref="P76"/>
    <hyperlink r:id="rId45" ref="P77"/>
    <hyperlink r:id="rId46" ref="P78"/>
    <hyperlink r:id="rId47" ref="P79"/>
    <hyperlink r:id="rId48" ref="P80"/>
    <hyperlink r:id="rId49" ref="P86"/>
    <hyperlink r:id="rId50" ref="P87"/>
    <hyperlink r:id="rId51" ref="P88"/>
    <hyperlink r:id="rId52" ref="P89"/>
    <hyperlink r:id="rId53" ref="P97"/>
    <hyperlink r:id="rId54" ref="P98"/>
    <hyperlink r:id="rId55" ref="P99"/>
    <hyperlink r:id="rId56" ref="P100"/>
    <hyperlink r:id="rId57" ref="P101"/>
    <hyperlink r:id="rId58" ref="P102"/>
    <hyperlink r:id="rId59" ref="P103"/>
    <hyperlink r:id="rId60" ref="P104"/>
    <hyperlink r:id="rId61" ref="P105"/>
    <hyperlink r:id="rId62" ref="P109"/>
    <hyperlink r:id="rId63" ref="P110"/>
    <hyperlink r:id="rId64" ref="P111"/>
    <hyperlink r:id="rId65" ref="P112"/>
    <hyperlink r:id="rId66" ref="P113"/>
    <hyperlink r:id="rId67" ref="P114"/>
    <hyperlink r:id="rId68" ref="P115"/>
    <hyperlink r:id="rId69" ref="P116"/>
  </hyperlinks>
  <drawing r:id="rId7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9.38"/>
    <col customWidth="1" min="3" max="3" width="34.88"/>
    <col customWidth="1" min="4" max="4" width="51.63"/>
    <col customWidth="1" min="5" max="5" width="22.75"/>
    <col customWidth="1" min="10" max="10" width="15.88"/>
    <col customWidth="1" min="11" max="11" width="11.5"/>
    <col customWidth="1" min="12" max="12" width="12.75"/>
    <col customWidth="1" min="13" max="13" width="13.88"/>
    <col customWidth="1" min="14" max="14" width="16.13"/>
    <col customWidth="1" min="15" max="15" width="15.5"/>
    <col customWidth="1" min="16" max="16" width="17.75"/>
    <col customWidth="1" min="17" max="17" width="16.0"/>
    <col customWidth="1" min="18" max="18" width="20.5"/>
    <col customWidth="1" min="19" max="19" width="21.63"/>
    <col customWidth="1" min="20" max="20" width="12.75"/>
    <col customWidth="1" min="21" max="21" width="18.38"/>
    <col customWidth="1" min="22" max="22" width="15.25"/>
    <col customWidth="1" min="23" max="23" width="15.38"/>
    <col customWidth="1" min="25" max="25" width="20.5"/>
    <col hidden="1" min="26" max="27" width="12.63"/>
    <col customWidth="1" hidden="1" min="28" max="28" width="15.5"/>
    <col customWidth="1" hidden="1" min="29" max="29" width="14.63"/>
    <col customWidth="1" hidden="1" min="30" max="30" width="13.38"/>
    <col customWidth="1" hidden="1" min="31" max="31" width="14.13"/>
    <col customWidth="1" min="32" max="32" width="22.75"/>
    <col hidden="1" min="33" max="41" width="12.63"/>
  </cols>
  <sheetData>
    <row r="1">
      <c r="A1" s="170" t="s">
        <v>1214</v>
      </c>
      <c r="V1" s="603" t="s">
        <v>601</v>
      </c>
      <c r="X1" s="176"/>
      <c r="Y1" s="174"/>
      <c r="Z1" s="175" t="s">
        <v>602</v>
      </c>
      <c r="AF1" s="176"/>
    </row>
    <row r="2" ht="69.75" customHeight="1">
      <c r="A2" s="400" t="s">
        <v>603</v>
      </c>
      <c r="B2" s="401" t="s">
        <v>604</v>
      </c>
      <c r="C2" s="604" t="s">
        <v>605</v>
      </c>
      <c r="D2" s="401" t="s">
        <v>1215</v>
      </c>
      <c r="E2" s="400" t="s">
        <v>607</v>
      </c>
      <c r="F2" s="401" t="s">
        <v>608</v>
      </c>
      <c r="G2" s="400" t="s">
        <v>609</v>
      </c>
      <c r="H2" s="401" t="s">
        <v>610</v>
      </c>
      <c r="I2" s="401" t="s">
        <v>611</v>
      </c>
      <c r="J2" s="402" t="s">
        <v>612</v>
      </c>
      <c r="K2" s="402" t="s">
        <v>613</v>
      </c>
      <c r="L2" s="403" t="s">
        <v>1216</v>
      </c>
      <c r="M2" s="404" t="s">
        <v>615</v>
      </c>
      <c r="N2" s="400" t="s">
        <v>616</v>
      </c>
      <c r="O2" s="400" t="s">
        <v>617</v>
      </c>
      <c r="P2" s="605" t="s">
        <v>618</v>
      </c>
      <c r="Q2" s="401" t="s">
        <v>619</v>
      </c>
      <c r="R2" s="401" t="s">
        <v>620</v>
      </c>
      <c r="S2" s="401" t="s">
        <v>621</v>
      </c>
      <c r="T2" s="401" t="s">
        <v>622</v>
      </c>
      <c r="U2" s="400" t="s">
        <v>623</v>
      </c>
      <c r="V2" s="405" t="s">
        <v>624</v>
      </c>
      <c r="W2" s="405" t="s">
        <v>625</v>
      </c>
      <c r="X2" s="407" t="s">
        <v>626</v>
      </c>
      <c r="Y2" s="183" t="s">
        <v>627</v>
      </c>
      <c r="Z2" s="183" t="s">
        <v>628</v>
      </c>
      <c r="AA2" s="183" t="s">
        <v>629</v>
      </c>
      <c r="AB2" s="112" t="s">
        <v>630</v>
      </c>
      <c r="AC2" s="408" t="s">
        <v>631</v>
      </c>
      <c r="AD2" s="408" t="s">
        <v>632</v>
      </c>
      <c r="AE2" s="183" t="s">
        <v>633</v>
      </c>
      <c r="AF2" s="183" t="s">
        <v>634</v>
      </c>
      <c r="AG2" s="114"/>
      <c r="AH2" s="114"/>
      <c r="AI2" s="114"/>
      <c r="AJ2" s="114"/>
      <c r="AK2" s="114"/>
      <c r="AL2" s="114"/>
      <c r="AM2" s="114"/>
      <c r="AN2" s="114"/>
      <c r="AO2" s="114"/>
    </row>
    <row r="3" ht="34.5" customHeight="1">
      <c r="A3" s="606" t="s">
        <v>635</v>
      </c>
      <c r="B3" s="186" t="s">
        <v>636</v>
      </c>
      <c r="C3" s="607" t="s">
        <v>637</v>
      </c>
      <c r="D3" s="187" t="s">
        <v>638</v>
      </c>
      <c r="E3" s="187" t="s">
        <v>639</v>
      </c>
      <c r="F3" s="186" t="s">
        <v>640</v>
      </c>
      <c r="G3" s="186">
        <v>1.0</v>
      </c>
      <c r="H3" s="186"/>
      <c r="I3" s="186">
        <v>1.0</v>
      </c>
      <c r="J3" s="188">
        <v>100.0</v>
      </c>
      <c r="K3" s="188">
        <v>0.0</v>
      </c>
      <c r="L3" s="188">
        <v>0.0</v>
      </c>
      <c r="M3" s="189">
        <f>J3*I3+K3</f>
        <v>100</v>
      </c>
      <c r="N3" s="186" t="s">
        <v>641</v>
      </c>
      <c r="O3" s="186" t="s">
        <v>642</v>
      </c>
      <c r="P3" s="412"/>
      <c r="Q3" s="187" t="s">
        <v>643</v>
      </c>
      <c r="R3" s="186" t="s">
        <v>871</v>
      </c>
      <c r="S3" s="186" t="s">
        <v>645</v>
      </c>
      <c r="T3" s="186" t="s">
        <v>646</v>
      </c>
      <c r="U3" s="191" t="s">
        <v>647</v>
      </c>
      <c r="V3" s="192" t="s">
        <v>648</v>
      </c>
      <c r="W3" s="192" t="s">
        <v>649</v>
      </c>
      <c r="X3" s="608" t="s">
        <v>650</v>
      </c>
      <c r="Y3" s="194"/>
      <c r="Z3" s="194" t="s">
        <v>652</v>
      </c>
      <c r="AA3" s="195" t="s">
        <v>653</v>
      </c>
      <c r="AB3" s="196" t="s">
        <v>650</v>
      </c>
      <c r="AC3" s="197" t="s">
        <v>642</v>
      </c>
      <c r="AD3" s="197" t="s">
        <v>642</v>
      </c>
      <c r="AE3" s="186" t="s">
        <v>654</v>
      </c>
      <c r="AF3" s="196" t="s">
        <v>655</v>
      </c>
      <c r="AG3" s="198"/>
      <c r="AH3" s="198"/>
      <c r="AI3" s="198"/>
      <c r="AJ3" s="198"/>
      <c r="AK3" s="198"/>
      <c r="AL3" s="198"/>
      <c r="AM3" s="198"/>
      <c r="AN3" s="198"/>
      <c r="AO3" s="198"/>
    </row>
    <row r="4">
      <c r="A4" s="559" t="s">
        <v>1217</v>
      </c>
      <c r="H4" s="358"/>
      <c r="I4" s="358"/>
      <c r="J4" s="560"/>
      <c r="K4" s="560"/>
      <c r="L4" s="560"/>
      <c r="M4" s="560"/>
      <c r="N4" s="358"/>
      <c r="O4" s="208"/>
      <c r="P4" s="208"/>
      <c r="Q4" s="467"/>
      <c r="R4" s="208"/>
      <c r="S4" s="208"/>
      <c r="T4" s="208"/>
      <c r="U4" s="208"/>
      <c r="V4" s="609"/>
      <c r="W4" s="358"/>
      <c r="X4" s="561"/>
      <c r="Y4" s="208"/>
      <c r="Z4" s="208"/>
      <c r="AA4" s="208"/>
      <c r="AB4" s="208"/>
      <c r="AC4" s="208"/>
      <c r="AD4" s="208"/>
      <c r="AE4" s="208"/>
      <c r="AF4" s="208"/>
      <c r="AG4" s="208"/>
      <c r="AH4" s="208"/>
      <c r="AI4" s="208"/>
      <c r="AJ4" s="208"/>
      <c r="AK4" s="208"/>
      <c r="AL4" s="208"/>
      <c r="AM4" s="208"/>
      <c r="AN4" s="208"/>
      <c r="AO4" s="208"/>
    </row>
    <row r="5">
      <c r="A5" s="210" t="s">
        <v>678</v>
      </c>
      <c r="B5" s="210" t="s">
        <v>1218</v>
      </c>
      <c r="C5" s="210" t="s">
        <v>1219</v>
      </c>
      <c r="D5" s="210" t="s">
        <v>1220</v>
      </c>
      <c r="E5" s="610"/>
      <c r="F5" s="210" t="s">
        <v>640</v>
      </c>
      <c r="G5" s="210">
        <v>3.0</v>
      </c>
      <c r="H5" s="436"/>
      <c r="I5" s="210">
        <v>3.0</v>
      </c>
      <c r="J5" s="277">
        <v>7.5</v>
      </c>
      <c r="K5" s="278"/>
      <c r="L5" s="278"/>
      <c r="M5" s="264">
        <f>J5*I5+K5+L5</f>
        <v>22.5</v>
      </c>
      <c r="N5" s="436"/>
      <c r="O5" s="436"/>
      <c r="P5" s="290" t="s">
        <v>1221</v>
      </c>
      <c r="Q5" s="610"/>
      <c r="R5" s="436"/>
      <c r="S5" s="213"/>
      <c r="T5" s="213"/>
      <c r="U5" s="436"/>
      <c r="V5" s="210" t="s">
        <v>1222</v>
      </c>
      <c r="W5" s="611" t="s">
        <v>437</v>
      </c>
      <c r="X5" s="612" t="s">
        <v>650</v>
      </c>
      <c r="Y5" s="210" t="s">
        <v>651</v>
      </c>
      <c r="Z5" s="213"/>
      <c r="AA5" s="213"/>
      <c r="AB5" s="213"/>
      <c r="AC5" s="213"/>
      <c r="AD5" s="213"/>
      <c r="AE5" s="213"/>
      <c r="AF5" s="210" t="s">
        <v>1223</v>
      </c>
      <c r="AG5" s="213"/>
      <c r="AH5" s="213"/>
      <c r="AI5" s="213"/>
      <c r="AJ5" s="213"/>
      <c r="AK5" s="213"/>
      <c r="AL5" s="213"/>
      <c r="AM5" s="213"/>
      <c r="AN5" s="213"/>
      <c r="AO5" s="213"/>
    </row>
    <row r="6">
      <c r="A6" s="587" t="s">
        <v>678</v>
      </c>
      <c r="B6" s="587" t="s">
        <v>1224</v>
      </c>
      <c r="C6" s="587" t="s">
        <v>1225</v>
      </c>
      <c r="D6" s="587" t="s">
        <v>1226</v>
      </c>
      <c r="E6" s="613" t="s">
        <v>1227</v>
      </c>
      <c r="F6" s="587" t="s">
        <v>640</v>
      </c>
      <c r="G6" s="587" t="s">
        <v>1228</v>
      </c>
      <c r="H6" s="587">
        <v>1.0</v>
      </c>
      <c r="I6" s="306"/>
      <c r="J6" s="589">
        <v>15.49</v>
      </c>
      <c r="K6" s="306"/>
      <c r="L6" s="306"/>
      <c r="M6" s="306"/>
      <c r="N6" s="306"/>
      <c r="O6" s="306"/>
      <c r="P6" s="593" t="s">
        <v>1229</v>
      </c>
      <c r="Q6" s="613" t="s">
        <v>1230</v>
      </c>
      <c r="R6" s="587" t="s">
        <v>296</v>
      </c>
      <c r="S6" s="306"/>
      <c r="T6" s="306"/>
      <c r="U6" s="306"/>
      <c r="V6" s="587" t="s">
        <v>1231</v>
      </c>
      <c r="W6" s="614" t="s">
        <v>437</v>
      </c>
      <c r="X6" s="615" t="s">
        <v>650</v>
      </c>
      <c r="Y6" s="587" t="s">
        <v>651</v>
      </c>
      <c r="Z6" s="306"/>
      <c r="AA6" s="306"/>
      <c r="AB6" s="306"/>
      <c r="AC6" s="306"/>
      <c r="AD6" s="306"/>
      <c r="AE6" s="306"/>
      <c r="AF6" s="587" t="s">
        <v>1223</v>
      </c>
      <c r="AG6" s="306"/>
      <c r="AH6" s="306"/>
      <c r="AI6" s="306"/>
      <c r="AJ6" s="306"/>
      <c r="AK6" s="306"/>
      <c r="AL6" s="306"/>
      <c r="AM6" s="306"/>
      <c r="AN6" s="306"/>
      <c r="AO6" s="306"/>
    </row>
    <row r="7">
      <c r="A7" s="210" t="s">
        <v>678</v>
      </c>
      <c r="B7" s="210" t="s">
        <v>1224</v>
      </c>
      <c r="C7" s="210" t="s">
        <v>1232</v>
      </c>
      <c r="D7" s="210" t="s">
        <v>1233</v>
      </c>
      <c r="E7" s="218" t="s">
        <v>1234</v>
      </c>
      <c r="F7" s="210" t="s">
        <v>640</v>
      </c>
      <c r="G7" s="210" t="s">
        <v>1228</v>
      </c>
      <c r="H7" s="213"/>
      <c r="I7" s="210">
        <v>1.0</v>
      </c>
      <c r="J7" s="277">
        <v>21.82</v>
      </c>
      <c r="K7" s="213"/>
      <c r="L7" s="213"/>
      <c r="M7" s="213"/>
      <c r="N7" s="213"/>
      <c r="O7" s="213"/>
      <c r="P7" s="333" t="s">
        <v>1235</v>
      </c>
      <c r="Q7" s="218" t="s">
        <v>1236</v>
      </c>
      <c r="R7" s="210" t="s">
        <v>296</v>
      </c>
      <c r="S7" s="213"/>
      <c r="T7" s="213"/>
      <c r="U7" s="213"/>
      <c r="V7" s="210" t="s">
        <v>1222</v>
      </c>
      <c r="W7" s="611" t="s">
        <v>437</v>
      </c>
      <c r="X7" s="612" t="s">
        <v>650</v>
      </c>
      <c r="Y7" s="210" t="s">
        <v>651</v>
      </c>
      <c r="Z7" s="213"/>
      <c r="AA7" s="213"/>
      <c r="AB7" s="213"/>
      <c r="AC7" s="213"/>
      <c r="AD7" s="213"/>
      <c r="AE7" s="213"/>
      <c r="AF7" s="210" t="s">
        <v>1223</v>
      </c>
      <c r="AG7" s="213"/>
      <c r="AH7" s="213"/>
      <c r="AI7" s="213"/>
      <c r="AJ7" s="213"/>
      <c r="AK7" s="213"/>
      <c r="AL7" s="213"/>
      <c r="AM7" s="213"/>
      <c r="AN7" s="213"/>
      <c r="AO7" s="213"/>
    </row>
    <row r="8">
      <c r="A8" s="616" t="s">
        <v>678</v>
      </c>
      <c r="B8" s="616" t="s">
        <v>1237</v>
      </c>
      <c r="C8" s="617" t="s">
        <v>1238</v>
      </c>
      <c r="D8" s="587" t="s">
        <v>1239</v>
      </c>
      <c r="E8" s="618" t="s">
        <v>1240</v>
      </c>
      <c r="F8" s="616" t="s">
        <v>640</v>
      </c>
      <c r="G8" s="619">
        <v>3.0</v>
      </c>
      <c r="H8" s="616"/>
      <c r="I8" s="616">
        <v>3.0</v>
      </c>
      <c r="J8" s="620">
        <v>13.58</v>
      </c>
      <c r="K8" s="620"/>
      <c r="L8" s="620"/>
      <c r="M8" s="621">
        <f t="shared" ref="M8:M9" si="1">J8*I8+K8+L8</f>
        <v>40.74</v>
      </c>
      <c r="N8" s="616"/>
      <c r="O8" s="592"/>
      <c r="P8" s="622" t="s">
        <v>1241</v>
      </c>
      <c r="Q8" s="618"/>
      <c r="R8" s="614"/>
      <c r="S8" s="623"/>
      <c r="T8" s="623"/>
      <c r="U8" s="616"/>
      <c r="V8" s="587" t="s">
        <v>1231</v>
      </c>
      <c r="W8" s="614" t="s">
        <v>437</v>
      </c>
      <c r="X8" s="615" t="s">
        <v>650</v>
      </c>
      <c r="Y8" s="587" t="s">
        <v>1242</v>
      </c>
      <c r="Z8" s="306"/>
      <c r="AA8" s="306"/>
      <c r="AB8" s="306"/>
      <c r="AC8" s="624"/>
      <c r="AD8" s="624"/>
      <c r="AE8" s="306"/>
      <c r="AF8" s="587"/>
      <c r="AG8" s="306"/>
      <c r="AH8" s="306"/>
      <c r="AI8" s="306"/>
      <c r="AJ8" s="306"/>
      <c r="AK8" s="306"/>
      <c r="AL8" s="306"/>
      <c r="AM8" s="306"/>
      <c r="AN8" s="306"/>
      <c r="AO8" s="306"/>
    </row>
    <row r="9">
      <c r="A9" s="616" t="s">
        <v>678</v>
      </c>
      <c r="B9" s="616" t="s">
        <v>1237</v>
      </c>
      <c r="C9" s="617" t="s">
        <v>1243</v>
      </c>
      <c r="D9" s="587" t="s">
        <v>1244</v>
      </c>
      <c r="E9" s="618" t="s">
        <v>1240</v>
      </c>
      <c r="F9" s="616"/>
      <c r="G9" s="619">
        <v>1.0</v>
      </c>
      <c r="H9" s="616"/>
      <c r="I9" s="616">
        <v>1.0</v>
      </c>
      <c r="J9" s="620">
        <v>13.73</v>
      </c>
      <c r="K9" s="620"/>
      <c r="L9" s="620"/>
      <c r="M9" s="621">
        <f t="shared" si="1"/>
        <v>13.73</v>
      </c>
      <c r="N9" s="616"/>
      <c r="O9" s="592"/>
      <c r="P9" s="622" t="s">
        <v>1245</v>
      </c>
      <c r="Q9" s="618"/>
      <c r="R9" s="614"/>
      <c r="S9" s="623"/>
      <c r="T9" s="623"/>
      <c r="U9" s="616"/>
      <c r="V9" s="587" t="s">
        <v>1246</v>
      </c>
      <c r="W9" s="614" t="s">
        <v>437</v>
      </c>
      <c r="X9" s="615" t="s">
        <v>650</v>
      </c>
      <c r="Y9" s="587" t="s">
        <v>1242</v>
      </c>
      <c r="Z9" s="306"/>
      <c r="AA9" s="306"/>
      <c r="AB9" s="306"/>
      <c r="AC9" s="624"/>
      <c r="AD9" s="624"/>
      <c r="AE9" s="306"/>
      <c r="AF9" s="587"/>
      <c r="AG9" s="306"/>
      <c r="AH9" s="306"/>
      <c r="AI9" s="306"/>
      <c r="AJ9" s="306"/>
      <c r="AK9" s="306"/>
      <c r="AL9" s="306"/>
      <c r="AM9" s="306"/>
      <c r="AN9" s="306"/>
      <c r="AO9" s="625"/>
    </row>
    <row r="10">
      <c r="A10" s="616" t="s">
        <v>678</v>
      </c>
      <c r="B10" s="616" t="s">
        <v>1237</v>
      </c>
      <c r="C10" s="617" t="s">
        <v>1247</v>
      </c>
      <c r="D10" s="587" t="s">
        <v>1248</v>
      </c>
      <c r="E10" s="618" t="s">
        <v>1249</v>
      </c>
      <c r="F10" s="616"/>
      <c r="G10" s="619">
        <v>1.0</v>
      </c>
      <c r="H10" s="616"/>
      <c r="I10" s="616">
        <v>1.0</v>
      </c>
      <c r="J10" s="620">
        <v>24.18</v>
      </c>
      <c r="K10" s="620"/>
      <c r="L10" s="620"/>
      <c r="M10" s="620">
        <v>24.18</v>
      </c>
      <c r="N10" s="616"/>
      <c r="O10" s="592"/>
      <c r="P10" s="622" t="s">
        <v>1250</v>
      </c>
      <c r="Q10" s="618"/>
      <c r="R10" s="614"/>
      <c r="S10" s="623"/>
      <c r="T10" s="623"/>
      <c r="U10" s="616"/>
      <c r="V10" s="587" t="s">
        <v>1246</v>
      </c>
      <c r="W10" s="614" t="s">
        <v>437</v>
      </c>
      <c r="X10" s="615" t="s">
        <v>650</v>
      </c>
      <c r="Y10" s="587" t="s">
        <v>1242</v>
      </c>
      <c r="Z10" s="306"/>
      <c r="AA10" s="306"/>
      <c r="AB10" s="306"/>
      <c r="AC10" s="624"/>
      <c r="AD10" s="624"/>
      <c r="AE10" s="306"/>
      <c r="AF10" s="587"/>
      <c r="AG10" s="306"/>
      <c r="AH10" s="306"/>
      <c r="AI10" s="306"/>
      <c r="AJ10" s="306"/>
      <c r="AK10" s="306"/>
      <c r="AL10" s="306"/>
      <c r="AM10" s="306"/>
      <c r="AN10" s="306"/>
      <c r="AO10" s="625"/>
    </row>
    <row r="11">
      <c r="A11" s="616" t="s">
        <v>678</v>
      </c>
      <c r="B11" s="616" t="s">
        <v>1237</v>
      </c>
      <c r="C11" s="617" t="s">
        <v>1251</v>
      </c>
      <c r="D11" s="587" t="s">
        <v>1252</v>
      </c>
      <c r="E11" s="618" t="s">
        <v>1249</v>
      </c>
      <c r="F11" s="616"/>
      <c r="G11" s="619">
        <v>1.0</v>
      </c>
      <c r="H11" s="616"/>
      <c r="I11" s="616">
        <v>1.0</v>
      </c>
      <c r="J11" s="620">
        <v>15.17</v>
      </c>
      <c r="K11" s="620"/>
      <c r="L11" s="620"/>
      <c r="M11" s="620">
        <v>15.17</v>
      </c>
      <c r="N11" s="616"/>
      <c r="O11" s="592"/>
      <c r="P11" s="622" t="s">
        <v>1253</v>
      </c>
      <c r="Q11" s="618"/>
      <c r="R11" s="614"/>
      <c r="S11" s="623"/>
      <c r="T11" s="623"/>
      <c r="U11" s="616"/>
      <c r="V11" s="587" t="s">
        <v>1246</v>
      </c>
      <c r="W11" s="614" t="s">
        <v>437</v>
      </c>
      <c r="X11" s="615" t="s">
        <v>650</v>
      </c>
      <c r="Y11" s="587" t="s">
        <v>1242</v>
      </c>
      <c r="Z11" s="306"/>
      <c r="AA11" s="306"/>
      <c r="AB11" s="306"/>
      <c r="AC11" s="624"/>
      <c r="AD11" s="624"/>
      <c r="AE11" s="306"/>
      <c r="AF11" s="587"/>
      <c r="AG11" s="306"/>
      <c r="AH11" s="306"/>
      <c r="AI11" s="306"/>
      <c r="AJ11" s="306"/>
      <c r="AK11" s="306"/>
      <c r="AL11" s="306"/>
      <c r="AM11" s="306"/>
      <c r="AN11" s="306"/>
      <c r="AO11" s="625"/>
    </row>
    <row r="12">
      <c r="A12" s="616" t="s">
        <v>678</v>
      </c>
      <c r="B12" s="616"/>
      <c r="C12" s="617" t="s">
        <v>1254</v>
      </c>
      <c r="D12" s="587" t="s">
        <v>1254</v>
      </c>
      <c r="E12" s="618" t="s">
        <v>1255</v>
      </c>
      <c r="F12" s="616"/>
      <c r="G12" s="619">
        <v>2.0</v>
      </c>
      <c r="H12" s="616">
        <v>0.0</v>
      </c>
      <c r="I12" s="616">
        <v>2.0</v>
      </c>
      <c r="J12" s="620">
        <v>14.3</v>
      </c>
      <c r="K12" s="620"/>
      <c r="L12" s="620"/>
      <c r="M12" s="620">
        <f t="shared" ref="M12:M13" si="2">J12*I12</f>
        <v>28.6</v>
      </c>
      <c r="N12" s="616"/>
      <c r="O12" s="592"/>
      <c r="P12" s="622" t="s">
        <v>1256</v>
      </c>
      <c r="Q12" s="618"/>
      <c r="R12" s="614"/>
      <c r="S12" s="623"/>
      <c r="T12" s="623"/>
      <c r="U12" s="616"/>
      <c r="V12" s="587" t="s">
        <v>1246</v>
      </c>
      <c r="W12" s="614" t="s">
        <v>437</v>
      </c>
      <c r="X12" s="615" t="s">
        <v>650</v>
      </c>
      <c r="Y12" s="587" t="s">
        <v>1242</v>
      </c>
      <c r="Z12" s="306"/>
      <c r="AA12" s="306"/>
      <c r="AB12" s="306"/>
      <c r="AC12" s="624"/>
      <c r="AD12" s="624"/>
      <c r="AE12" s="306"/>
      <c r="AF12" s="587"/>
      <c r="AG12" s="306"/>
      <c r="AH12" s="306"/>
      <c r="AI12" s="306"/>
      <c r="AJ12" s="306"/>
      <c r="AK12" s="306"/>
      <c r="AL12" s="306"/>
      <c r="AM12" s="306"/>
      <c r="AN12" s="306"/>
      <c r="AO12" s="625"/>
    </row>
    <row r="13">
      <c r="A13" s="616" t="s">
        <v>678</v>
      </c>
      <c r="B13" s="616"/>
      <c r="C13" s="617" t="s">
        <v>1257</v>
      </c>
      <c r="D13" s="587" t="s">
        <v>1258</v>
      </c>
      <c r="E13" s="618" t="s">
        <v>1259</v>
      </c>
      <c r="F13" s="616" t="s">
        <v>640</v>
      </c>
      <c r="G13" s="619">
        <v>1.0</v>
      </c>
      <c r="H13" s="616">
        <v>1.0</v>
      </c>
      <c r="I13" s="616">
        <v>2.0</v>
      </c>
      <c r="J13" s="620">
        <v>6.38</v>
      </c>
      <c r="K13" s="620"/>
      <c r="L13" s="620"/>
      <c r="M13" s="620">
        <f t="shared" si="2"/>
        <v>12.76</v>
      </c>
      <c r="N13" s="616"/>
      <c r="O13" s="592"/>
      <c r="P13" s="622" t="s">
        <v>1260</v>
      </c>
      <c r="Q13" s="618"/>
      <c r="R13" s="614"/>
      <c r="S13" s="623"/>
      <c r="T13" s="623"/>
      <c r="U13" s="616"/>
      <c r="V13" s="587" t="s">
        <v>1246</v>
      </c>
      <c r="W13" s="614" t="s">
        <v>437</v>
      </c>
      <c r="X13" s="615" t="s">
        <v>650</v>
      </c>
      <c r="Y13" s="587" t="s">
        <v>1222</v>
      </c>
      <c r="Z13" s="306"/>
      <c r="AA13" s="306"/>
      <c r="AB13" s="306"/>
      <c r="AC13" s="624"/>
      <c r="AD13" s="624"/>
      <c r="AE13" s="306"/>
      <c r="AF13" s="587"/>
      <c r="AG13" s="306"/>
      <c r="AH13" s="306"/>
      <c r="AI13" s="306"/>
      <c r="AJ13" s="306"/>
      <c r="AK13" s="306"/>
      <c r="AL13" s="306"/>
      <c r="AM13" s="306"/>
      <c r="AN13" s="306"/>
      <c r="AO13" s="625"/>
    </row>
    <row r="14">
      <c r="A14" s="626"/>
      <c r="B14" s="626"/>
      <c r="C14" s="626"/>
      <c r="D14" s="626"/>
      <c r="E14" s="626"/>
      <c r="F14" s="626"/>
      <c r="G14" s="626"/>
      <c r="H14" s="98"/>
      <c r="I14" s="98"/>
      <c r="J14" s="499"/>
      <c r="K14" s="499"/>
      <c r="L14" s="499"/>
      <c r="M14" s="499"/>
      <c r="N14" s="98"/>
      <c r="O14" s="28"/>
      <c r="P14" s="28"/>
      <c r="Q14" s="128"/>
      <c r="R14" s="28"/>
      <c r="S14" s="28"/>
      <c r="T14" s="28"/>
      <c r="U14" s="28"/>
      <c r="V14" s="98"/>
      <c r="W14" s="98"/>
      <c r="X14" s="627"/>
      <c r="Y14" s="28"/>
      <c r="Z14" s="28"/>
      <c r="AA14" s="28"/>
      <c r="AB14" s="28"/>
      <c r="AC14" s="28"/>
      <c r="AD14" s="28"/>
      <c r="AE14" s="28"/>
      <c r="AF14" s="28"/>
      <c r="AG14" s="28"/>
      <c r="AH14" s="28"/>
      <c r="AI14" s="28"/>
      <c r="AJ14" s="28"/>
      <c r="AK14" s="28"/>
      <c r="AL14" s="28"/>
      <c r="AM14" s="28"/>
      <c r="AN14" s="28"/>
      <c r="AO14" s="28"/>
    </row>
    <row r="15">
      <c r="A15" s="628" t="s">
        <v>1261</v>
      </c>
      <c r="H15" s="358"/>
      <c r="I15" s="358"/>
      <c r="J15" s="560"/>
      <c r="K15" s="560"/>
      <c r="L15" s="560"/>
      <c r="M15" s="560"/>
      <c r="N15" s="358"/>
      <c r="O15" s="208"/>
      <c r="P15" s="208"/>
      <c r="Q15" s="467"/>
      <c r="R15" s="208"/>
      <c r="S15" s="208"/>
      <c r="T15" s="208"/>
      <c r="U15" s="208"/>
      <c r="V15" s="609"/>
      <c r="W15" s="358"/>
      <c r="X15" s="561"/>
      <c r="Y15" s="208"/>
      <c r="Z15" s="208"/>
      <c r="AA15" s="208"/>
      <c r="AB15" s="208"/>
      <c r="AC15" s="208"/>
      <c r="AD15" s="208"/>
      <c r="AE15" s="208"/>
      <c r="AF15" s="208"/>
      <c r="AG15" s="208"/>
      <c r="AH15" s="208"/>
      <c r="AI15" s="208"/>
      <c r="AJ15" s="208"/>
      <c r="AK15" s="208"/>
      <c r="AL15" s="208"/>
      <c r="AM15" s="208"/>
      <c r="AN15" s="208"/>
      <c r="AO15" s="208"/>
    </row>
    <row r="16">
      <c r="A16" s="209" t="s">
        <v>656</v>
      </c>
      <c r="B16" s="209" t="s">
        <v>1218</v>
      </c>
      <c r="C16" s="629" t="s">
        <v>1187</v>
      </c>
      <c r="D16" s="210" t="s">
        <v>1262</v>
      </c>
      <c r="E16" s="218" t="s">
        <v>1263</v>
      </c>
      <c r="F16" s="209" t="s">
        <v>640</v>
      </c>
      <c r="G16" s="263">
        <v>1.0</v>
      </c>
      <c r="H16" s="209">
        <v>0.0</v>
      </c>
      <c r="I16" s="209">
        <v>1.0</v>
      </c>
      <c r="J16" s="630">
        <v>90.84</v>
      </c>
      <c r="K16" s="214"/>
      <c r="L16" s="214"/>
      <c r="M16" s="264">
        <f t="shared" ref="M16:M17" si="3">J16*I16+K16+L16</f>
        <v>90.84</v>
      </c>
      <c r="N16" s="210" t="s">
        <v>641</v>
      </c>
      <c r="O16" s="631"/>
      <c r="P16" s="632" t="s">
        <v>717</v>
      </c>
      <c r="Q16" s="211" t="s">
        <v>762</v>
      </c>
      <c r="R16" s="267" t="s">
        <v>1264</v>
      </c>
      <c r="S16" s="236"/>
      <c r="T16" s="236"/>
      <c r="U16" s="633"/>
      <c r="V16" s="634" t="s">
        <v>1222</v>
      </c>
      <c r="W16" s="217" t="s">
        <v>470</v>
      </c>
      <c r="X16" s="635" t="s">
        <v>650</v>
      </c>
      <c r="Y16" s="210" t="s">
        <v>470</v>
      </c>
      <c r="Z16" s="213"/>
      <c r="AA16" s="213"/>
      <c r="AB16" s="213"/>
      <c r="AC16" s="221"/>
      <c r="AD16" s="221"/>
      <c r="AE16" s="636"/>
      <c r="AF16" s="210" t="s">
        <v>1265</v>
      </c>
      <c r="AG16" s="213"/>
      <c r="AH16" s="213"/>
      <c r="AI16" s="213"/>
      <c r="AJ16" s="213"/>
      <c r="AK16" s="213"/>
      <c r="AL16" s="213"/>
      <c r="AM16" s="213"/>
      <c r="AN16" s="213"/>
      <c r="AO16" s="213"/>
    </row>
    <row r="17">
      <c r="A17" s="209" t="s">
        <v>656</v>
      </c>
      <c r="B17" s="209" t="s">
        <v>1218</v>
      </c>
      <c r="C17" s="637" t="s">
        <v>1187</v>
      </c>
      <c r="D17" s="279" t="s">
        <v>1266</v>
      </c>
      <c r="E17" s="218" t="s">
        <v>1267</v>
      </c>
      <c r="F17" s="209" t="s">
        <v>640</v>
      </c>
      <c r="G17" s="263">
        <v>1.0</v>
      </c>
      <c r="H17" s="209">
        <v>0.0</v>
      </c>
      <c r="I17" s="209">
        <v>1.0</v>
      </c>
      <c r="J17" s="638">
        <v>60.11</v>
      </c>
      <c r="K17" s="214"/>
      <c r="L17" s="214"/>
      <c r="M17" s="264">
        <f t="shared" si="3"/>
        <v>60.11</v>
      </c>
      <c r="N17" s="210" t="s">
        <v>641</v>
      </c>
      <c r="O17" s="639"/>
      <c r="P17" s="632" t="s">
        <v>1268</v>
      </c>
      <c r="Q17" s="640" t="s">
        <v>762</v>
      </c>
      <c r="R17" s="267" t="s">
        <v>1264</v>
      </c>
      <c r="S17" s="236"/>
      <c r="T17" s="236"/>
      <c r="U17" s="633"/>
      <c r="V17" s="634" t="s">
        <v>1222</v>
      </c>
      <c r="W17" s="217" t="s">
        <v>470</v>
      </c>
      <c r="X17" s="635" t="s">
        <v>650</v>
      </c>
      <c r="Y17" s="210" t="s">
        <v>470</v>
      </c>
      <c r="Z17" s="213"/>
      <c r="AA17" s="213"/>
      <c r="AB17" s="213"/>
      <c r="AC17" s="221"/>
      <c r="AD17" s="221"/>
      <c r="AE17" s="636"/>
      <c r="AF17" s="210" t="s">
        <v>1265</v>
      </c>
      <c r="AG17" s="213"/>
      <c r="AH17" s="213"/>
      <c r="AI17" s="213"/>
      <c r="AJ17" s="213"/>
      <c r="AK17" s="213"/>
      <c r="AL17" s="213"/>
      <c r="AM17" s="213"/>
      <c r="AN17" s="213"/>
      <c r="AO17" s="213"/>
    </row>
    <row r="18">
      <c r="A18" s="209" t="s">
        <v>656</v>
      </c>
      <c r="B18" s="209" t="s">
        <v>1218</v>
      </c>
      <c r="C18" s="279" t="s">
        <v>637</v>
      </c>
      <c r="D18" s="210" t="s">
        <v>1269</v>
      </c>
      <c r="E18" s="211" t="s">
        <v>1270</v>
      </c>
      <c r="F18" s="209" t="s">
        <v>640</v>
      </c>
      <c r="G18" s="641">
        <v>1.0</v>
      </c>
      <c r="H18" s="209"/>
      <c r="I18" s="209">
        <v>1.0</v>
      </c>
      <c r="J18" s="214">
        <v>7.54</v>
      </c>
      <c r="K18" s="214"/>
      <c r="L18" s="214"/>
      <c r="M18" s="214">
        <v>7.54</v>
      </c>
      <c r="N18" s="209" t="s">
        <v>641</v>
      </c>
      <c r="O18" s="209"/>
      <c r="P18" s="642" t="s">
        <v>1271</v>
      </c>
      <c r="Q18" s="211" t="s">
        <v>762</v>
      </c>
      <c r="R18" s="217" t="s">
        <v>1242</v>
      </c>
      <c r="S18" s="643"/>
      <c r="T18" s="643"/>
      <c r="U18" s="209"/>
      <c r="V18" s="436" t="s">
        <v>1222</v>
      </c>
      <c r="W18" s="436" t="s">
        <v>437</v>
      </c>
      <c r="X18" s="436" t="s">
        <v>650</v>
      </c>
      <c r="Y18" s="210" t="s">
        <v>651</v>
      </c>
      <c r="Z18" s="213"/>
      <c r="AA18" s="213"/>
      <c r="AB18" s="213"/>
      <c r="AC18" s="213"/>
      <c r="AD18" s="213"/>
      <c r="AE18" s="213"/>
      <c r="AF18" s="210" t="s">
        <v>1223</v>
      </c>
      <c r="AG18" s="644"/>
      <c r="AH18" s="644"/>
      <c r="AI18" s="644"/>
      <c r="AJ18" s="644"/>
      <c r="AK18" s="644"/>
      <c r="AL18" s="644"/>
      <c r="AM18" s="644"/>
      <c r="AN18" s="644"/>
      <c r="AO18" s="645"/>
    </row>
    <row r="19">
      <c r="A19" s="616" t="s">
        <v>678</v>
      </c>
      <c r="B19" s="616" t="s">
        <v>1218</v>
      </c>
      <c r="C19" s="646" t="s">
        <v>637</v>
      </c>
      <c r="D19" s="587" t="s">
        <v>1272</v>
      </c>
      <c r="E19" s="618" t="s">
        <v>1273</v>
      </c>
      <c r="F19" s="616" t="s">
        <v>640</v>
      </c>
      <c r="G19" s="619" t="s">
        <v>1274</v>
      </c>
      <c r="H19" s="616"/>
      <c r="I19" s="616">
        <v>1.0</v>
      </c>
      <c r="J19" s="620">
        <v>14.17</v>
      </c>
      <c r="K19" s="620"/>
      <c r="L19" s="620"/>
      <c r="M19" s="621">
        <f t="shared" ref="M19:M20" si="4">J19*I19+K19+L19</f>
        <v>14.17</v>
      </c>
      <c r="N19" s="616" t="s">
        <v>1003</v>
      </c>
      <c r="O19" s="616"/>
      <c r="P19" s="622" t="s">
        <v>1275</v>
      </c>
      <c r="Q19" s="618" t="s">
        <v>1276</v>
      </c>
      <c r="R19" s="614" t="s">
        <v>1242</v>
      </c>
      <c r="S19" s="623"/>
      <c r="T19" s="623"/>
      <c r="U19" s="616"/>
      <c r="V19" s="587"/>
      <c r="W19" s="587"/>
      <c r="X19" s="615"/>
      <c r="Y19" s="587"/>
      <c r="Z19" s="306"/>
      <c r="AA19" s="306"/>
      <c r="AB19" s="306"/>
      <c r="AC19" s="624"/>
      <c r="AD19" s="624"/>
      <c r="AE19" s="306"/>
      <c r="AF19" s="587"/>
      <c r="AG19" s="306"/>
      <c r="AH19" s="306"/>
      <c r="AI19" s="306"/>
      <c r="AJ19" s="306"/>
      <c r="AK19" s="306"/>
      <c r="AL19" s="306"/>
      <c r="AM19" s="306"/>
      <c r="AN19" s="306"/>
      <c r="AO19" s="306"/>
    </row>
    <row r="20">
      <c r="A20" s="616" t="s">
        <v>678</v>
      </c>
      <c r="B20" s="616" t="s">
        <v>1218</v>
      </c>
      <c r="C20" s="646" t="s">
        <v>637</v>
      </c>
      <c r="D20" s="587" t="s">
        <v>1277</v>
      </c>
      <c r="E20" s="618" t="s">
        <v>1273</v>
      </c>
      <c r="F20" s="616" t="s">
        <v>640</v>
      </c>
      <c r="G20" s="619" t="s">
        <v>1274</v>
      </c>
      <c r="H20" s="647"/>
      <c r="I20" s="616">
        <v>1.0</v>
      </c>
      <c r="J20" s="620">
        <v>10.0</v>
      </c>
      <c r="K20" s="620"/>
      <c r="L20" s="621"/>
      <c r="M20" s="621">
        <f t="shared" si="4"/>
        <v>10</v>
      </c>
      <c r="N20" s="616" t="s">
        <v>1003</v>
      </c>
      <c r="O20" s="616"/>
      <c r="P20" s="622" t="s">
        <v>1278</v>
      </c>
      <c r="Q20" s="618" t="s">
        <v>1276</v>
      </c>
      <c r="R20" s="614" t="s">
        <v>1242</v>
      </c>
      <c r="S20" s="648"/>
      <c r="T20" s="648"/>
      <c r="U20" s="616"/>
      <c r="V20" s="587"/>
      <c r="W20" s="587"/>
      <c r="X20" s="615"/>
      <c r="Y20" s="587"/>
      <c r="Z20" s="306"/>
      <c r="AA20" s="306"/>
      <c r="AB20" s="306"/>
      <c r="AC20" s="624"/>
      <c r="AD20" s="624"/>
      <c r="AE20" s="306"/>
      <c r="AF20" s="587"/>
      <c r="AG20" s="306"/>
      <c r="AH20" s="306"/>
      <c r="AI20" s="306"/>
      <c r="AJ20" s="306"/>
      <c r="AK20" s="306"/>
      <c r="AL20" s="306"/>
      <c r="AM20" s="306"/>
      <c r="AN20" s="306"/>
      <c r="AO20" s="306"/>
    </row>
    <row r="21">
      <c r="A21" s="209" t="s">
        <v>656</v>
      </c>
      <c r="B21" s="209" t="s">
        <v>1218</v>
      </c>
      <c r="C21" s="629" t="s">
        <v>1187</v>
      </c>
      <c r="D21" s="210" t="s">
        <v>1279</v>
      </c>
      <c r="E21" s="218" t="s">
        <v>1280</v>
      </c>
      <c r="F21" s="616" t="s">
        <v>640</v>
      </c>
      <c r="G21" s="641">
        <v>1.0</v>
      </c>
      <c r="H21" s="209"/>
      <c r="I21" s="209">
        <v>1.0</v>
      </c>
      <c r="J21" s="214"/>
      <c r="K21" s="214"/>
      <c r="L21" s="214"/>
      <c r="M21" s="214">
        <v>7.54</v>
      </c>
      <c r="N21" s="209" t="s">
        <v>641</v>
      </c>
      <c r="O21" s="499"/>
      <c r="P21" s="499"/>
      <c r="Q21" s="649"/>
      <c r="R21" s="499"/>
      <c r="S21" s="499"/>
      <c r="T21" s="499"/>
      <c r="U21" s="28"/>
      <c r="V21" s="650"/>
      <c r="W21" s="28"/>
      <c r="X21" s="627"/>
      <c r="Y21" s="28"/>
      <c r="Z21" s="28"/>
      <c r="AA21" s="28"/>
      <c r="AB21" s="28"/>
      <c r="AC21" s="28"/>
      <c r="AD21" s="28"/>
      <c r="AE21" s="28"/>
      <c r="AF21" s="28"/>
      <c r="AG21" s="28"/>
      <c r="AH21" s="28"/>
      <c r="AI21" s="28"/>
      <c r="AJ21" s="28"/>
      <c r="AK21" s="28"/>
      <c r="AL21" s="28"/>
      <c r="AM21" s="28"/>
      <c r="AN21" s="28"/>
      <c r="AO21" s="28"/>
    </row>
    <row r="22">
      <c r="A22" s="626"/>
      <c r="B22" s="626"/>
      <c r="C22" s="626"/>
      <c r="D22" s="626"/>
      <c r="E22" s="626"/>
      <c r="F22" s="626"/>
      <c r="G22" s="626"/>
      <c r="H22" s="98"/>
      <c r="I22" s="98"/>
      <c r="J22" s="499"/>
      <c r="K22" s="499"/>
      <c r="L22" s="499"/>
      <c r="M22" s="499"/>
      <c r="N22" s="499"/>
      <c r="O22" s="499"/>
      <c r="P22" s="499"/>
      <c r="Q22" s="649"/>
      <c r="R22" s="499"/>
      <c r="S22" s="499"/>
      <c r="T22" s="499"/>
      <c r="U22" s="28"/>
      <c r="V22" s="650"/>
      <c r="W22" s="28"/>
      <c r="X22" s="627"/>
      <c r="Y22" s="28"/>
      <c r="Z22" s="28"/>
      <c r="AA22" s="28"/>
      <c r="AB22" s="28"/>
      <c r="AC22" s="28"/>
      <c r="AD22" s="28"/>
      <c r="AE22" s="28"/>
      <c r="AF22" s="28"/>
      <c r="AG22" s="28"/>
      <c r="AH22" s="28"/>
      <c r="AI22" s="28"/>
      <c r="AJ22" s="28"/>
      <c r="AK22" s="28"/>
      <c r="AL22" s="28"/>
      <c r="AM22" s="28"/>
      <c r="AN22" s="28"/>
      <c r="AO22" s="28"/>
    </row>
    <row r="23">
      <c r="A23" s="628" t="s">
        <v>1281</v>
      </c>
      <c r="H23" s="358"/>
      <c r="I23" s="358"/>
      <c r="J23" s="560"/>
      <c r="K23" s="560"/>
      <c r="L23" s="560"/>
      <c r="M23" s="560"/>
      <c r="N23" s="560"/>
      <c r="O23" s="560"/>
      <c r="P23" s="560"/>
      <c r="Q23" s="468"/>
      <c r="R23" s="560"/>
      <c r="S23" s="560"/>
      <c r="T23" s="560"/>
      <c r="U23" s="208"/>
      <c r="V23" s="651"/>
      <c r="W23" s="208"/>
      <c r="X23" s="561"/>
      <c r="Y23" s="208"/>
      <c r="Z23" s="208"/>
      <c r="AA23" s="208"/>
      <c r="AB23" s="208"/>
      <c r="AC23" s="208"/>
      <c r="AD23" s="208"/>
      <c r="AE23" s="208"/>
      <c r="AF23" s="208"/>
      <c r="AG23" s="208"/>
      <c r="AH23" s="208"/>
      <c r="AI23" s="208"/>
      <c r="AJ23" s="208"/>
      <c r="AK23" s="208"/>
      <c r="AL23" s="208"/>
      <c r="AM23" s="208"/>
      <c r="AN23" s="208"/>
      <c r="AO23" s="208"/>
    </row>
    <row r="24">
      <c r="A24" s="588" t="s">
        <v>753</v>
      </c>
      <c r="B24" s="588" t="s">
        <v>1237</v>
      </c>
      <c r="C24" s="588" t="s">
        <v>1282</v>
      </c>
      <c r="D24" s="588" t="s">
        <v>1283</v>
      </c>
      <c r="E24" s="652" t="s">
        <v>1284</v>
      </c>
      <c r="F24" s="588" t="s">
        <v>640</v>
      </c>
      <c r="G24" s="588">
        <v>1.0</v>
      </c>
      <c r="H24" s="588">
        <v>0.0</v>
      </c>
      <c r="I24" s="588">
        <v>1.0</v>
      </c>
      <c r="J24" s="590">
        <v>349.99</v>
      </c>
      <c r="K24" s="590"/>
      <c r="L24" s="590"/>
      <c r="M24" s="621">
        <f t="shared" ref="M24:M25" si="5">J24*I24+K24+L24</f>
        <v>349.99</v>
      </c>
      <c r="N24" s="588"/>
      <c r="O24" s="588"/>
      <c r="P24" s="653" t="s">
        <v>1285</v>
      </c>
      <c r="Q24" s="652"/>
      <c r="R24" s="588"/>
      <c r="S24" s="306"/>
      <c r="T24" s="306"/>
      <c r="U24" s="588"/>
      <c r="V24" s="588" t="s">
        <v>1222</v>
      </c>
      <c r="W24" s="588" t="s">
        <v>437</v>
      </c>
      <c r="X24" s="588" t="s">
        <v>650</v>
      </c>
      <c r="Y24" s="587" t="s">
        <v>651</v>
      </c>
      <c r="Z24" s="306"/>
      <c r="AA24" s="306"/>
      <c r="AB24" s="306"/>
      <c r="AC24" s="306"/>
      <c r="AD24" s="306"/>
      <c r="AE24" s="306"/>
      <c r="AF24" s="587" t="s">
        <v>775</v>
      </c>
      <c r="AG24" s="306"/>
      <c r="AH24" s="306"/>
      <c r="AI24" s="306"/>
      <c r="AJ24" s="306"/>
      <c r="AK24" s="306"/>
      <c r="AL24" s="306"/>
      <c r="AM24" s="306"/>
      <c r="AN24" s="306"/>
      <c r="AO24" s="306"/>
    </row>
    <row r="25">
      <c r="A25" s="588" t="s">
        <v>753</v>
      </c>
      <c r="B25" s="588" t="s">
        <v>1237</v>
      </c>
      <c r="C25" s="588" t="s">
        <v>1286</v>
      </c>
      <c r="D25" s="588" t="s">
        <v>1287</v>
      </c>
      <c r="E25" s="652" t="s">
        <v>1288</v>
      </c>
      <c r="F25" s="587" t="s">
        <v>640</v>
      </c>
      <c r="G25" s="588">
        <v>1.0</v>
      </c>
      <c r="H25" s="588">
        <v>0.0</v>
      </c>
      <c r="I25" s="588">
        <v>1.0</v>
      </c>
      <c r="J25" s="590">
        <v>284.99</v>
      </c>
      <c r="K25" s="590"/>
      <c r="L25" s="590"/>
      <c r="M25" s="621">
        <f t="shared" si="5"/>
        <v>284.99</v>
      </c>
      <c r="N25" s="588"/>
      <c r="O25" s="588"/>
      <c r="P25" s="653" t="s">
        <v>1289</v>
      </c>
      <c r="Q25" s="652"/>
      <c r="R25" s="588"/>
      <c r="S25" s="306"/>
      <c r="T25" s="306"/>
      <c r="U25" s="588"/>
      <c r="V25" s="588" t="s">
        <v>1222</v>
      </c>
      <c r="W25" s="588" t="s">
        <v>437</v>
      </c>
      <c r="X25" s="588" t="s">
        <v>650</v>
      </c>
      <c r="Y25" s="587" t="s">
        <v>651</v>
      </c>
      <c r="Z25" s="306"/>
      <c r="AA25" s="306"/>
      <c r="AB25" s="306"/>
      <c r="AC25" s="306"/>
      <c r="AD25" s="306"/>
      <c r="AE25" s="306"/>
      <c r="AF25" s="587" t="s">
        <v>775</v>
      </c>
      <c r="AG25" s="306"/>
      <c r="AH25" s="306"/>
      <c r="AI25" s="306"/>
      <c r="AJ25" s="306"/>
      <c r="AK25" s="306"/>
      <c r="AL25" s="306"/>
      <c r="AM25" s="306"/>
      <c r="AN25" s="306"/>
      <c r="AO25" s="306"/>
    </row>
    <row r="26">
      <c r="A26" s="210" t="s">
        <v>656</v>
      </c>
      <c r="B26" s="210"/>
      <c r="C26" s="210" t="s">
        <v>1290</v>
      </c>
      <c r="D26" s="210" t="s">
        <v>1291</v>
      </c>
      <c r="E26" s="218" t="s">
        <v>1292</v>
      </c>
      <c r="F26" s="210"/>
      <c r="G26" s="210">
        <v>1.0</v>
      </c>
      <c r="H26" s="210">
        <v>0.0</v>
      </c>
      <c r="I26" s="210">
        <v>1.0</v>
      </c>
      <c r="J26" s="277">
        <v>30.67</v>
      </c>
      <c r="K26" s="277">
        <v>31.11</v>
      </c>
      <c r="L26" s="278"/>
      <c r="M26" s="214">
        <f>J26*I26+K26</f>
        <v>61.78</v>
      </c>
      <c r="N26" s="436"/>
      <c r="O26" s="436"/>
      <c r="P26" s="290" t="s">
        <v>1293</v>
      </c>
      <c r="Q26" s="610"/>
      <c r="R26" s="436"/>
      <c r="S26" s="213"/>
      <c r="T26" s="213"/>
      <c r="U26" s="436"/>
      <c r="V26" s="436" t="s">
        <v>1222</v>
      </c>
      <c r="W26" s="436" t="s">
        <v>437</v>
      </c>
      <c r="X26" s="436" t="s">
        <v>650</v>
      </c>
      <c r="Y26" s="210" t="s">
        <v>1222</v>
      </c>
      <c r="Z26" s="213"/>
      <c r="AA26" s="213"/>
      <c r="AB26" s="213"/>
      <c r="AC26" s="213"/>
      <c r="AD26" s="213"/>
      <c r="AE26" s="213"/>
      <c r="AF26" s="436"/>
      <c r="AG26" s="213"/>
      <c r="AH26" s="213"/>
      <c r="AI26" s="213"/>
      <c r="AJ26" s="213"/>
      <c r="AK26" s="213"/>
      <c r="AL26" s="213"/>
      <c r="AM26" s="213"/>
      <c r="AN26" s="213"/>
      <c r="AO26" s="213"/>
    </row>
    <row r="27">
      <c r="A27" s="588" t="s">
        <v>753</v>
      </c>
      <c r="B27" s="588" t="s">
        <v>1218</v>
      </c>
      <c r="C27" s="587" t="s">
        <v>1294</v>
      </c>
      <c r="D27" s="587" t="s">
        <v>1295</v>
      </c>
      <c r="E27" s="613" t="s">
        <v>1296</v>
      </c>
      <c r="F27" s="587" t="s">
        <v>640</v>
      </c>
      <c r="G27" s="587">
        <v>10.0</v>
      </c>
      <c r="H27" s="587">
        <v>2.0</v>
      </c>
      <c r="I27" s="588">
        <f t="shared" ref="I27:I29" si="6">H27+G27</f>
        <v>12</v>
      </c>
      <c r="J27" s="589">
        <v>11.56</v>
      </c>
      <c r="K27" s="590"/>
      <c r="L27" s="590"/>
      <c r="M27" s="621">
        <f t="shared" ref="M27:M33" si="7">J27*I27+K27+L27</f>
        <v>138.72</v>
      </c>
      <c r="N27" s="587" t="s">
        <v>1297</v>
      </c>
      <c r="O27" s="588"/>
      <c r="P27" s="654" t="s">
        <v>1298</v>
      </c>
      <c r="Q27" s="655"/>
      <c r="R27" s="590"/>
      <c r="S27" s="306"/>
      <c r="T27" s="306"/>
      <c r="U27" s="306"/>
      <c r="V27" s="588" t="s">
        <v>1222</v>
      </c>
      <c r="W27" s="588" t="s">
        <v>437</v>
      </c>
      <c r="X27" s="588" t="s">
        <v>650</v>
      </c>
      <c r="Y27" s="587" t="s">
        <v>1299</v>
      </c>
      <c r="Z27" s="306"/>
      <c r="AA27" s="306"/>
      <c r="AB27" s="306"/>
      <c r="AC27" s="588"/>
      <c r="AD27" s="588"/>
      <c r="AE27" s="656"/>
      <c r="AF27" s="588"/>
      <c r="AG27" s="306"/>
      <c r="AH27" s="306"/>
      <c r="AI27" s="306"/>
      <c r="AJ27" s="306"/>
      <c r="AK27" s="306"/>
      <c r="AL27" s="306"/>
      <c r="AM27" s="306"/>
      <c r="AN27" s="306"/>
      <c r="AO27" s="306"/>
    </row>
    <row r="28">
      <c r="A28" s="588" t="s">
        <v>753</v>
      </c>
      <c r="B28" s="588" t="s">
        <v>1218</v>
      </c>
      <c r="C28" s="306"/>
      <c r="D28" s="657" t="s">
        <v>1300</v>
      </c>
      <c r="E28" s="613" t="s">
        <v>1296</v>
      </c>
      <c r="F28" s="616" t="s">
        <v>640</v>
      </c>
      <c r="G28" s="658">
        <v>5.0</v>
      </c>
      <c r="H28" s="616">
        <v>1.0</v>
      </c>
      <c r="I28" s="588">
        <f t="shared" si="6"/>
        <v>6</v>
      </c>
      <c r="J28" s="659">
        <v>15.67</v>
      </c>
      <c r="K28" s="620"/>
      <c r="L28" s="620"/>
      <c r="M28" s="621">
        <f t="shared" si="7"/>
        <v>94.02</v>
      </c>
      <c r="N28" s="587" t="s">
        <v>1297</v>
      </c>
      <c r="O28" s="660"/>
      <c r="P28" s="622" t="s">
        <v>1301</v>
      </c>
      <c r="Q28" s="661"/>
      <c r="R28" s="662"/>
      <c r="S28" s="624"/>
      <c r="T28" s="624"/>
      <c r="U28" s="663"/>
      <c r="V28" s="588" t="s">
        <v>1222</v>
      </c>
      <c r="W28" s="588" t="s">
        <v>437</v>
      </c>
      <c r="X28" s="588" t="s">
        <v>650</v>
      </c>
      <c r="Y28" s="587" t="s">
        <v>1299</v>
      </c>
      <c r="Z28" s="306"/>
      <c r="AA28" s="306"/>
      <c r="AB28" s="306"/>
      <c r="AC28" s="660"/>
      <c r="AD28" s="660"/>
      <c r="AE28" s="664"/>
      <c r="AF28" s="587"/>
      <c r="AG28" s="306"/>
      <c r="AH28" s="306"/>
      <c r="AI28" s="306"/>
      <c r="AJ28" s="306"/>
      <c r="AK28" s="306"/>
      <c r="AL28" s="306"/>
      <c r="AM28" s="306"/>
      <c r="AN28" s="306"/>
      <c r="AO28" s="306"/>
    </row>
    <row r="29">
      <c r="A29" s="588" t="s">
        <v>753</v>
      </c>
      <c r="B29" s="588" t="s">
        <v>1218</v>
      </c>
      <c r="C29" s="306"/>
      <c r="D29" s="657" t="s">
        <v>1302</v>
      </c>
      <c r="E29" s="613" t="s">
        <v>1296</v>
      </c>
      <c r="F29" s="616" t="s">
        <v>640</v>
      </c>
      <c r="G29" s="658">
        <v>5.0</v>
      </c>
      <c r="H29" s="616">
        <v>1.0</v>
      </c>
      <c r="I29" s="588">
        <f t="shared" si="6"/>
        <v>6</v>
      </c>
      <c r="J29" s="659">
        <v>12.76</v>
      </c>
      <c r="K29" s="620"/>
      <c r="L29" s="620"/>
      <c r="M29" s="621">
        <f t="shared" si="7"/>
        <v>76.56</v>
      </c>
      <c r="N29" s="587" t="s">
        <v>1297</v>
      </c>
      <c r="O29" s="660"/>
      <c r="P29" s="665" t="s">
        <v>1303</v>
      </c>
      <c r="Q29" s="661"/>
      <c r="R29" s="662"/>
      <c r="S29" s="624"/>
      <c r="T29" s="624"/>
      <c r="U29" s="663"/>
      <c r="V29" s="588" t="s">
        <v>1222</v>
      </c>
      <c r="W29" s="588" t="s">
        <v>437</v>
      </c>
      <c r="X29" s="588" t="s">
        <v>650</v>
      </c>
      <c r="Y29" s="587" t="s">
        <v>1299</v>
      </c>
      <c r="Z29" s="306"/>
      <c r="AA29" s="306"/>
      <c r="AB29" s="306"/>
      <c r="AC29" s="660"/>
      <c r="AD29" s="660"/>
      <c r="AE29" s="664"/>
      <c r="AF29" s="587"/>
      <c r="AG29" s="306"/>
      <c r="AH29" s="306"/>
      <c r="AI29" s="306"/>
      <c r="AJ29" s="306"/>
      <c r="AK29" s="306"/>
      <c r="AL29" s="306"/>
      <c r="AM29" s="306"/>
      <c r="AN29" s="306"/>
      <c r="AO29" s="306"/>
    </row>
    <row r="30">
      <c r="A30" s="666" t="s">
        <v>1304</v>
      </c>
      <c r="B30" s="666" t="s">
        <v>1218</v>
      </c>
      <c r="C30" s="667" t="s">
        <v>1305</v>
      </c>
      <c r="D30" s="668" t="s">
        <v>1306</v>
      </c>
      <c r="E30" s="669" t="s">
        <v>1307</v>
      </c>
      <c r="F30" s="666" t="s">
        <v>640</v>
      </c>
      <c r="G30" s="658">
        <v>25.0</v>
      </c>
      <c r="H30" s="670">
        <v>0.0</v>
      </c>
      <c r="I30" s="587">
        <v>25.0</v>
      </c>
      <c r="J30" s="671">
        <v>0.777</v>
      </c>
      <c r="K30" s="672"/>
      <c r="L30" s="672"/>
      <c r="M30" s="621">
        <f t="shared" si="7"/>
        <v>19.425</v>
      </c>
      <c r="N30" s="587" t="s">
        <v>1297</v>
      </c>
      <c r="O30" s="660" t="s">
        <v>1308</v>
      </c>
      <c r="P30" s="665" t="s">
        <v>1309</v>
      </c>
      <c r="Q30" s="673"/>
      <c r="R30" s="674"/>
      <c r="S30" s="675"/>
      <c r="T30" s="675"/>
      <c r="U30" s="663"/>
      <c r="V30" s="676" t="s">
        <v>1222</v>
      </c>
      <c r="W30" s="614"/>
      <c r="X30" s="615"/>
      <c r="Y30" s="587" t="s">
        <v>1299</v>
      </c>
      <c r="Z30" s="306"/>
      <c r="AA30" s="306"/>
      <c r="AB30" s="306"/>
      <c r="AC30" s="624"/>
      <c r="AD30" s="624"/>
      <c r="AE30" s="306"/>
      <c r="AF30" s="587"/>
      <c r="AG30" s="306"/>
      <c r="AH30" s="306"/>
      <c r="AI30" s="306"/>
      <c r="AJ30" s="306"/>
      <c r="AK30" s="306"/>
      <c r="AL30" s="306"/>
      <c r="AM30" s="306"/>
      <c r="AN30" s="306"/>
      <c r="AO30" s="306"/>
    </row>
    <row r="31">
      <c r="A31" s="666" t="s">
        <v>1304</v>
      </c>
      <c r="B31" s="666" t="s">
        <v>1218</v>
      </c>
      <c r="C31" s="667" t="s">
        <v>1310</v>
      </c>
      <c r="D31" s="668" t="s">
        <v>1311</v>
      </c>
      <c r="E31" s="669" t="s">
        <v>1307</v>
      </c>
      <c r="F31" s="666" t="s">
        <v>640</v>
      </c>
      <c r="G31" s="658">
        <v>2.0</v>
      </c>
      <c r="H31" s="670">
        <v>0.0</v>
      </c>
      <c r="I31" s="587">
        <v>2.0</v>
      </c>
      <c r="J31" s="671">
        <v>2.1</v>
      </c>
      <c r="K31" s="672"/>
      <c r="L31" s="672"/>
      <c r="M31" s="621">
        <f t="shared" si="7"/>
        <v>4.2</v>
      </c>
      <c r="N31" s="587" t="s">
        <v>1312</v>
      </c>
      <c r="O31" s="660" t="s">
        <v>1313</v>
      </c>
      <c r="P31" s="665" t="s">
        <v>1314</v>
      </c>
      <c r="Q31" s="673"/>
      <c r="R31" s="674"/>
      <c r="S31" s="675"/>
      <c r="T31" s="675"/>
      <c r="U31" s="663"/>
      <c r="V31" s="676" t="s">
        <v>1222</v>
      </c>
      <c r="W31" s="614"/>
      <c r="X31" s="615"/>
      <c r="Y31" s="587" t="s">
        <v>1315</v>
      </c>
      <c r="Z31" s="306"/>
      <c r="AA31" s="306"/>
      <c r="AB31" s="306"/>
      <c r="AC31" s="624"/>
      <c r="AD31" s="624"/>
      <c r="AE31" s="306"/>
      <c r="AF31" s="587" t="s">
        <v>775</v>
      </c>
      <c r="AG31" s="306"/>
      <c r="AH31" s="306"/>
      <c r="AI31" s="306"/>
      <c r="AJ31" s="306"/>
      <c r="AK31" s="306"/>
      <c r="AL31" s="306"/>
      <c r="AM31" s="306"/>
      <c r="AN31" s="306"/>
      <c r="AO31" s="306"/>
    </row>
    <row r="32">
      <c r="A32" s="666" t="s">
        <v>1304</v>
      </c>
      <c r="B32" s="666" t="s">
        <v>1218</v>
      </c>
      <c r="C32" s="667" t="s">
        <v>1316</v>
      </c>
      <c r="D32" s="668" t="s">
        <v>1317</v>
      </c>
      <c r="E32" s="669" t="s">
        <v>1307</v>
      </c>
      <c r="F32" s="666" t="s">
        <v>640</v>
      </c>
      <c r="G32" s="658">
        <v>2.0</v>
      </c>
      <c r="H32" s="670">
        <v>0.0</v>
      </c>
      <c r="I32" s="587">
        <v>2.0</v>
      </c>
      <c r="J32" s="671">
        <v>2.21</v>
      </c>
      <c r="K32" s="672"/>
      <c r="L32" s="672"/>
      <c r="M32" s="621">
        <f t="shared" si="7"/>
        <v>4.42</v>
      </c>
      <c r="N32" s="587" t="s">
        <v>1312</v>
      </c>
      <c r="O32" s="660" t="s">
        <v>1318</v>
      </c>
      <c r="P32" s="665" t="s">
        <v>1319</v>
      </c>
      <c r="Q32" s="673"/>
      <c r="R32" s="674"/>
      <c r="S32" s="675"/>
      <c r="T32" s="675"/>
      <c r="U32" s="663"/>
      <c r="V32" s="676" t="s">
        <v>1222</v>
      </c>
      <c r="W32" s="614"/>
      <c r="X32" s="615"/>
      <c r="Y32" s="587" t="s">
        <v>1315</v>
      </c>
      <c r="Z32" s="306"/>
      <c r="AA32" s="306"/>
      <c r="AB32" s="306"/>
      <c r="AC32" s="624"/>
      <c r="AD32" s="624"/>
      <c r="AE32" s="306"/>
      <c r="AF32" s="587" t="s">
        <v>775</v>
      </c>
      <c r="AG32" s="306"/>
      <c r="AH32" s="306"/>
      <c r="AI32" s="306"/>
      <c r="AJ32" s="306"/>
      <c r="AK32" s="306"/>
      <c r="AL32" s="306"/>
      <c r="AM32" s="306"/>
      <c r="AN32" s="306"/>
      <c r="AO32" s="306"/>
    </row>
    <row r="33">
      <c r="A33" s="666" t="s">
        <v>656</v>
      </c>
      <c r="B33" s="666" t="s">
        <v>1218</v>
      </c>
      <c r="C33" s="667" t="s">
        <v>1320</v>
      </c>
      <c r="D33" s="668" t="s">
        <v>1321</v>
      </c>
      <c r="E33" s="669" t="s">
        <v>1322</v>
      </c>
      <c r="F33" s="666" t="s">
        <v>640</v>
      </c>
      <c r="G33" s="658">
        <v>1.0</v>
      </c>
      <c r="H33" s="670"/>
      <c r="I33" s="587">
        <v>1.0</v>
      </c>
      <c r="J33" s="671">
        <v>116.8</v>
      </c>
      <c r="K33" s="672"/>
      <c r="L33" s="672"/>
      <c r="M33" s="621">
        <f t="shared" si="7"/>
        <v>116.8</v>
      </c>
      <c r="N33" s="587"/>
      <c r="O33" s="660"/>
      <c r="P33" s="622" t="s">
        <v>1323</v>
      </c>
      <c r="Q33" s="673"/>
      <c r="R33" s="674"/>
      <c r="S33" s="675"/>
      <c r="T33" s="675"/>
      <c r="U33" s="663"/>
      <c r="V33" s="676" t="s">
        <v>1222</v>
      </c>
      <c r="W33" s="588" t="s">
        <v>437</v>
      </c>
      <c r="X33" s="615" t="s">
        <v>650</v>
      </c>
      <c r="Y33" s="587" t="s">
        <v>651</v>
      </c>
      <c r="Z33" s="306"/>
      <c r="AA33" s="306"/>
      <c r="AB33" s="306"/>
      <c r="AC33" s="624"/>
      <c r="AD33" s="624"/>
      <c r="AE33" s="306"/>
      <c r="AF33" s="587" t="s">
        <v>837</v>
      </c>
      <c r="AG33" s="306"/>
      <c r="AH33" s="306"/>
      <c r="AI33" s="306"/>
      <c r="AJ33" s="306"/>
      <c r="AK33" s="306"/>
      <c r="AL33" s="306"/>
      <c r="AM33" s="306"/>
      <c r="AN33" s="306"/>
      <c r="AO33" s="306"/>
    </row>
    <row r="34">
      <c r="A34" s="666" t="s">
        <v>753</v>
      </c>
      <c r="B34" s="666" t="s">
        <v>1324</v>
      </c>
      <c r="C34" s="667" t="s">
        <v>1325</v>
      </c>
      <c r="D34" s="668" t="s">
        <v>1326</v>
      </c>
      <c r="E34" s="669"/>
      <c r="F34" s="666" t="s">
        <v>640</v>
      </c>
      <c r="G34" s="658"/>
      <c r="H34" s="670"/>
      <c r="I34" s="588">
        <f t="shared" ref="I34:I35" si="8">H34+G34</f>
        <v>0</v>
      </c>
      <c r="J34" s="671">
        <v>141.66</v>
      </c>
      <c r="K34" s="677">
        <v>110.56</v>
      </c>
      <c r="L34" s="672"/>
      <c r="M34" s="620">
        <v>252.22</v>
      </c>
      <c r="N34" s="587"/>
      <c r="O34" s="660"/>
      <c r="P34" s="678" t="s">
        <v>1327</v>
      </c>
      <c r="Q34" s="673"/>
      <c r="R34" s="674"/>
      <c r="S34" s="675"/>
      <c r="T34" s="675"/>
      <c r="U34" s="663"/>
      <c r="V34" s="676" t="s">
        <v>1222</v>
      </c>
      <c r="W34" s="588" t="s">
        <v>437</v>
      </c>
      <c r="X34" s="615" t="s">
        <v>650</v>
      </c>
      <c r="Y34" s="587" t="s">
        <v>1222</v>
      </c>
      <c r="Z34" s="306"/>
      <c r="AA34" s="306"/>
      <c r="AB34" s="306"/>
      <c r="AC34" s="624"/>
      <c r="AD34" s="624"/>
      <c r="AE34" s="306"/>
      <c r="AF34" s="587"/>
      <c r="AG34" s="306"/>
      <c r="AH34" s="306"/>
      <c r="AI34" s="306"/>
      <c r="AJ34" s="306"/>
      <c r="AK34" s="306"/>
      <c r="AL34" s="306"/>
      <c r="AM34" s="306"/>
      <c r="AN34" s="306"/>
      <c r="AO34" s="306"/>
    </row>
    <row r="35">
      <c r="A35" s="666" t="s">
        <v>656</v>
      </c>
      <c r="B35" s="666" t="s">
        <v>1218</v>
      </c>
      <c r="C35" s="668" t="s">
        <v>1328</v>
      </c>
      <c r="D35" s="668" t="s">
        <v>1329</v>
      </c>
      <c r="E35" s="669" t="s">
        <v>1322</v>
      </c>
      <c r="F35" s="666" t="s">
        <v>640</v>
      </c>
      <c r="G35" s="658">
        <v>2.0</v>
      </c>
      <c r="H35" s="670"/>
      <c r="I35" s="588">
        <f t="shared" si="8"/>
        <v>2</v>
      </c>
      <c r="J35" s="671">
        <f>107.98/2</f>
        <v>53.99</v>
      </c>
      <c r="K35" s="677">
        <v>155.8</v>
      </c>
      <c r="L35" s="672"/>
      <c r="M35" s="620">
        <f t="shared" ref="M35:M36" si="9">J35*I35+K35</f>
        <v>263.78</v>
      </c>
      <c r="N35" s="587"/>
      <c r="O35" s="660"/>
      <c r="P35" s="678" t="s">
        <v>1330</v>
      </c>
      <c r="Q35" s="673"/>
      <c r="R35" s="674"/>
      <c r="S35" s="675"/>
      <c r="T35" s="675"/>
      <c r="U35" s="663"/>
      <c r="V35" s="676" t="s">
        <v>1222</v>
      </c>
      <c r="W35" s="588" t="s">
        <v>437</v>
      </c>
      <c r="X35" s="615" t="s">
        <v>650</v>
      </c>
      <c r="Y35" s="587" t="s">
        <v>651</v>
      </c>
      <c r="Z35" s="306"/>
      <c r="AA35" s="306"/>
      <c r="AB35" s="306"/>
      <c r="AC35" s="624"/>
      <c r="AD35" s="624"/>
      <c r="AE35" s="306"/>
      <c r="AF35" s="587" t="s">
        <v>837</v>
      </c>
      <c r="AG35" s="306"/>
      <c r="AH35" s="306"/>
      <c r="AI35" s="306"/>
      <c r="AJ35" s="306"/>
      <c r="AK35" s="306"/>
      <c r="AL35" s="306"/>
      <c r="AM35" s="306"/>
      <c r="AN35" s="306"/>
      <c r="AO35" s="306"/>
    </row>
    <row r="36">
      <c r="A36" s="666" t="s">
        <v>656</v>
      </c>
      <c r="B36" s="666"/>
      <c r="C36" s="668" t="s">
        <v>1331</v>
      </c>
      <c r="D36" s="668" t="s">
        <v>1332</v>
      </c>
      <c r="E36" s="669" t="s">
        <v>1322</v>
      </c>
      <c r="F36" s="666" t="s">
        <v>640</v>
      </c>
      <c r="G36" s="658">
        <v>2.0</v>
      </c>
      <c r="H36" s="670">
        <v>0.0</v>
      </c>
      <c r="I36" s="587">
        <v>2.0</v>
      </c>
      <c r="J36" s="671">
        <v>12.12</v>
      </c>
      <c r="K36" s="677"/>
      <c r="L36" s="672"/>
      <c r="M36" s="620">
        <f t="shared" si="9"/>
        <v>24.24</v>
      </c>
      <c r="N36" s="587"/>
      <c r="O36" s="660"/>
      <c r="P36" s="678" t="s">
        <v>1333</v>
      </c>
      <c r="Q36" s="673"/>
      <c r="R36" s="674"/>
      <c r="S36" s="675"/>
      <c r="T36" s="675"/>
      <c r="U36" s="663"/>
      <c r="V36" s="676"/>
      <c r="W36" s="588"/>
      <c r="X36" s="615"/>
      <c r="Y36" s="587" t="s">
        <v>1222</v>
      </c>
      <c r="Z36" s="306"/>
      <c r="AA36" s="306"/>
      <c r="AB36" s="306"/>
      <c r="AC36" s="624"/>
      <c r="AD36" s="624"/>
      <c r="AE36" s="306"/>
      <c r="AF36" s="587"/>
      <c r="AG36" s="306"/>
      <c r="AH36" s="306"/>
      <c r="AI36" s="306"/>
      <c r="AJ36" s="306"/>
      <c r="AK36" s="306"/>
      <c r="AL36" s="306"/>
      <c r="AM36" s="306"/>
      <c r="AN36" s="306"/>
      <c r="AO36" s="306"/>
    </row>
    <row r="37">
      <c r="A37" s="679" t="s">
        <v>656</v>
      </c>
      <c r="B37" s="679" t="s">
        <v>1218</v>
      </c>
      <c r="C37" s="680" t="s">
        <v>1334</v>
      </c>
      <c r="D37" s="681" t="s">
        <v>1335</v>
      </c>
      <c r="E37" s="682" t="s">
        <v>1336</v>
      </c>
      <c r="F37" s="679" t="s">
        <v>640</v>
      </c>
      <c r="G37" s="683">
        <v>2.0</v>
      </c>
      <c r="H37" s="684">
        <v>1.0</v>
      </c>
      <c r="I37" s="42">
        <v>3.0</v>
      </c>
      <c r="J37" s="685">
        <v>150.0</v>
      </c>
      <c r="K37" s="686">
        <v>83.0</v>
      </c>
      <c r="L37" s="687"/>
      <c r="M37" s="688">
        <v>233.0</v>
      </c>
      <c r="N37" s="42"/>
      <c r="O37" s="689"/>
      <c r="P37" s="690" t="s">
        <v>1337</v>
      </c>
      <c r="Q37" s="691"/>
      <c r="R37" s="692" t="s">
        <v>1264</v>
      </c>
      <c r="S37" s="693"/>
      <c r="T37" s="693"/>
      <c r="U37" s="694"/>
      <c r="V37" s="695"/>
      <c r="W37" s="696"/>
      <c r="X37" s="697"/>
      <c r="Y37" s="42"/>
      <c r="Z37" s="58"/>
      <c r="AA37" s="58"/>
      <c r="AB37" s="58"/>
      <c r="AC37" s="136"/>
      <c r="AD37" s="136"/>
      <c r="AE37" s="58"/>
      <c r="AF37" s="42"/>
      <c r="AG37" s="58"/>
      <c r="AH37" s="58"/>
      <c r="AI37" s="58"/>
      <c r="AJ37" s="58"/>
      <c r="AK37" s="58"/>
      <c r="AL37" s="58"/>
      <c r="AM37" s="58"/>
      <c r="AN37" s="58"/>
      <c r="AO37" s="58"/>
    </row>
    <row r="38">
      <c r="A38" s="679" t="s">
        <v>753</v>
      </c>
      <c r="B38" s="679" t="s">
        <v>1218</v>
      </c>
      <c r="C38" s="680" t="s">
        <v>1338</v>
      </c>
      <c r="D38" s="681" t="s">
        <v>1339</v>
      </c>
      <c r="E38" s="682"/>
      <c r="F38" s="679" t="s">
        <v>640</v>
      </c>
      <c r="G38" s="683">
        <v>6.0</v>
      </c>
      <c r="H38" s="684"/>
      <c r="I38" s="42">
        <v>8.0</v>
      </c>
      <c r="J38" s="685">
        <v>1.92</v>
      </c>
      <c r="K38" s="687"/>
      <c r="L38" s="687"/>
      <c r="M38" s="698">
        <f>J38*I38+K38+L38</f>
        <v>15.36</v>
      </c>
      <c r="N38" s="42"/>
      <c r="O38" s="689"/>
      <c r="P38" s="699" t="s">
        <v>1340</v>
      </c>
      <c r="Q38" s="691"/>
      <c r="R38" s="692"/>
      <c r="S38" s="693"/>
      <c r="T38" s="693"/>
      <c r="U38" s="694"/>
      <c r="V38" s="695"/>
      <c r="W38" s="696"/>
      <c r="X38" s="697"/>
      <c r="Y38" s="42"/>
      <c r="Z38" s="58"/>
      <c r="AA38" s="58"/>
      <c r="AB38" s="58"/>
      <c r="AC38" s="136"/>
      <c r="AD38" s="136"/>
      <c r="AE38" s="58"/>
      <c r="AF38" s="42"/>
      <c r="AG38" s="58"/>
      <c r="AH38" s="58"/>
      <c r="AI38" s="58"/>
      <c r="AJ38" s="58"/>
      <c r="AK38" s="58"/>
      <c r="AL38" s="58"/>
      <c r="AM38" s="58"/>
      <c r="AN38" s="58"/>
      <c r="AO38" s="58"/>
    </row>
    <row r="39" ht="16.5" customHeight="1">
      <c r="A39" s="700"/>
      <c r="B39" s="700"/>
      <c r="C39" s="700"/>
      <c r="D39" s="700"/>
      <c r="E39" s="700"/>
      <c r="F39" s="700"/>
      <c r="G39" s="700"/>
      <c r="H39" s="98"/>
      <c r="I39" s="98"/>
      <c r="J39" s="499"/>
      <c r="K39" s="499"/>
      <c r="L39" s="499"/>
      <c r="M39" s="499"/>
      <c r="N39" s="499"/>
      <c r="O39" s="499"/>
      <c r="P39" s="499"/>
      <c r="Q39" s="649"/>
      <c r="R39" s="499"/>
      <c r="S39" s="499"/>
      <c r="T39" s="499"/>
      <c r="U39" s="28"/>
      <c r="V39" s="650"/>
      <c r="W39" s="28"/>
      <c r="X39" s="627"/>
      <c r="Y39" s="28"/>
      <c r="Z39" s="28"/>
      <c r="AA39" s="28"/>
      <c r="AB39" s="28"/>
      <c r="AC39" s="28"/>
      <c r="AD39" s="28"/>
      <c r="AE39" s="28"/>
      <c r="AF39" s="28"/>
      <c r="AG39" s="28"/>
      <c r="AH39" s="28"/>
      <c r="AI39" s="28"/>
      <c r="AJ39" s="28"/>
      <c r="AK39" s="28"/>
      <c r="AL39" s="28"/>
      <c r="AM39" s="28"/>
      <c r="AN39" s="28"/>
      <c r="AO39" s="28"/>
    </row>
    <row r="40">
      <c r="A40" s="700"/>
      <c r="B40" s="700"/>
      <c r="C40" s="700"/>
      <c r="D40" s="700"/>
      <c r="E40" s="700"/>
      <c r="F40" s="700"/>
      <c r="G40" s="700"/>
      <c r="H40" s="98"/>
      <c r="I40" s="98"/>
      <c r="J40" s="499"/>
      <c r="K40" s="499"/>
      <c r="L40" s="499"/>
      <c r="M40" s="499"/>
      <c r="N40" s="499"/>
      <c r="O40" s="499"/>
      <c r="P40" s="499"/>
      <c r="Q40" s="649"/>
      <c r="R40" s="499"/>
      <c r="S40" s="499"/>
      <c r="T40" s="499"/>
      <c r="U40" s="28"/>
      <c r="V40" s="650"/>
      <c r="W40" s="28"/>
      <c r="X40" s="627"/>
      <c r="Y40" s="28"/>
      <c r="Z40" s="28"/>
      <c r="AA40" s="28"/>
      <c r="AB40" s="28"/>
      <c r="AC40" s="28"/>
      <c r="AD40" s="28"/>
      <c r="AE40" s="28"/>
      <c r="AF40" s="28"/>
      <c r="AG40" s="28"/>
      <c r="AH40" s="28"/>
      <c r="AI40" s="28"/>
      <c r="AJ40" s="28"/>
      <c r="AK40" s="28"/>
      <c r="AL40" s="28"/>
      <c r="AM40" s="28"/>
      <c r="AN40" s="28"/>
      <c r="AO40" s="28"/>
    </row>
    <row r="41">
      <c r="A41" s="559" t="s">
        <v>1341</v>
      </c>
      <c r="H41" s="358"/>
      <c r="I41" s="358"/>
      <c r="J41" s="560"/>
      <c r="K41" s="560"/>
      <c r="L41" s="560"/>
      <c r="M41" s="560"/>
      <c r="N41" s="560"/>
      <c r="O41" s="560"/>
      <c r="P41" s="560"/>
      <c r="Q41" s="468"/>
      <c r="R41" s="560"/>
      <c r="S41" s="560"/>
      <c r="T41" s="560"/>
      <c r="U41" s="208"/>
      <c r="V41" s="651"/>
      <c r="W41" s="208"/>
      <c r="X41" s="561"/>
      <c r="Y41" s="208"/>
      <c r="Z41" s="208"/>
      <c r="AA41" s="208"/>
      <c r="AB41" s="208"/>
      <c r="AC41" s="208"/>
      <c r="AD41" s="208"/>
      <c r="AE41" s="208"/>
      <c r="AF41" s="208"/>
      <c r="AG41" s="208"/>
      <c r="AH41" s="208"/>
      <c r="AI41" s="208"/>
      <c r="AJ41" s="208"/>
      <c r="AK41" s="208"/>
      <c r="AL41" s="208"/>
      <c r="AM41" s="208"/>
      <c r="AN41" s="208"/>
      <c r="AO41" s="208"/>
    </row>
    <row r="42">
      <c r="A42" s="369" t="s">
        <v>656</v>
      </c>
      <c r="B42" s="369" t="s">
        <v>1218</v>
      </c>
      <c r="C42" s="291" t="s">
        <v>1342</v>
      </c>
      <c r="D42" s="265" t="s">
        <v>1343</v>
      </c>
      <c r="E42" s="265" t="s">
        <v>1344</v>
      </c>
      <c r="F42" s="369" t="s">
        <v>640</v>
      </c>
      <c r="G42" s="263">
        <v>2.0</v>
      </c>
      <c r="H42" s="366"/>
      <c r="I42" s="436">
        <f>H42+G42</f>
        <v>2</v>
      </c>
      <c r="J42" s="701">
        <v>22.55</v>
      </c>
      <c r="K42" s="371"/>
      <c r="L42" s="371"/>
      <c r="M42" s="214">
        <f>J42*I42+K42+L42</f>
        <v>45.1</v>
      </c>
      <c r="N42" s="702"/>
      <c r="O42" s="703"/>
      <c r="P42" s="704" t="s">
        <v>1345</v>
      </c>
      <c r="Q42" s="705"/>
      <c r="R42" s="706"/>
      <c r="S42" s="363"/>
      <c r="T42" s="363"/>
      <c r="U42" s="707"/>
      <c r="V42" s="634"/>
      <c r="W42" s="217"/>
      <c r="X42" s="635"/>
      <c r="Y42" s="221"/>
      <c r="Z42" s="221"/>
      <c r="AA42" s="236"/>
      <c r="AB42" s="236"/>
      <c r="AC42" s="236"/>
      <c r="AD42" s="236"/>
      <c r="AE42" s="236"/>
      <c r="AF42" s="221"/>
      <c r="AG42" s="236"/>
      <c r="AH42" s="236"/>
      <c r="AI42" s="236"/>
      <c r="AJ42" s="236"/>
      <c r="AK42" s="236"/>
      <c r="AL42" s="236"/>
      <c r="AM42" s="236"/>
      <c r="AN42" s="236"/>
      <c r="AO42" s="236"/>
    </row>
    <row r="43">
      <c r="A43" s="209" t="s">
        <v>1304</v>
      </c>
      <c r="B43" s="209" t="s">
        <v>1237</v>
      </c>
      <c r="C43" s="279" t="s">
        <v>1346</v>
      </c>
      <c r="D43" s="210" t="s">
        <v>1347</v>
      </c>
      <c r="E43" s="211" t="s">
        <v>1348</v>
      </c>
      <c r="F43" s="209" t="s">
        <v>640</v>
      </c>
      <c r="G43" s="641">
        <v>105.0</v>
      </c>
      <c r="H43" s="209">
        <v>45.0</v>
      </c>
      <c r="I43" s="209">
        <v>150.0</v>
      </c>
      <c r="J43" s="214">
        <v>0.976</v>
      </c>
      <c r="K43" s="214"/>
      <c r="L43" s="214"/>
      <c r="M43" s="214">
        <f>(J43*I43+K43+L43)*1.13</f>
        <v>165.432</v>
      </c>
      <c r="N43" s="209" t="s">
        <v>1312</v>
      </c>
      <c r="O43" s="209" t="s">
        <v>1349</v>
      </c>
      <c r="P43" s="708" t="s">
        <v>1350</v>
      </c>
      <c r="Q43" s="211"/>
      <c r="R43" s="217"/>
      <c r="S43" s="643"/>
      <c r="T43" s="643"/>
      <c r="U43" s="209"/>
      <c r="V43" s="709" t="s">
        <v>1222</v>
      </c>
      <c r="W43" s="436" t="s">
        <v>437</v>
      </c>
      <c r="X43" s="710" t="s">
        <v>650</v>
      </c>
      <c r="Y43" s="711" t="s">
        <v>1351</v>
      </c>
      <c r="Z43" s="712"/>
      <c r="AA43" s="712"/>
      <c r="AB43" s="712"/>
      <c r="AC43" s="713"/>
      <c r="AD43" s="713"/>
      <c r="AE43" s="712"/>
      <c r="AF43" s="210" t="s">
        <v>1265</v>
      </c>
      <c r="AG43" s="712"/>
      <c r="AH43" s="712"/>
      <c r="AI43" s="712"/>
      <c r="AJ43" s="712"/>
      <c r="AK43" s="712"/>
      <c r="AL43" s="712"/>
      <c r="AM43" s="712"/>
      <c r="AN43" s="712"/>
      <c r="AO43" s="712"/>
    </row>
    <row r="44">
      <c r="A44" s="616" t="s">
        <v>1304</v>
      </c>
      <c r="B44" s="616" t="s">
        <v>1237</v>
      </c>
      <c r="C44" s="646" t="s">
        <v>1352</v>
      </c>
      <c r="D44" s="587" t="s">
        <v>1353</v>
      </c>
      <c r="E44" s="618" t="s">
        <v>1348</v>
      </c>
      <c r="F44" s="616" t="s">
        <v>640</v>
      </c>
      <c r="G44" s="619">
        <v>105.0</v>
      </c>
      <c r="H44" s="616">
        <v>45.0</v>
      </c>
      <c r="I44" s="616">
        <v>150.0</v>
      </c>
      <c r="J44" s="620">
        <v>0.9851</v>
      </c>
      <c r="K44" s="620"/>
      <c r="L44" s="620"/>
      <c r="M44" s="620">
        <v>147.77</v>
      </c>
      <c r="N44" s="616" t="s">
        <v>1354</v>
      </c>
      <c r="O44" s="616" t="s">
        <v>1355</v>
      </c>
      <c r="P44" s="714" t="s">
        <v>1356</v>
      </c>
      <c r="Q44" s="618"/>
      <c r="R44" s="614"/>
      <c r="S44" s="623"/>
      <c r="T44" s="623"/>
      <c r="U44" s="616"/>
      <c r="V44" s="676"/>
      <c r="W44" s="614"/>
      <c r="X44" s="615"/>
      <c r="Y44" s="587"/>
      <c r="Z44" s="306"/>
      <c r="AA44" s="306"/>
      <c r="AB44" s="306"/>
      <c r="AC44" s="624"/>
      <c r="AD44" s="624"/>
      <c r="AE44" s="306"/>
      <c r="AF44" s="587"/>
      <c r="AG44" s="306"/>
      <c r="AH44" s="306"/>
      <c r="AI44" s="306"/>
      <c r="AJ44" s="306"/>
      <c r="AK44" s="306"/>
      <c r="AL44" s="306"/>
      <c r="AM44" s="306"/>
      <c r="AN44" s="306"/>
      <c r="AO44" s="306"/>
    </row>
    <row r="45">
      <c r="A45" s="616" t="s">
        <v>656</v>
      </c>
      <c r="B45" s="616" t="s">
        <v>1237</v>
      </c>
      <c r="C45" s="617" t="s">
        <v>1357</v>
      </c>
      <c r="D45" s="587" t="s">
        <v>1358</v>
      </c>
      <c r="E45" s="618"/>
      <c r="F45" s="616" t="s">
        <v>640</v>
      </c>
      <c r="G45" s="619">
        <v>3.0</v>
      </c>
      <c r="H45" s="616">
        <v>0.0</v>
      </c>
      <c r="I45" s="616">
        <v>3.0</v>
      </c>
      <c r="J45" s="620">
        <v>27.99</v>
      </c>
      <c r="K45" s="620"/>
      <c r="L45" s="620"/>
      <c r="M45" s="620">
        <v>83.97</v>
      </c>
      <c r="N45" s="616" t="s">
        <v>701</v>
      </c>
      <c r="O45" s="616"/>
      <c r="P45" s="642" t="s">
        <v>1359</v>
      </c>
      <c r="Q45" s="211"/>
      <c r="R45" s="217"/>
      <c r="S45" s="643"/>
      <c r="T45" s="643"/>
      <c r="U45" s="209"/>
      <c r="V45" s="634"/>
      <c r="W45" s="217"/>
      <c r="X45" s="635"/>
      <c r="Y45" s="587"/>
      <c r="Z45" s="306"/>
      <c r="AA45" s="306"/>
      <c r="AB45" s="306"/>
      <c r="AC45" s="624"/>
      <c r="AD45" s="624"/>
      <c r="AE45" s="306"/>
      <c r="AF45" s="587"/>
      <c r="AG45" s="306"/>
      <c r="AH45" s="306"/>
      <c r="AI45" s="306"/>
      <c r="AJ45" s="306"/>
      <c r="AK45" s="306"/>
      <c r="AL45" s="306"/>
      <c r="AM45" s="306"/>
      <c r="AN45" s="306"/>
      <c r="AO45" s="306"/>
    </row>
    <row r="46">
      <c r="A46" s="209" t="s">
        <v>656</v>
      </c>
      <c r="B46" s="209" t="s">
        <v>1237</v>
      </c>
      <c r="C46" s="291" t="s">
        <v>1360</v>
      </c>
      <c r="D46" s="210" t="s">
        <v>1361</v>
      </c>
      <c r="E46" s="218" t="s">
        <v>1362</v>
      </c>
      <c r="F46" s="209" t="s">
        <v>640</v>
      </c>
      <c r="G46" s="641">
        <v>1.0</v>
      </c>
      <c r="H46" s="209"/>
      <c r="I46" s="209">
        <v>1.0</v>
      </c>
      <c r="J46" s="715">
        <v>291.71</v>
      </c>
      <c r="K46" s="214"/>
      <c r="L46" s="363"/>
      <c r="M46" s="716">
        <f t="shared" ref="M46:M47" si="10">J46*I46+K46+L46</f>
        <v>291.71</v>
      </c>
      <c r="N46" s="717" t="s">
        <v>1363</v>
      </c>
      <c r="O46" s="209" t="s">
        <v>1364</v>
      </c>
      <c r="P46" s="642" t="s">
        <v>1365</v>
      </c>
      <c r="Q46" s="211" t="s">
        <v>1222</v>
      </c>
      <c r="R46" s="706"/>
      <c r="S46" s="363"/>
      <c r="T46" s="363"/>
      <c r="U46" s="209"/>
      <c r="V46" s="709" t="s">
        <v>1222</v>
      </c>
      <c r="W46" s="217"/>
      <c r="X46" s="635"/>
      <c r="Y46" s="210"/>
      <c r="Z46" s="213"/>
      <c r="AA46" s="213"/>
      <c r="AB46" s="236"/>
      <c r="AC46" s="236"/>
      <c r="AD46" s="236"/>
      <c r="AE46" s="236"/>
      <c r="AF46" s="210"/>
      <c r="AG46" s="221"/>
      <c r="AH46" s="236"/>
      <c r="AI46" s="236"/>
      <c r="AJ46" s="236"/>
      <c r="AK46" s="236"/>
      <c r="AL46" s="236"/>
      <c r="AM46" s="236"/>
      <c r="AN46" s="236"/>
      <c r="AO46" s="236"/>
    </row>
    <row r="47" ht="34.5" customHeight="1">
      <c r="A47" s="209" t="s">
        <v>656</v>
      </c>
      <c r="B47" s="209" t="s">
        <v>1237</v>
      </c>
      <c r="C47" s="291" t="s">
        <v>1360</v>
      </c>
      <c r="D47" s="218" t="s">
        <v>1366</v>
      </c>
      <c r="E47" s="218" t="s">
        <v>1362</v>
      </c>
      <c r="F47" s="209" t="s">
        <v>640</v>
      </c>
      <c r="G47" s="641">
        <v>1.0</v>
      </c>
      <c r="H47" s="209"/>
      <c r="I47" s="209">
        <v>1.0</v>
      </c>
      <c r="J47" s="715">
        <v>116.68</v>
      </c>
      <c r="K47" s="214"/>
      <c r="L47" s="363"/>
      <c r="M47" s="716">
        <f t="shared" si="10"/>
        <v>116.68</v>
      </c>
      <c r="N47" s="717" t="s">
        <v>1363</v>
      </c>
      <c r="O47" s="209" t="s">
        <v>1367</v>
      </c>
      <c r="P47" s="642" t="s">
        <v>1368</v>
      </c>
      <c r="Q47" s="211" t="s">
        <v>1222</v>
      </c>
      <c r="R47" s="706"/>
      <c r="S47" s="363"/>
      <c r="T47" s="363"/>
      <c r="U47" s="209"/>
      <c r="V47" s="709" t="s">
        <v>1222</v>
      </c>
      <c r="W47" s="217"/>
      <c r="X47" s="635"/>
      <c r="Y47" s="210"/>
      <c r="Z47" s="213"/>
      <c r="AA47" s="213"/>
      <c r="AB47" s="236"/>
      <c r="AC47" s="236"/>
      <c r="AD47" s="236"/>
      <c r="AE47" s="236"/>
      <c r="AF47" s="210"/>
      <c r="AG47" s="221"/>
      <c r="AH47" s="236"/>
      <c r="AI47" s="236"/>
      <c r="AJ47" s="236"/>
      <c r="AK47" s="236"/>
      <c r="AL47" s="236"/>
      <c r="AM47" s="236"/>
      <c r="AN47" s="236"/>
      <c r="AO47" s="236"/>
    </row>
    <row r="48">
      <c r="A48" s="616" t="s">
        <v>1304</v>
      </c>
      <c r="B48" s="616" t="s">
        <v>1237</v>
      </c>
      <c r="C48" s="657" t="s">
        <v>1369</v>
      </c>
      <c r="D48" s="587" t="s">
        <v>1370</v>
      </c>
      <c r="E48" s="618" t="s">
        <v>1348</v>
      </c>
      <c r="F48" s="616" t="s">
        <v>640</v>
      </c>
      <c r="G48" s="619">
        <v>10.0</v>
      </c>
      <c r="H48" s="616">
        <v>0.0</v>
      </c>
      <c r="I48" s="616">
        <v>10.0</v>
      </c>
      <c r="J48" s="718">
        <v>3.59</v>
      </c>
      <c r="K48" s="719"/>
      <c r="L48" s="672"/>
      <c r="M48" s="620">
        <f t="shared" ref="M48:M49" si="11">J48*I48</f>
        <v>35.9</v>
      </c>
      <c r="N48" s="616" t="s">
        <v>1312</v>
      </c>
      <c r="O48" s="720">
        <v>4.30452227E8</v>
      </c>
      <c r="P48" s="721" t="s">
        <v>1371</v>
      </c>
      <c r="Q48" s="618" t="s">
        <v>1222</v>
      </c>
      <c r="R48" s="648"/>
      <c r="S48" s="672"/>
      <c r="T48" s="672"/>
      <c r="U48" s="616"/>
      <c r="V48" s="676" t="s">
        <v>1222</v>
      </c>
      <c r="W48" s="614"/>
      <c r="X48" s="615"/>
      <c r="Y48" s="587" t="s">
        <v>1315</v>
      </c>
      <c r="Z48" s="306"/>
      <c r="AA48" s="306"/>
      <c r="AB48" s="624"/>
      <c r="AC48" s="624"/>
      <c r="AD48" s="624"/>
      <c r="AE48" s="624"/>
      <c r="AF48" s="587" t="s">
        <v>775</v>
      </c>
      <c r="AG48" s="660"/>
      <c r="AH48" s="624"/>
      <c r="AI48" s="624"/>
      <c r="AJ48" s="624"/>
      <c r="AK48" s="624"/>
      <c r="AL48" s="624"/>
      <c r="AM48" s="624"/>
      <c r="AN48" s="624"/>
      <c r="AO48" s="624"/>
    </row>
    <row r="49">
      <c r="A49" s="616" t="s">
        <v>1304</v>
      </c>
      <c r="B49" s="616" t="s">
        <v>1237</v>
      </c>
      <c r="C49" s="657" t="s">
        <v>1372</v>
      </c>
      <c r="D49" s="587" t="s">
        <v>1373</v>
      </c>
      <c r="E49" s="613" t="s">
        <v>1374</v>
      </c>
      <c r="F49" s="616" t="s">
        <v>640</v>
      </c>
      <c r="G49" s="619">
        <v>10.0</v>
      </c>
      <c r="H49" s="670"/>
      <c r="I49" s="616">
        <v>10.0</v>
      </c>
      <c r="J49" s="677">
        <v>4.04</v>
      </c>
      <c r="K49" s="719"/>
      <c r="L49" s="672"/>
      <c r="M49" s="719">
        <f t="shared" si="11"/>
        <v>40.4</v>
      </c>
      <c r="N49" s="616" t="s">
        <v>1312</v>
      </c>
      <c r="O49" s="720">
        <v>4.30451226E8</v>
      </c>
      <c r="P49" s="721" t="s">
        <v>1375</v>
      </c>
      <c r="Q49" s="618" t="s">
        <v>1222</v>
      </c>
      <c r="R49" s="722"/>
      <c r="S49" s="672"/>
      <c r="T49" s="672"/>
      <c r="U49" s="616"/>
      <c r="V49" s="676" t="s">
        <v>1222</v>
      </c>
      <c r="W49" s="614"/>
      <c r="X49" s="615"/>
      <c r="Y49" s="587" t="s">
        <v>1315</v>
      </c>
      <c r="Z49" s="306"/>
      <c r="AA49" s="306"/>
      <c r="AB49" s="624"/>
      <c r="AC49" s="624"/>
      <c r="AD49" s="624"/>
      <c r="AE49" s="624"/>
      <c r="AF49" s="587" t="s">
        <v>775</v>
      </c>
      <c r="AG49" s="660"/>
      <c r="AH49" s="624"/>
      <c r="AI49" s="624"/>
      <c r="AJ49" s="624"/>
      <c r="AK49" s="624"/>
      <c r="AL49" s="624"/>
      <c r="AM49" s="624"/>
      <c r="AN49" s="624"/>
      <c r="AO49" s="624"/>
    </row>
    <row r="50">
      <c r="A50" s="616" t="s">
        <v>1304</v>
      </c>
      <c r="B50" s="616" t="s">
        <v>1237</v>
      </c>
      <c r="C50" s="657" t="s">
        <v>1372</v>
      </c>
      <c r="D50" s="587" t="s">
        <v>1376</v>
      </c>
      <c r="E50" s="613" t="s">
        <v>1374</v>
      </c>
      <c r="F50" s="616" t="s">
        <v>640</v>
      </c>
      <c r="G50" s="619">
        <v>10.0</v>
      </c>
      <c r="H50" s="670">
        <v>0.0</v>
      </c>
      <c r="I50" s="616">
        <v>10.0</v>
      </c>
      <c r="J50" s="677">
        <v>0.67</v>
      </c>
      <c r="K50" s="719"/>
      <c r="L50" s="672"/>
      <c r="M50" s="719">
        <f t="shared" ref="M50:M52" si="12">J50*I50+K50+L50</f>
        <v>6.7</v>
      </c>
      <c r="N50" s="616" t="s">
        <v>1312</v>
      </c>
      <c r="O50" s="720">
        <v>4.30251208E8</v>
      </c>
      <c r="P50" s="721" t="s">
        <v>1377</v>
      </c>
      <c r="Q50" s="618" t="s">
        <v>1222</v>
      </c>
      <c r="R50" s="722"/>
      <c r="S50" s="672"/>
      <c r="T50" s="672"/>
      <c r="U50" s="616"/>
      <c r="V50" s="676" t="s">
        <v>1222</v>
      </c>
      <c r="W50" s="614"/>
      <c r="X50" s="615"/>
      <c r="Y50" s="587" t="s">
        <v>1315</v>
      </c>
      <c r="Z50" s="306"/>
      <c r="AA50" s="306"/>
      <c r="AB50" s="624"/>
      <c r="AC50" s="624"/>
      <c r="AD50" s="624"/>
      <c r="AE50" s="624"/>
      <c r="AF50" s="587" t="s">
        <v>775</v>
      </c>
      <c r="AG50" s="660"/>
      <c r="AH50" s="624"/>
      <c r="AI50" s="624"/>
      <c r="AJ50" s="624"/>
      <c r="AK50" s="624"/>
      <c r="AL50" s="624"/>
      <c r="AM50" s="624"/>
      <c r="AN50" s="624"/>
      <c r="AO50" s="624"/>
    </row>
    <row r="51">
      <c r="A51" s="616" t="s">
        <v>1304</v>
      </c>
      <c r="B51" s="616" t="s">
        <v>1237</v>
      </c>
      <c r="C51" s="657" t="s">
        <v>1372</v>
      </c>
      <c r="D51" s="587" t="s">
        <v>1378</v>
      </c>
      <c r="E51" s="613" t="s">
        <v>1374</v>
      </c>
      <c r="F51" s="616" t="s">
        <v>640</v>
      </c>
      <c r="G51" s="619">
        <v>10.0</v>
      </c>
      <c r="H51" s="670">
        <v>0.0</v>
      </c>
      <c r="I51" s="616">
        <v>10.0</v>
      </c>
      <c r="J51" s="677">
        <v>1.97</v>
      </c>
      <c r="K51" s="719"/>
      <c r="L51" s="672"/>
      <c r="M51" s="719">
        <f t="shared" si="12"/>
        <v>19.7</v>
      </c>
      <c r="N51" s="616" t="s">
        <v>1312</v>
      </c>
      <c r="O51" s="720">
        <v>4.30252208E8</v>
      </c>
      <c r="P51" s="721" t="s">
        <v>1379</v>
      </c>
      <c r="Q51" s="618" t="s">
        <v>1222</v>
      </c>
      <c r="R51" s="722"/>
      <c r="S51" s="672"/>
      <c r="T51" s="672"/>
      <c r="U51" s="616"/>
      <c r="V51" s="676" t="s">
        <v>1222</v>
      </c>
      <c r="W51" s="614"/>
      <c r="X51" s="615"/>
      <c r="Y51" s="587" t="s">
        <v>1315</v>
      </c>
      <c r="Z51" s="306"/>
      <c r="AA51" s="306"/>
      <c r="AB51" s="624"/>
      <c r="AC51" s="624"/>
      <c r="AD51" s="624"/>
      <c r="AE51" s="624"/>
      <c r="AF51" s="587" t="s">
        <v>775</v>
      </c>
      <c r="AG51" s="660"/>
      <c r="AH51" s="624"/>
      <c r="AI51" s="624"/>
      <c r="AJ51" s="624"/>
      <c r="AK51" s="624"/>
      <c r="AL51" s="624"/>
      <c r="AM51" s="624"/>
      <c r="AN51" s="624"/>
      <c r="AO51" s="624"/>
    </row>
    <row r="52">
      <c r="A52" s="616" t="s">
        <v>1304</v>
      </c>
      <c r="B52" s="616" t="s">
        <v>1237</v>
      </c>
      <c r="C52" s="657" t="s">
        <v>1380</v>
      </c>
      <c r="D52" s="587" t="s">
        <v>1381</v>
      </c>
      <c r="E52" s="613" t="s">
        <v>1374</v>
      </c>
      <c r="F52" s="616" t="s">
        <v>640</v>
      </c>
      <c r="G52" s="619">
        <v>1.0</v>
      </c>
      <c r="H52" s="670">
        <v>0.0</v>
      </c>
      <c r="I52" s="616">
        <v>1.0</v>
      </c>
      <c r="J52" s="677">
        <v>40.53</v>
      </c>
      <c r="K52" s="719"/>
      <c r="L52" s="672"/>
      <c r="M52" s="719">
        <f t="shared" si="12"/>
        <v>40.53</v>
      </c>
      <c r="N52" s="616" t="s">
        <v>1312</v>
      </c>
      <c r="O52" s="720">
        <v>1.1030043E7</v>
      </c>
      <c r="P52" s="721" t="s">
        <v>1382</v>
      </c>
      <c r="Q52" s="618" t="s">
        <v>1222</v>
      </c>
      <c r="R52" s="722"/>
      <c r="S52" s="672"/>
      <c r="T52" s="672"/>
      <c r="U52" s="616"/>
      <c r="V52" s="676" t="s">
        <v>1222</v>
      </c>
      <c r="W52" s="614"/>
      <c r="X52" s="615"/>
      <c r="Y52" s="587" t="s">
        <v>1315</v>
      </c>
      <c r="Z52" s="306"/>
      <c r="AA52" s="306"/>
      <c r="AB52" s="624"/>
      <c r="AC52" s="624"/>
      <c r="AD52" s="624"/>
      <c r="AE52" s="624"/>
      <c r="AF52" s="587" t="s">
        <v>775</v>
      </c>
      <c r="AG52" s="660"/>
      <c r="AH52" s="624"/>
      <c r="AI52" s="624"/>
      <c r="AJ52" s="624"/>
      <c r="AK52" s="624"/>
      <c r="AL52" s="624"/>
      <c r="AM52" s="624"/>
      <c r="AN52" s="624"/>
      <c r="AO52" s="624"/>
    </row>
    <row r="53">
      <c r="A53" s="723" t="s">
        <v>1383</v>
      </c>
      <c r="B53" s="723" t="s">
        <v>1237</v>
      </c>
      <c r="C53" s="724" t="s">
        <v>1384</v>
      </c>
      <c r="D53" s="42" t="s">
        <v>1385</v>
      </c>
      <c r="E53" s="725" t="s">
        <v>1385</v>
      </c>
      <c r="F53" s="689" t="s">
        <v>640</v>
      </c>
      <c r="G53" s="683">
        <v>10.0</v>
      </c>
      <c r="H53" s="723"/>
      <c r="I53" s="723"/>
      <c r="J53" s="726">
        <v>125.91</v>
      </c>
      <c r="K53" s="688">
        <v>32.2</v>
      </c>
      <c r="L53" s="688"/>
      <c r="M53" s="727">
        <v>158.46</v>
      </c>
      <c r="N53" s="42" t="s">
        <v>1386</v>
      </c>
      <c r="O53" s="689"/>
      <c r="P53" s="690" t="s">
        <v>1387</v>
      </c>
      <c r="Q53" s="728"/>
      <c r="R53" s="729"/>
      <c r="S53" s="136"/>
      <c r="T53" s="136"/>
      <c r="U53" s="694"/>
      <c r="V53" s="695"/>
      <c r="W53" s="696"/>
      <c r="X53" s="697"/>
      <c r="Y53" s="42"/>
      <c r="Z53" s="58"/>
      <c r="AA53" s="58"/>
      <c r="AB53" s="58"/>
      <c r="AC53" s="689"/>
      <c r="AD53" s="689"/>
      <c r="AE53" s="730"/>
      <c r="AF53" s="42"/>
      <c r="AG53" s="58"/>
      <c r="AH53" s="58"/>
      <c r="AI53" s="58"/>
      <c r="AJ53" s="58"/>
      <c r="AK53" s="58"/>
      <c r="AL53" s="58"/>
      <c r="AM53" s="58"/>
      <c r="AN53" s="58"/>
      <c r="AO53" s="58"/>
    </row>
    <row r="54">
      <c r="A54" s="666" t="s">
        <v>656</v>
      </c>
      <c r="B54" s="666" t="s">
        <v>1237</v>
      </c>
      <c r="C54" s="660" t="s">
        <v>1388</v>
      </c>
      <c r="D54" s="668" t="s">
        <v>1389</v>
      </c>
      <c r="E54" s="731"/>
      <c r="F54" s="666"/>
      <c r="G54" s="658">
        <v>1.0</v>
      </c>
      <c r="H54" s="670"/>
      <c r="I54" s="616">
        <v>1.0</v>
      </c>
      <c r="J54" s="671">
        <v>203.76</v>
      </c>
      <c r="K54" s="672"/>
      <c r="L54" s="672"/>
      <c r="M54" s="671">
        <v>280.0</v>
      </c>
      <c r="N54" s="660"/>
      <c r="O54" s="660"/>
      <c r="P54" s="678"/>
      <c r="Q54" s="673"/>
      <c r="R54" s="674"/>
      <c r="S54" s="675"/>
      <c r="T54" s="675"/>
      <c r="U54" s="663"/>
      <c r="V54" s="676"/>
      <c r="W54" s="614"/>
      <c r="X54" s="615"/>
      <c r="Y54" s="587" t="s">
        <v>1222</v>
      </c>
      <c r="Z54" s="306"/>
      <c r="AA54" s="306"/>
      <c r="AB54" s="306"/>
      <c r="AC54" s="660"/>
      <c r="AD54" s="660"/>
      <c r="AE54" s="732"/>
      <c r="AF54" s="587"/>
      <c r="AG54" s="306"/>
      <c r="AH54" s="306"/>
      <c r="AI54" s="306"/>
      <c r="AJ54" s="306"/>
      <c r="AK54" s="306"/>
      <c r="AL54" s="306"/>
      <c r="AM54" s="306"/>
      <c r="AN54" s="306"/>
      <c r="AO54" s="306"/>
    </row>
    <row r="55" ht="19.5" customHeight="1">
      <c r="A55" s="666" t="s">
        <v>1390</v>
      </c>
      <c r="B55" s="666" t="s">
        <v>1237</v>
      </c>
      <c r="C55" s="667" t="s">
        <v>1391</v>
      </c>
      <c r="D55" s="657" t="s">
        <v>1392</v>
      </c>
      <c r="E55" s="669" t="s">
        <v>1393</v>
      </c>
      <c r="F55" s="666" t="s">
        <v>640</v>
      </c>
      <c r="G55" s="658">
        <v>50.0</v>
      </c>
      <c r="H55" s="670">
        <v>0.0</v>
      </c>
      <c r="I55" s="616">
        <v>50.0</v>
      </c>
      <c r="J55" s="671">
        <v>0.686</v>
      </c>
      <c r="K55" s="672"/>
      <c r="L55" s="672"/>
      <c r="M55" s="671">
        <f>(J55*I55*1.13)</f>
        <v>38.759</v>
      </c>
      <c r="N55" s="616" t="s">
        <v>1312</v>
      </c>
      <c r="O55" s="660" t="s">
        <v>1394</v>
      </c>
      <c r="P55" s="678" t="s">
        <v>1395</v>
      </c>
      <c r="Q55" s="733"/>
      <c r="R55" s="674"/>
      <c r="S55" s="675"/>
      <c r="T55" s="675"/>
      <c r="U55" s="616" t="s">
        <v>1396</v>
      </c>
      <c r="V55" s="676" t="s">
        <v>1222</v>
      </c>
      <c r="W55" s="614"/>
      <c r="X55" s="615"/>
      <c r="Y55" s="587" t="s">
        <v>1351</v>
      </c>
      <c r="Z55" s="306"/>
      <c r="AA55" s="306"/>
      <c r="AB55" s="306"/>
      <c r="AC55" s="660"/>
      <c r="AD55" s="660"/>
      <c r="AE55" s="732"/>
      <c r="AF55" s="587" t="s">
        <v>1265</v>
      </c>
      <c r="AG55" s="306"/>
      <c r="AH55" s="306"/>
      <c r="AI55" s="306"/>
      <c r="AJ55" s="306"/>
      <c r="AK55" s="306"/>
      <c r="AL55" s="306"/>
      <c r="AM55" s="306"/>
      <c r="AN55" s="306"/>
      <c r="AO55" s="306"/>
    </row>
    <row r="56">
      <c r="A56" s="679" t="s">
        <v>1397</v>
      </c>
      <c r="B56" s="679" t="s">
        <v>1237</v>
      </c>
      <c r="C56" s="680" t="s">
        <v>1398</v>
      </c>
      <c r="D56" s="680" t="s">
        <v>1399</v>
      </c>
      <c r="E56" s="682" t="s">
        <v>1393</v>
      </c>
      <c r="F56" s="679" t="s">
        <v>640</v>
      </c>
      <c r="G56" s="683">
        <v>1.0</v>
      </c>
      <c r="H56" s="684"/>
      <c r="I56" s="723"/>
      <c r="J56" s="685">
        <v>51.0</v>
      </c>
      <c r="K56" s="687"/>
      <c r="L56" s="687"/>
      <c r="M56" s="685">
        <v>51.0</v>
      </c>
      <c r="N56" s="723" t="s">
        <v>1400</v>
      </c>
      <c r="O56" s="689">
        <v>113094.0</v>
      </c>
      <c r="P56" s="690" t="s">
        <v>1401</v>
      </c>
      <c r="Q56" s="734"/>
      <c r="R56" s="692"/>
      <c r="S56" s="693"/>
      <c r="T56" s="693"/>
      <c r="U56" s="694"/>
      <c r="V56" s="695"/>
      <c r="W56" s="696"/>
      <c r="X56" s="697"/>
      <c r="Y56" s="42"/>
      <c r="Z56" s="58"/>
      <c r="AA56" s="58"/>
      <c r="AB56" s="58"/>
      <c r="AC56" s="689"/>
      <c r="AD56" s="689"/>
      <c r="AE56" s="735"/>
      <c r="AF56" s="42"/>
      <c r="AG56" s="58"/>
      <c r="AH56" s="58"/>
      <c r="AI56" s="58"/>
      <c r="AJ56" s="58"/>
      <c r="AK56" s="58"/>
      <c r="AL56" s="58"/>
      <c r="AM56" s="58"/>
      <c r="AN56" s="58"/>
      <c r="AO56" s="58"/>
    </row>
    <row r="57" ht="20.25" customHeight="1">
      <c r="A57" s="679" t="s">
        <v>656</v>
      </c>
      <c r="B57" s="679" t="s">
        <v>1237</v>
      </c>
      <c r="C57" s="680" t="s">
        <v>1402</v>
      </c>
      <c r="D57" s="736" t="s">
        <v>1403</v>
      </c>
      <c r="E57" s="682" t="s">
        <v>1404</v>
      </c>
      <c r="F57" s="679" t="s">
        <v>640</v>
      </c>
      <c r="G57" s="683">
        <v>1.0</v>
      </c>
      <c r="H57" s="684"/>
      <c r="I57" s="723"/>
      <c r="J57" s="685">
        <v>13.99</v>
      </c>
      <c r="K57" s="687"/>
      <c r="L57" s="687"/>
      <c r="M57" s="685">
        <v>14.14</v>
      </c>
      <c r="N57" s="723" t="s">
        <v>1405</v>
      </c>
      <c r="O57" s="737"/>
      <c r="P57" s="690" t="s">
        <v>1406</v>
      </c>
      <c r="Q57" s="734"/>
      <c r="R57" s="692"/>
      <c r="S57" s="693"/>
      <c r="T57" s="693"/>
      <c r="U57" s="694"/>
      <c r="V57" s="695"/>
      <c r="W57" s="696"/>
      <c r="X57" s="697"/>
      <c r="Y57" s="42"/>
      <c r="Z57" s="58"/>
      <c r="AA57" s="58"/>
      <c r="AB57" s="58"/>
      <c r="AC57" s="689"/>
      <c r="AD57" s="689"/>
      <c r="AE57" s="735"/>
      <c r="AF57" s="42"/>
      <c r="AG57" s="58"/>
      <c r="AH57" s="58"/>
      <c r="AI57" s="58"/>
      <c r="AJ57" s="58"/>
      <c r="AK57" s="58"/>
      <c r="AL57" s="58"/>
      <c r="AM57" s="58"/>
      <c r="AN57" s="58"/>
      <c r="AO57" s="58"/>
    </row>
    <row r="58">
      <c r="A58" s="738" t="s">
        <v>656</v>
      </c>
      <c r="B58" s="738" t="s">
        <v>1237</v>
      </c>
      <c r="C58" s="739" t="s">
        <v>1407</v>
      </c>
      <c r="D58" s="740" t="s">
        <v>1408</v>
      </c>
      <c r="E58" s="741" t="s">
        <v>1409</v>
      </c>
      <c r="F58" s="738" t="s">
        <v>640</v>
      </c>
      <c r="G58" s="742"/>
      <c r="H58" s="743"/>
      <c r="I58" s="744"/>
      <c r="J58" s="745"/>
      <c r="K58" s="746"/>
      <c r="L58" s="746"/>
      <c r="M58" s="747">
        <v>84.0</v>
      </c>
      <c r="N58" s="744" t="s">
        <v>1410</v>
      </c>
      <c r="O58" s="748"/>
      <c r="P58" s="749" t="s">
        <v>1411</v>
      </c>
      <c r="Q58" s="750"/>
      <c r="R58" s="751"/>
      <c r="S58" s="752"/>
      <c r="T58" s="752"/>
      <c r="U58" s="753"/>
      <c r="V58" s="754"/>
      <c r="W58" s="755"/>
      <c r="X58" s="756"/>
      <c r="Y58" s="745"/>
      <c r="Z58" s="757"/>
      <c r="AA58" s="757"/>
      <c r="AB58" s="757"/>
      <c r="AC58" s="758"/>
      <c r="AD58" s="758"/>
      <c r="AE58" s="759"/>
      <c r="AF58" s="745"/>
      <c r="AG58" s="757"/>
      <c r="AH58" s="757"/>
      <c r="AI58" s="757"/>
      <c r="AJ58" s="757"/>
      <c r="AK58" s="757"/>
      <c r="AL58" s="757"/>
      <c r="AM58" s="757"/>
      <c r="AN58" s="757"/>
      <c r="AO58" s="757"/>
    </row>
    <row r="59">
      <c r="A59" s="616" t="s">
        <v>1304</v>
      </c>
      <c r="B59" s="616" t="s">
        <v>1237</v>
      </c>
      <c r="C59" s="657" t="s">
        <v>1412</v>
      </c>
      <c r="D59" s="669" t="s">
        <v>1413</v>
      </c>
      <c r="E59" s="669" t="s">
        <v>1414</v>
      </c>
      <c r="F59" s="666" t="s">
        <v>640</v>
      </c>
      <c r="G59" s="658">
        <v>5.0</v>
      </c>
      <c r="H59" s="592"/>
      <c r="I59" s="660">
        <v>5.0</v>
      </c>
      <c r="J59" s="671">
        <v>0.43</v>
      </c>
      <c r="K59" s="760"/>
      <c r="L59" s="760"/>
      <c r="M59" s="760">
        <f>J59*I59</f>
        <v>2.15</v>
      </c>
      <c r="N59" s="761" t="s">
        <v>1312</v>
      </c>
      <c r="O59" s="762">
        <v>3.9012045E7</v>
      </c>
      <c r="P59" s="678" t="s">
        <v>1415</v>
      </c>
      <c r="Q59" s="673"/>
      <c r="R59" s="648"/>
      <c r="S59" s="672"/>
      <c r="T59" s="672"/>
      <c r="U59" s="666"/>
      <c r="V59" s="676"/>
      <c r="W59" s="614"/>
      <c r="X59" s="615"/>
      <c r="Y59" s="660" t="s">
        <v>1315</v>
      </c>
      <c r="Z59" s="660"/>
      <c r="AA59" s="624"/>
      <c r="AB59" s="624"/>
      <c r="AC59" s="624"/>
      <c r="AD59" s="624"/>
      <c r="AE59" s="624"/>
      <c r="AF59" s="660" t="s">
        <v>775</v>
      </c>
      <c r="AG59" s="624"/>
      <c r="AH59" s="624"/>
      <c r="AI59" s="624"/>
      <c r="AJ59" s="624"/>
      <c r="AK59" s="624"/>
      <c r="AL59" s="624"/>
      <c r="AM59" s="624"/>
      <c r="AN59" s="624"/>
      <c r="AO59" s="624"/>
    </row>
    <row r="60">
      <c r="A60" s="763"/>
      <c r="B60" s="763"/>
      <c r="C60" s="764"/>
      <c r="D60" s="765"/>
      <c r="E60" s="766"/>
      <c r="F60" s="763"/>
      <c r="G60" s="742"/>
      <c r="H60" s="382"/>
      <c r="I60" s="382"/>
      <c r="J60" s="747"/>
      <c r="K60" s="767"/>
      <c r="L60" s="767"/>
      <c r="M60" s="767"/>
      <c r="N60" s="768"/>
      <c r="O60" s="769"/>
      <c r="P60" s="749"/>
      <c r="Q60" s="770"/>
      <c r="R60" s="771"/>
      <c r="S60" s="746"/>
      <c r="T60" s="746"/>
      <c r="U60" s="738"/>
      <c r="V60" s="754"/>
      <c r="W60" s="755"/>
      <c r="X60" s="756"/>
      <c r="Y60" s="758"/>
      <c r="Z60" s="758"/>
      <c r="AA60" s="772"/>
      <c r="AB60" s="772"/>
      <c r="AC60" s="772"/>
      <c r="AD60" s="772"/>
      <c r="AE60" s="772"/>
      <c r="AF60" s="745"/>
      <c r="AG60" s="772"/>
      <c r="AH60" s="772"/>
      <c r="AI60" s="772"/>
      <c r="AJ60" s="772"/>
      <c r="AK60" s="772"/>
      <c r="AL60" s="772"/>
      <c r="AM60" s="772"/>
      <c r="AN60" s="772"/>
      <c r="AO60" s="772"/>
    </row>
    <row r="61">
      <c r="A61" s="199" t="s">
        <v>1416</v>
      </c>
      <c r="H61" s="200"/>
      <c r="I61" s="200"/>
      <c r="J61" s="201"/>
      <c r="K61" s="201"/>
      <c r="L61" s="201"/>
      <c r="M61" s="202"/>
      <c r="N61" s="207"/>
      <c r="O61" s="467"/>
      <c r="P61" s="234"/>
      <c r="Q61" s="773"/>
      <c r="R61" s="234"/>
      <c r="S61" s="234"/>
      <c r="T61" s="234"/>
      <c r="U61" s="204"/>
      <c r="V61" s="470"/>
      <c r="W61" s="200"/>
      <c r="X61" s="464"/>
      <c r="Y61" s="207"/>
      <c r="Z61" s="207"/>
      <c r="AA61" s="207"/>
      <c r="AB61" s="207"/>
      <c r="AC61" s="207"/>
      <c r="AD61" s="207"/>
      <c r="AE61" s="207"/>
      <c r="AF61" s="207"/>
      <c r="AG61" s="207"/>
      <c r="AH61" s="207"/>
      <c r="AI61" s="207"/>
      <c r="AJ61" s="207"/>
      <c r="AK61" s="207"/>
      <c r="AL61" s="207"/>
      <c r="AM61" s="207"/>
      <c r="AN61" s="207"/>
      <c r="AO61" s="207"/>
    </row>
    <row r="62">
      <c r="A62" s="666" t="s">
        <v>1304</v>
      </c>
      <c r="B62" s="666" t="s">
        <v>1218</v>
      </c>
      <c r="C62" s="774" t="s">
        <v>1417</v>
      </c>
      <c r="D62" s="775" t="s">
        <v>1418</v>
      </c>
      <c r="E62" s="776"/>
      <c r="F62" s="616" t="s">
        <v>640</v>
      </c>
      <c r="G62" s="616">
        <v>3.0</v>
      </c>
      <c r="H62" s="616">
        <v>0.0</v>
      </c>
      <c r="I62" s="616">
        <v>3.0</v>
      </c>
      <c r="J62" s="620">
        <v>39.07</v>
      </c>
      <c r="K62" s="620"/>
      <c r="L62" s="620"/>
      <c r="M62" s="760">
        <f>J62*I62+sum(K62:L62)</f>
        <v>117.21</v>
      </c>
      <c r="N62" s="666" t="s">
        <v>1312</v>
      </c>
      <c r="O62" s="777" t="s">
        <v>1417</v>
      </c>
      <c r="P62" s="721" t="s">
        <v>1419</v>
      </c>
      <c r="Q62" s="613"/>
      <c r="R62" s="672"/>
      <c r="S62" s="675"/>
      <c r="T62" s="675"/>
      <c r="U62" s="663"/>
      <c r="V62" s="616"/>
      <c r="W62" s="616"/>
      <c r="X62" s="615"/>
      <c r="Y62" s="587" t="s">
        <v>1315</v>
      </c>
      <c r="Z62" s="306"/>
      <c r="AA62" s="306"/>
      <c r="AB62" s="306"/>
      <c r="AC62" s="624"/>
      <c r="AD62" s="624"/>
      <c r="AE62" s="306"/>
      <c r="AF62" s="587" t="s">
        <v>775</v>
      </c>
      <c r="AG62" s="306"/>
      <c r="AH62" s="306"/>
      <c r="AI62" s="306"/>
      <c r="AJ62" s="306"/>
      <c r="AK62" s="306"/>
      <c r="AL62" s="306"/>
      <c r="AM62" s="306"/>
      <c r="AN62" s="306"/>
      <c r="AO62" s="306"/>
    </row>
    <row r="63">
      <c r="A63" s="744"/>
      <c r="B63" s="744"/>
      <c r="C63" s="778"/>
      <c r="D63" s="779"/>
      <c r="E63" s="780"/>
      <c r="F63" s="744"/>
      <c r="G63" s="744"/>
      <c r="H63" s="744"/>
      <c r="I63" s="744"/>
      <c r="J63" s="781"/>
      <c r="K63" s="781"/>
      <c r="L63" s="781"/>
      <c r="M63" s="767"/>
      <c r="N63" s="738"/>
      <c r="O63" s="782"/>
      <c r="P63" s="783"/>
      <c r="Q63" s="784"/>
      <c r="R63" s="752"/>
      <c r="S63" s="752"/>
      <c r="T63" s="752"/>
      <c r="U63" s="753"/>
      <c r="V63" s="744"/>
      <c r="W63" s="744"/>
      <c r="X63" s="756"/>
      <c r="Y63" s="757"/>
      <c r="Z63" s="757"/>
      <c r="AA63" s="757"/>
      <c r="AB63" s="757"/>
      <c r="AC63" s="772"/>
      <c r="AD63" s="772"/>
      <c r="AE63" s="757"/>
      <c r="AF63" s="757"/>
      <c r="AG63" s="757"/>
      <c r="AH63" s="757"/>
      <c r="AI63" s="757"/>
      <c r="AJ63" s="757"/>
      <c r="AK63" s="757"/>
      <c r="AL63" s="757"/>
      <c r="AM63" s="757"/>
      <c r="AN63" s="757"/>
      <c r="AO63" s="757"/>
    </row>
    <row r="64">
      <c r="A64" s="744"/>
      <c r="B64" s="744"/>
      <c r="C64" s="778"/>
      <c r="D64" s="779"/>
      <c r="E64" s="780"/>
      <c r="F64" s="744"/>
      <c r="G64" s="744"/>
      <c r="H64" s="744"/>
      <c r="I64" s="744"/>
      <c r="J64" s="781"/>
      <c r="K64" s="781"/>
      <c r="L64" s="781"/>
      <c r="M64" s="767"/>
      <c r="N64" s="738"/>
      <c r="O64" s="782"/>
      <c r="P64" s="783"/>
      <c r="Q64" s="784"/>
      <c r="R64" s="752"/>
      <c r="S64" s="752"/>
      <c r="T64" s="752"/>
      <c r="U64" s="753"/>
      <c r="V64" s="744"/>
      <c r="W64" s="744"/>
      <c r="X64" s="756"/>
      <c r="Y64" s="757"/>
      <c r="Z64" s="757"/>
      <c r="AA64" s="757"/>
      <c r="AB64" s="757"/>
      <c r="AC64" s="772"/>
      <c r="AD64" s="772"/>
      <c r="AE64" s="757"/>
      <c r="AF64" s="757"/>
      <c r="AG64" s="757"/>
      <c r="AH64" s="757"/>
      <c r="AI64" s="757"/>
      <c r="AJ64" s="757"/>
      <c r="AK64" s="757"/>
      <c r="AL64" s="757"/>
      <c r="AM64" s="757"/>
      <c r="AN64" s="757"/>
      <c r="AO64" s="757"/>
    </row>
    <row r="65">
      <c r="A65" s="199" t="s">
        <v>449</v>
      </c>
      <c r="H65" s="358"/>
      <c r="I65" s="358"/>
      <c r="J65" s="560"/>
      <c r="K65" s="560"/>
      <c r="L65" s="560"/>
      <c r="M65" s="560"/>
      <c r="N65" s="358"/>
      <c r="O65" s="358"/>
      <c r="P65" s="358"/>
      <c r="Q65" s="208"/>
      <c r="R65" s="560"/>
      <c r="S65" s="560"/>
      <c r="T65" s="560"/>
      <c r="U65" s="208"/>
      <c r="V65" s="358"/>
      <c r="W65" s="358"/>
      <c r="X65" s="358"/>
      <c r="Y65" s="208"/>
      <c r="Z65" s="208"/>
      <c r="AA65" s="208"/>
      <c r="AB65" s="208"/>
      <c r="AC65" s="208"/>
      <c r="AD65" s="208"/>
      <c r="AE65" s="208"/>
      <c r="AF65" s="208"/>
      <c r="AG65" s="208"/>
      <c r="AH65" s="208"/>
      <c r="AI65" s="208"/>
      <c r="AJ65" s="208"/>
      <c r="AK65" s="208"/>
      <c r="AL65" s="208"/>
      <c r="AM65" s="208"/>
      <c r="AN65" s="208"/>
      <c r="AO65" s="208"/>
    </row>
    <row r="66">
      <c r="A66" s="723" t="s">
        <v>753</v>
      </c>
      <c r="B66" s="723" t="s">
        <v>1420</v>
      </c>
      <c r="C66" s="785" t="s">
        <v>1421</v>
      </c>
      <c r="D66" s="786" t="s">
        <v>1422</v>
      </c>
      <c r="E66" s="787"/>
      <c r="F66" s="723" t="s">
        <v>640</v>
      </c>
      <c r="G66" s="723">
        <v>1.0</v>
      </c>
      <c r="H66" s="723">
        <v>0.0</v>
      </c>
      <c r="I66" s="723">
        <v>1.0</v>
      </c>
      <c r="J66" s="688">
        <f>74.99*1.37</f>
        <v>102.7363</v>
      </c>
      <c r="K66" s="688">
        <f>35.95*1.37</f>
        <v>49.2515</v>
      </c>
      <c r="L66" s="688">
        <f>J66*0.085</f>
        <v>8.7325855</v>
      </c>
      <c r="M66" s="788">
        <f>J66*1.13+K66+L66</f>
        <v>174.0761045</v>
      </c>
      <c r="N66" s="679" t="s">
        <v>1423</v>
      </c>
      <c r="O66" s="789" t="s">
        <v>1424</v>
      </c>
      <c r="P66" s="790" t="s">
        <v>1425</v>
      </c>
      <c r="Q66" s="791"/>
      <c r="R66" s="693"/>
      <c r="S66" s="693"/>
      <c r="T66" s="693"/>
      <c r="U66" s="694"/>
      <c r="V66" s="723"/>
      <c r="W66" s="723"/>
      <c r="X66" s="42"/>
      <c r="Y66" s="58"/>
      <c r="Z66" s="58"/>
      <c r="AA66" s="58"/>
      <c r="AB66" s="58"/>
      <c r="AC66" s="136"/>
      <c r="AD66" s="136"/>
      <c r="AE66" s="58"/>
      <c r="AF66" s="58"/>
      <c r="AG66" s="757"/>
      <c r="AH66" s="757"/>
      <c r="AI66" s="757"/>
      <c r="AJ66" s="757"/>
      <c r="AK66" s="757"/>
      <c r="AL66" s="757"/>
      <c r="AM66" s="757"/>
      <c r="AN66" s="757"/>
      <c r="AO66" s="757"/>
    </row>
    <row r="67">
      <c r="A67" s="723" t="s">
        <v>753</v>
      </c>
      <c r="B67" s="723" t="s">
        <v>1420</v>
      </c>
      <c r="C67" s="785" t="s">
        <v>1426</v>
      </c>
      <c r="D67" s="786" t="s">
        <v>1427</v>
      </c>
      <c r="E67" s="787"/>
      <c r="F67" s="723" t="s">
        <v>640</v>
      </c>
      <c r="G67" s="723" t="s">
        <v>1428</v>
      </c>
      <c r="H67" s="723">
        <v>0.0</v>
      </c>
      <c r="I67" s="723" t="s">
        <v>1428</v>
      </c>
      <c r="J67" s="688">
        <f>27.42*1.37</f>
        <v>37.5654</v>
      </c>
      <c r="K67" s="688"/>
      <c r="L67" s="688"/>
      <c r="M67" s="788">
        <f t="shared" ref="M67:M68" si="13">J67*1.13</f>
        <v>42.448902</v>
      </c>
      <c r="N67" s="679" t="s">
        <v>1423</v>
      </c>
      <c r="O67" s="789" t="s">
        <v>1429</v>
      </c>
      <c r="P67" s="790" t="s">
        <v>1430</v>
      </c>
      <c r="Q67" s="791"/>
      <c r="R67" s="693"/>
      <c r="S67" s="693"/>
      <c r="T67" s="693"/>
      <c r="U67" s="694"/>
      <c r="V67" s="723"/>
      <c r="W67" s="723"/>
      <c r="X67" s="697"/>
      <c r="Y67" s="58"/>
      <c r="Z67" s="58"/>
      <c r="AA67" s="58"/>
      <c r="AB67" s="58"/>
      <c r="AC67" s="136"/>
      <c r="AD67" s="136"/>
      <c r="AE67" s="58"/>
      <c r="AF67" s="58"/>
      <c r="AG67" s="757"/>
      <c r="AH67" s="757"/>
      <c r="AI67" s="757"/>
      <c r="AJ67" s="757"/>
      <c r="AK67" s="757"/>
      <c r="AL67" s="757"/>
      <c r="AM67" s="757"/>
      <c r="AN67" s="757"/>
      <c r="AO67" s="757"/>
    </row>
    <row r="68">
      <c r="A68" s="723" t="s">
        <v>753</v>
      </c>
      <c r="B68" s="723" t="s">
        <v>1420</v>
      </c>
      <c r="C68" s="785" t="s">
        <v>1431</v>
      </c>
      <c r="D68" s="786" t="s">
        <v>1432</v>
      </c>
      <c r="E68" s="787"/>
      <c r="F68" s="723" t="s">
        <v>640</v>
      </c>
      <c r="G68" s="723" t="s">
        <v>1433</v>
      </c>
      <c r="H68" s="723">
        <v>0.0</v>
      </c>
      <c r="I68" s="723" t="s">
        <v>1433</v>
      </c>
      <c r="J68" s="688">
        <v>11.31</v>
      </c>
      <c r="K68" s="688"/>
      <c r="L68" s="688"/>
      <c r="M68" s="788">
        <f t="shared" si="13"/>
        <v>12.7803</v>
      </c>
      <c r="N68" s="679" t="s">
        <v>701</v>
      </c>
      <c r="O68" s="789" t="s">
        <v>1434</v>
      </c>
      <c r="P68" s="790" t="s">
        <v>1435</v>
      </c>
      <c r="Q68" s="791"/>
      <c r="R68" s="693"/>
      <c r="S68" s="693"/>
      <c r="T68" s="693"/>
      <c r="U68" s="694"/>
      <c r="V68" s="723"/>
      <c r="W68" s="723"/>
      <c r="X68" s="697"/>
      <c r="Y68" s="58"/>
      <c r="Z68" s="58"/>
      <c r="AA68" s="58"/>
      <c r="AB68" s="58"/>
      <c r="AC68" s="136"/>
      <c r="AD68" s="136"/>
      <c r="AE68" s="58"/>
      <c r="AF68" s="58"/>
      <c r="AG68" s="757"/>
      <c r="AH68" s="757"/>
      <c r="AI68" s="757"/>
      <c r="AJ68" s="757"/>
      <c r="AK68" s="757"/>
      <c r="AL68" s="757"/>
      <c r="AM68" s="757"/>
      <c r="AN68" s="757"/>
      <c r="AO68" s="757"/>
    </row>
    <row r="69">
      <c r="A69" s="744"/>
      <c r="B69" s="744"/>
      <c r="C69" s="778"/>
      <c r="D69" s="779"/>
      <c r="E69" s="780"/>
      <c r="F69" s="744"/>
      <c r="G69" s="744"/>
      <c r="H69" s="744"/>
      <c r="I69" s="744"/>
      <c r="J69" s="781"/>
      <c r="K69" s="781"/>
      <c r="L69" s="781"/>
      <c r="M69" s="767"/>
      <c r="N69" s="738"/>
      <c r="O69" s="782"/>
      <c r="P69" s="783"/>
      <c r="Q69" s="784"/>
      <c r="R69" s="752"/>
      <c r="S69" s="752"/>
      <c r="T69" s="752"/>
      <c r="U69" s="753"/>
      <c r="V69" s="744"/>
      <c r="W69" s="744"/>
      <c r="X69" s="756"/>
      <c r="Y69" s="757"/>
      <c r="Z69" s="757"/>
      <c r="AA69" s="757"/>
      <c r="AB69" s="757"/>
      <c r="AC69" s="772"/>
      <c r="AD69" s="772"/>
      <c r="AE69" s="757"/>
      <c r="AF69" s="757"/>
      <c r="AG69" s="757"/>
      <c r="AH69" s="757"/>
      <c r="AI69" s="757"/>
      <c r="AJ69" s="757"/>
      <c r="AK69" s="757"/>
      <c r="AL69" s="757"/>
      <c r="AM69" s="757"/>
      <c r="AN69" s="757"/>
      <c r="AO69" s="757"/>
    </row>
    <row r="70">
      <c r="A70" s="237"/>
      <c r="B70" s="237"/>
      <c r="C70" s="792"/>
      <c r="D70" s="26"/>
      <c r="E70" s="26"/>
      <c r="F70" s="237"/>
      <c r="G70" s="793"/>
      <c r="I70" s="237">
        <f>sum(G70:H70)</f>
        <v>0</v>
      </c>
      <c r="J70" s="240"/>
      <c r="K70" s="240"/>
      <c r="L70" s="240"/>
      <c r="M70" s="794"/>
      <c r="O70" s="69"/>
      <c r="Q70" s="128"/>
      <c r="R70" s="795"/>
      <c r="S70" s="796"/>
      <c r="T70" s="796"/>
      <c r="W70" s="238"/>
      <c r="X70" s="505"/>
      <c r="AC70" s="98"/>
      <c r="AD70" s="98"/>
      <c r="AF70" s="122"/>
    </row>
    <row r="71">
      <c r="A71" s="199" t="s">
        <v>1436</v>
      </c>
      <c r="H71" s="200"/>
      <c r="I71" s="200"/>
      <c r="J71" s="201"/>
      <c r="K71" s="201"/>
      <c r="L71" s="201"/>
      <c r="M71" s="202"/>
      <c r="N71" s="207"/>
      <c r="O71" s="467"/>
      <c r="P71" s="234"/>
      <c r="Q71" s="773"/>
      <c r="R71" s="234"/>
      <c r="S71" s="234"/>
      <c r="T71" s="234"/>
      <c r="U71" s="204"/>
      <c r="V71" s="204"/>
      <c r="W71" s="204"/>
      <c r="X71" s="204"/>
      <c r="Y71" s="204"/>
      <c r="Z71" s="204"/>
      <c r="AA71" s="204"/>
      <c r="AB71" s="204"/>
      <c r="AC71" s="204"/>
      <c r="AD71" s="204"/>
      <c r="AE71" s="204"/>
      <c r="AF71" s="204"/>
      <c r="AG71" s="204"/>
      <c r="AH71" s="204"/>
      <c r="AI71" s="204"/>
      <c r="AJ71" s="207"/>
      <c r="AK71" s="207"/>
      <c r="AL71" s="207"/>
      <c r="AM71" s="207"/>
      <c r="AN71" s="207"/>
      <c r="AO71" s="207"/>
    </row>
    <row r="72">
      <c r="A72" s="369" t="s">
        <v>753</v>
      </c>
      <c r="B72" s="368"/>
      <c r="C72" s="291" t="s">
        <v>1437</v>
      </c>
      <c r="D72" s="265" t="s">
        <v>1438</v>
      </c>
      <c r="E72" s="265" t="s">
        <v>1439</v>
      </c>
      <c r="F72" s="369" t="s">
        <v>640</v>
      </c>
      <c r="G72" s="263">
        <v>3.0</v>
      </c>
      <c r="H72" s="263"/>
      <c r="I72" s="209">
        <f>sum(G72:H72)</f>
        <v>3</v>
      </c>
      <c r="J72" s="638">
        <v>6.44</v>
      </c>
      <c r="K72" s="797" t="s">
        <v>642</v>
      </c>
      <c r="L72" s="797" t="s">
        <v>642</v>
      </c>
      <c r="M72" s="371">
        <f>(J72*I72+sum(K72:L72))*1.13</f>
        <v>21.8316</v>
      </c>
      <c r="N72" s="369" t="s">
        <v>1312</v>
      </c>
      <c r="O72" s="798" t="s">
        <v>1440</v>
      </c>
      <c r="P72" s="373" t="s">
        <v>1441</v>
      </c>
      <c r="Q72" s="799"/>
      <c r="R72" s="236"/>
      <c r="S72" s="236"/>
      <c r="T72" s="236"/>
      <c r="U72" s="799"/>
      <c r="V72" s="709" t="s">
        <v>1222</v>
      </c>
      <c r="W72" s="221"/>
      <c r="X72" s="800"/>
      <c r="Y72" s="28" t="s">
        <v>1351</v>
      </c>
      <c r="Z72" s="236"/>
      <c r="AA72" s="236"/>
      <c r="AB72" s="236"/>
      <c r="AC72" s="236"/>
      <c r="AD72" s="236"/>
      <c r="AE72" s="236"/>
      <c r="AF72" s="221" t="s">
        <v>1265</v>
      </c>
      <c r="AG72" s="236"/>
      <c r="AH72" s="236"/>
      <c r="AI72" s="236"/>
      <c r="AJ72" s="236"/>
      <c r="AK72" s="236"/>
      <c r="AL72" s="236"/>
      <c r="AM72" s="236"/>
      <c r="AN72" s="236"/>
      <c r="AO72" s="236"/>
    </row>
    <row r="73">
      <c r="A73" s="223"/>
      <c r="B73" s="223"/>
      <c r="C73" s="223"/>
      <c r="D73" s="223"/>
      <c r="E73" s="223"/>
      <c r="F73" s="223"/>
      <c r="G73" s="223"/>
      <c r="H73" s="237"/>
      <c r="I73" s="237"/>
      <c r="J73" s="240"/>
      <c r="K73" s="240"/>
      <c r="L73" s="240"/>
      <c r="M73" s="794"/>
      <c r="O73" s="128"/>
      <c r="P73" s="801"/>
      <c r="Q73" s="802"/>
      <c r="R73" s="801"/>
      <c r="S73" s="801"/>
      <c r="T73" s="801"/>
      <c r="U73" s="803"/>
      <c r="V73" s="803"/>
      <c r="W73" s="803"/>
      <c r="X73" s="803"/>
      <c r="Y73" s="803"/>
      <c r="Z73" s="803"/>
      <c r="AA73" s="803"/>
      <c r="AB73" s="803"/>
      <c r="AC73" s="803"/>
      <c r="AD73" s="803"/>
      <c r="AE73" s="803"/>
      <c r="AF73" s="803"/>
      <c r="AG73" s="803"/>
      <c r="AH73" s="803"/>
      <c r="AI73" s="803"/>
    </row>
    <row r="74">
      <c r="A74" s="223"/>
      <c r="B74" s="223"/>
      <c r="C74" s="223"/>
      <c r="D74" s="223"/>
      <c r="E74" s="223"/>
      <c r="F74" s="223"/>
      <c r="G74" s="223"/>
      <c r="H74" s="237"/>
      <c r="I74" s="237"/>
      <c r="J74" s="240"/>
      <c r="K74" s="240"/>
      <c r="L74" s="240"/>
      <c r="M74" s="794"/>
      <c r="O74" s="128"/>
      <c r="P74" s="801"/>
      <c r="Q74" s="802"/>
      <c r="R74" s="801"/>
      <c r="S74" s="801"/>
      <c r="T74" s="801"/>
      <c r="U74" s="803"/>
      <c r="V74" s="803"/>
      <c r="W74" s="803"/>
      <c r="X74" s="803"/>
      <c r="Y74" s="803"/>
      <c r="Z74" s="803"/>
      <c r="AA74" s="803"/>
      <c r="AB74" s="803"/>
      <c r="AC74" s="803"/>
      <c r="AD74" s="803"/>
      <c r="AE74" s="803"/>
      <c r="AF74" s="803"/>
      <c r="AG74" s="803"/>
      <c r="AH74" s="803"/>
      <c r="AI74" s="803"/>
    </row>
    <row r="75">
      <c r="A75" s="199" t="s">
        <v>1442</v>
      </c>
      <c r="H75" s="200"/>
      <c r="I75" s="200"/>
      <c r="J75" s="201"/>
      <c r="K75" s="201"/>
      <c r="L75" s="201"/>
      <c r="M75" s="202"/>
      <c r="N75" s="207"/>
      <c r="O75" s="467"/>
      <c r="P75" s="234"/>
      <c r="Q75" s="773"/>
      <c r="R75" s="234"/>
      <c r="S75" s="234"/>
      <c r="T75" s="234"/>
      <c r="U75" s="204"/>
      <c r="V75" s="204"/>
      <c r="W75" s="204"/>
      <c r="X75" s="204"/>
      <c r="Y75" s="204"/>
      <c r="Z75" s="204"/>
      <c r="AA75" s="204"/>
      <c r="AB75" s="204"/>
      <c r="AC75" s="204"/>
      <c r="AD75" s="204"/>
      <c r="AE75" s="204"/>
      <c r="AF75" s="204"/>
      <c r="AG75" s="204"/>
      <c r="AH75" s="204"/>
      <c r="AI75" s="204"/>
      <c r="AJ75" s="207"/>
      <c r="AK75" s="207"/>
      <c r="AL75" s="207"/>
      <c r="AM75" s="207"/>
      <c r="AN75" s="207"/>
      <c r="AO75" s="207"/>
    </row>
    <row r="76">
      <c r="A76" s="210" t="s">
        <v>1304</v>
      </c>
      <c r="B76" s="210" t="s">
        <v>1443</v>
      </c>
      <c r="C76" s="210" t="s">
        <v>1444</v>
      </c>
      <c r="D76" s="210" t="s">
        <v>1445</v>
      </c>
      <c r="E76" s="218" t="s">
        <v>1446</v>
      </c>
      <c r="F76" s="210" t="s">
        <v>640</v>
      </c>
      <c r="G76" s="210">
        <v>1.0</v>
      </c>
      <c r="H76" s="210">
        <v>1.0</v>
      </c>
      <c r="I76" s="210">
        <v>2.0</v>
      </c>
      <c r="J76" s="277">
        <v>0.56</v>
      </c>
      <c r="K76" s="278"/>
      <c r="L76" s="278"/>
      <c r="M76" s="278">
        <f t="shared" ref="M76:M82" si="14">J76*I76*1.13</f>
        <v>1.2656</v>
      </c>
      <c r="N76" s="210" t="s">
        <v>1312</v>
      </c>
      <c r="O76" s="436"/>
      <c r="P76" s="290" t="s">
        <v>1447</v>
      </c>
      <c r="Q76" s="218" t="s">
        <v>1448</v>
      </c>
      <c r="R76" s="277" t="s">
        <v>296</v>
      </c>
      <c r="S76" s="436"/>
      <c r="T76" s="436"/>
      <c r="U76" s="213"/>
      <c r="V76" s="210" t="s">
        <v>1246</v>
      </c>
      <c r="W76" s="436"/>
      <c r="X76" s="436"/>
      <c r="Y76" s="210" t="s">
        <v>1222</v>
      </c>
      <c r="Z76" s="213"/>
      <c r="AA76" s="213"/>
      <c r="AB76" s="213"/>
      <c r="AC76" s="213"/>
      <c r="AD76" s="213"/>
      <c r="AE76" s="213"/>
      <c r="AF76" s="210" t="s">
        <v>845</v>
      </c>
      <c r="AG76" s="213"/>
      <c r="AH76" s="213"/>
      <c r="AI76" s="213"/>
      <c r="AJ76" s="213"/>
      <c r="AK76" s="213"/>
      <c r="AL76" s="213"/>
      <c r="AM76" s="213"/>
      <c r="AN76" s="213"/>
      <c r="AO76" s="213"/>
    </row>
    <row r="77">
      <c r="A77" s="210" t="s">
        <v>1304</v>
      </c>
      <c r="B77" s="210" t="s">
        <v>1443</v>
      </c>
      <c r="C77" s="210" t="s">
        <v>1449</v>
      </c>
      <c r="D77" s="210" t="s">
        <v>1450</v>
      </c>
      <c r="E77" s="218" t="s">
        <v>1451</v>
      </c>
      <c r="F77" s="210" t="s">
        <v>822</v>
      </c>
      <c r="G77" s="210">
        <v>1.0</v>
      </c>
      <c r="H77" s="210">
        <v>1.0</v>
      </c>
      <c r="I77" s="210">
        <v>2.0</v>
      </c>
      <c r="J77" s="277">
        <v>0.77</v>
      </c>
      <c r="K77" s="278"/>
      <c r="L77" s="278"/>
      <c r="M77" s="278">
        <f t="shared" si="14"/>
        <v>1.7402</v>
      </c>
      <c r="N77" s="210" t="s">
        <v>1312</v>
      </c>
      <c r="O77" s="436"/>
      <c r="P77" s="290" t="s">
        <v>1452</v>
      </c>
      <c r="Q77" s="218" t="s">
        <v>1448</v>
      </c>
      <c r="R77" s="277" t="s">
        <v>296</v>
      </c>
      <c r="S77" s="436"/>
      <c r="T77" s="436"/>
      <c r="U77" s="213"/>
      <c r="V77" s="210" t="s">
        <v>1246</v>
      </c>
      <c r="W77" s="436"/>
      <c r="X77" s="436"/>
      <c r="Y77" s="210" t="s">
        <v>1222</v>
      </c>
      <c r="Z77" s="213"/>
      <c r="AA77" s="213"/>
      <c r="AB77" s="213"/>
      <c r="AC77" s="213"/>
      <c r="AD77" s="213"/>
      <c r="AE77" s="213"/>
      <c r="AF77" s="210" t="s">
        <v>845</v>
      </c>
      <c r="AG77" s="213"/>
      <c r="AH77" s="213"/>
      <c r="AI77" s="213"/>
      <c r="AJ77" s="213"/>
      <c r="AK77" s="213"/>
      <c r="AL77" s="213"/>
      <c r="AM77" s="213"/>
      <c r="AN77" s="213"/>
      <c r="AO77" s="213"/>
    </row>
    <row r="78">
      <c r="A78" s="210" t="s">
        <v>1304</v>
      </c>
      <c r="B78" s="210" t="s">
        <v>1443</v>
      </c>
      <c r="C78" s="210" t="s">
        <v>1453</v>
      </c>
      <c r="D78" s="210" t="s">
        <v>1454</v>
      </c>
      <c r="E78" s="218" t="s">
        <v>1455</v>
      </c>
      <c r="F78" s="210" t="s">
        <v>640</v>
      </c>
      <c r="G78" s="210">
        <v>100.0</v>
      </c>
      <c r="H78" s="210">
        <v>0.0</v>
      </c>
      <c r="I78" s="210">
        <v>100.0</v>
      </c>
      <c r="J78" s="277">
        <v>0.18</v>
      </c>
      <c r="K78" s="278"/>
      <c r="L78" s="278"/>
      <c r="M78" s="278">
        <f t="shared" si="14"/>
        <v>20.34</v>
      </c>
      <c r="N78" s="210" t="s">
        <v>1312</v>
      </c>
      <c r="O78" s="210" t="s">
        <v>1456</v>
      </c>
      <c r="P78" s="290" t="s">
        <v>1457</v>
      </c>
      <c r="Q78" s="218"/>
      <c r="R78" s="277"/>
      <c r="S78" s="436"/>
      <c r="T78" s="436"/>
      <c r="U78" s="436"/>
      <c r="V78" s="210" t="s">
        <v>1222</v>
      </c>
      <c r="W78" s="436"/>
      <c r="X78" s="436"/>
      <c r="Y78" s="210" t="s">
        <v>1222</v>
      </c>
      <c r="Z78" s="213"/>
      <c r="AA78" s="213"/>
      <c r="AB78" s="213"/>
      <c r="AC78" s="213"/>
      <c r="AD78" s="213"/>
      <c r="AE78" s="213"/>
      <c r="AF78" s="210" t="s">
        <v>845</v>
      </c>
      <c r="AG78" s="213"/>
      <c r="AH78" s="213"/>
      <c r="AI78" s="213"/>
      <c r="AJ78" s="213"/>
      <c r="AK78" s="213"/>
      <c r="AL78" s="213"/>
      <c r="AM78" s="213"/>
      <c r="AN78" s="213"/>
      <c r="AO78" s="213"/>
    </row>
    <row r="79">
      <c r="A79" s="210" t="s">
        <v>1304</v>
      </c>
      <c r="B79" s="210" t="s">
        <v>1443</v>
      </c>
      <c r="C79" s="210" t="s">
        <v>1458</v>
      </c>
      <c r="D79" s="210" t="s">
        <v>1459</v>
      </c>
      <c r="E79" s="218" t="s">
        <v>1455</v>
      </c>
      <c r="F79" s="210" t="s">
        <v>640</v>
      </c>
      <c r="G79" s="210">
        <v>100.0</v>
      </c>
      <c r="H79" s="210">
        <v>0.0</v>
      </c>
      <c r="I79" s="210">
        <v>100.0</v>
      </c>
      <c r="J79" s="277">
        <v>0.35345</v>
      </c>
      <c r="K79" s="278"/>
      <c r="L79" s="278"/>
      <c r="M79" s="278">
        <f t="shared" si="14"/>
        <v>39.93985</v>
      </c>
      <c r="N79" s="210" t="s">
        <v>1312</v>
      </c>
      <c r="O79" s="210" t="s">
        <v>1460</v>
      </c>
      <c r="P79" s="290" t="s">
        <v>1461</v>
      </c>
      <c r="Q79" s="218"/>
      <c r="R79" s="277"/>
      <c r="S79" s="436"/>
      <c r="T79" s="436"/>
      <c r="U79" s="436"/>
      <c r="V79" s="210" t="s">
        <v>1222</v>
      </c>
      <c r="W79" s="436"/>
      <c r="X79" s="436"/>
      <c r="Y79" s="210" t="s">
        <v>1222</v>
      </c>
      <c r="Z79" s="213"/>
      <c r="AA79" s="213"/>
      <c r="AB79" s="213"/>
      <c r="AC79" s="213"/>
      <c r="AD79" s="213"/>
      <c r="AE79" s="213"/>
      <c r="AF79" s="210" t="s">
        <v>845</v>
      </c>
      <c r="AG79" s="213"/>
      <c r="AH79" s="213"/>
      <c r="AI79" s="213"/>
      <c r="AJ79" s="213"/>
      <c r="AK79" s="213"/>
      <c r="AL79" s="213"/>
      <c r="AM79" s="213"/>
      <c r="AN79" s="213"/>
      <c r="AO79" s="213"/>
    </row>
    <row r="80">
      <c r="A80" s="210" t="s">
        <v>1304</v>
      </c>
      <c r="B80" s="210" t="s">
        <v>1462</v>
      </c>
      <c r="C80" s="210" t="s">
        <v>1463</v>
      </c>
      <c r="D80" s="210" t="s">
        <v>1464</v>
      </c>
      <c r="E80" s="218" t="s">
        <v>1465</v>
      </c>
      <c r="F80" s="210" t="s">
        <v>640</v>
      </c>
      <c r="G80" s="210">
        <v>3.0</v>
      </c>
      <c r="H80" s="210">
        <v>0.0</v>
      </c>
      <c r="I80" s="210">
        <v>3.0</v>
      </c>
      <c r="J80" s="277">
        <v>11.27</v>
      </c>
      <c r="K80" s="278"/>
      <c r="L80" s="278"/>
      <c r="M80" s="278">
        <f t="shared" si="14"/>
        <v>38.2053</v>
      </c>
      <c r="N80" s="210" t="s">
        <v>1312</v>
      </c>
      <c r="O80" s="210" t="s">
        <v>1463</v>
      </c>
      <c r="P80" s="290" t="s">
        <v>1466</v>
      </c>
      <c r="Q80" s="218" t="s">
        <v>1467</v>
      </c>
      <c r="R80" s="277" t="s">
        <v>296</v>
      </c>
      <c r="S80" s="436"/>
      <c r="T80" s="436"/>
      <c r="U80" s="213"/>
      <c r="V80" s="210" t="s">
        <v>1222</v>
      </c>
      <c r="W80" s="436"/>
      <c r="X80" s="436"/>
      <c r="Y80" s="210" t="s">
        <v>1222</v>
      </c>
      <c r="Z80" s="213"/>
      <c r="AA80" s="213"/>
      <c r="AB80" s="213"/>
      <c r="AC80" s="213"/>
      <c r="AD80" s="213"/>
      <c r="AE80" s="213"/>
      <c r="AF80" s="210" t="s">
        <v>845</v>
      </c>
      <c r="AG80" s="213"/>
      <c r="AH80" s="213"/>
      <c r="AI80" s="213"/>
      <c r="AJ80" s="213"/>
      <c r="AK80" s="213"/>
      <c r="AL80" s="213"/>
      <c r="AM80" s="213"/>
      <c r="AN80" s="213"/>
      <c r="AO80" s="213"/>
    </row>
    <row r="81">
      <c r="A81" s="210" t="s">
        <v>1304</v>
      </c>
      <c r="B81" s="210" t="s">
        <v>1462</v>
      </c>
      <c r="C81" s="210" t="s">
        <v>1468</v>
      </c>
      <c r="D81" s="210" t="s">
        <v>1469</v>
      </c>
      <c r="E81" s="218" t="s">
        <v>1465</v>
      </c>
      <c r="F81" s="210" t="s">
        <v>640</v>
      </c>
      <c r="G81" s="210">
        <v>3.0</v>
      </c>
      <c r="H81" s="210">
        <v>0.0</v>
      </c>
      <c r="I81" s="210">
        <v>3.0</v>
      </c>
      <c r="J81" s="277">
        <v>2.45</v>
      </c>
      <c r="K81" s="278"/>
      <c r="L81" s="278"/>
      <c r="M81" s="278">
        <f t="shared" si="14"/>
        <v>8.3055</v>
      </c>
      <c r="N81" s="210" t="s">
        <v>1312</v>
      </c>
      <c r="O81" s="210" t="s">
        <v>1470</v>
      </c>
      <c r="P81" s="290" t="s">
        <v>1471</v>
      </c>
      <c r="Q81" s="218" t="s">
        <v>1467</v>
      </c>
      <c r="R81" s="277" t="s">
        <v>296</v>
      </c>
      <c r="S81" s="436"/>
      <c r="T81" s="436"/>
      <c r="U81" s="213"/>
      <c r="V81" s="210" t="s">
        <v>1222</v>
      </c>
      <c r="W81" s="436"/>
      <c r="X81" s="436"/>
      <c r="Y81" s="210" t="s">
        <v>1222</v>
      </c>
      <c r="Z81" s="213"/>
      <c r="AA81" s="213"/>
      <c r="AB81" s="213"/>
      <c r="AC81" s="213"/>
      <c r="AD81" s="213"/>
      <c r="AE81" s="213"/>
      <c r="AF81" s="210" t="s">
        <v>845</v>
      </c>
      <c r="AG81" s="213"/>
      <c r="AH81" s="213"/>
      <c r="AI81" s="213"/>
      <c r="AJ81" s="213"/>
      <c r="AK81" s="213"/>
      <c r="AL81" s="213"/>
      <c r="AM81" s="213"/>
      <c r="AN81" s="213"/>
      <c r="AO81" s="213"/>
    </row>
    <row r="82">
      <c r="A82" s="804" t="s">
        <v>1304</v>
      </c>
      <c r="B82" s="804" t="s">
        <v>1462</v>
      </c>
      <c r="C82" s="804" t="s">
        <v>1472</v>
      </c>
      <c r="D82" s="804" t="s">
        <v>1469</v>
      </c>
      <c r="E82" s="805" t="s">
        <v>1465</v>
      </c>
      <c r="F82" s="804" t="s">
        <v>640</v>
      </c>
      <c r="G82" s="804">
        <v>3.0</v>
      </c>
      <c r="H82" s="804">
        <v>0.0</v>
      </c>
      <c r="I82" s="804">
        <v>3.0</v>
      </c>
      <c r="J82" s="806">
        <v>2.45</v>
      </c>
      <c r="K82" s="807"/>
      <c r="L82" s="807"/>
      <c r="M82" s="807">
        <f t="shared" si="14"/>
        <v>8.3055</v>
      </c>
      <c r="N82" s="804" t="s">
        <v>1312</v>
      </c>
      <c r="O82" s="804" t="s">
        <v>1472</v>
      </c>
      <c r="P82" s="808" t="s">
        <v>1473</v>
      </c>
      <c r="Q82" s="805" t="s">
        <v>1467</v>
      </c>
      <c r="R82" s="806" t="s">
        <v>296</v>
      </c>
      <c r="S82" s="809"/>
      <c r="T82" s="809"/>
      <c r="U82" s="810"/>
      <c r="V82" s="804" t="s">
        <v>1222</v>
      </c>
      <c r="W82" s="804" t="s">
        <v>437</v>
      </c>
      <c r="X82" s="804" t="s">
        <v>650</v>
      </c>
      <c r="Y82" s="804" t="s">
        <v>1222</v>
      </c>
      <c r="Z82" s="810"/>
      <c r="AA82" s="810"/>
      <c r="AB82" s="810"/>
      <c r="AC82" s="810"/>
      <c r="AD82" s="810"/>
      <c r="AE82" s="810"/>
      <c r="AF82" s="809"/>
      <c r="AG82" s="810"/>
      <c r="AH82" s="810"/>
      <c r="AI82" s="810"/>
      <c r="AJ82" s="810"/>
      <c r="AK82" s="810"/>
      <c r="AL82" s="810"/>
      <c r="AM82" s="810"/>
      <c r="AN82" s="810"/>
      <c r="AO82" s="810"/>
    </row>
    <row r="83">
      <c r="A83" s="258" t="s">
        <v>1304</v>
      </c>
      <c r="B83" s="258" t="s">
        <v>1462</v>
      </c>
      <c r="C83" s="258" t="s">
        <v>1474</v>
      </c>
      <c r="D83" s="258" t="s">
        <v>1475</v>
      </c>
      <c r="E83" s="539" t="s">
        <v>1465</v>
      </c>
      <c r="F83" s="258" t="s">
        <v>640</v>
      </c>
      <c r="G83" s="258">
        <v>11.0</v>
      </c>
      <c r="H83" s="258"/>
      <c r="I83" s="259"/>
      <c r="J83" s="811">
        <v>1.82</v>
      </c>
      <c r="K83" s="575"/>
      <c r="L83" s="575"/>
      <c r="M83" s="580">
        <v>20.11</v>
      </c>
      <c r="N83" s="258" t="s">
        <v>1312</v>
      </c>
      <c r="O83" s="258" t="s">
        <v>1476</v>
      </c>
      <c r="P83" s="581" t="s">
        <v>1477</v>
      </c>
      <c r="Q83" s="539" t="s">
        <v>762</v>
      </c>
      <c r="R83" s="580" t="s">
        <v>296</v>
      </c>
      <c r="S83" s="537"/>
      <c r="T83" s="537"/>
      <c r="U83" s="259"/>
      <c r="V83" s="258" t="s">
        <v>1222</v>
      </c>
      <c r="W83" s="537"/>
      <c r="X83" s="537"/>
      <c r="Y83" s="258" t="s">
        <v>296</v>
      </c>
      <c r="Z83" s="259"/>
      <c r="AA83" s="259"/>
      <c r="AB83" s="259"/>
      <c r="AC83" s="259"/>
      <c r="AD83" s="259"/>
      <c r="AE83" s="259"/>
      <c r="AF83" s="258" t="s">
        <v>837</v>
      </c>
      <c r="AG83" s="259"/>
      <c r="AH83" s="259"/>
      <c r="AI83" s="259"/>
      <c r="AJ83" s="259"/>
      <c r="AK83" s="259"/>
      <c r="AL83" s="259"/>
      <c r="AM83" s="259"/>
      <c r="AN83" s="259"/>
      <c r="AO83" s="259"/>
    </row>
    <row r="84">
      <c r="A84" s="258" t="s">
        <v>1304</v>
      </c>
      <c r="B84" s="258" t="s">
        <v>1462</v>
      </c>
      <c r="C84" s="812" t="s">
        <v>1478</v>
      </c>
      <c r="D84" s="258" t="s">
        <v>1479</v>
      </c>
      <c r="E84" s="539" t="s">
        <v>1465</v>
      </c>
      <c r="F84" s="258" t="s">
        <v>640</v>
      </c>
      <c r="G84" s="258">
        <v>11.0</v>
      </c>
      <c r="H84" s="258"/>
      <c r="I84" s="259"/>
      <c r="J84" s="580">
        <v>2.34</v>
      </c>
      <c r="K84" s="575"/>
      <c r="L84" s="575"/>
      <c r="M84" s="580">
        <v>25.67</v>
      </c>
      <c r="N84" s="258" t="s">
        <v>1312</v>
      </c>
      <c r="O84" s="258" t="s">
        <v>1480</v>
      </c>
      <c r="P84" s="581" t="s">
        <v>1481</v>
      </c>
      <c r="Q84" s="539" t="s">
        <v>762</v>
      </c>
      <c r="R84" s="580" t="s">
        <v>296</v>
      </c>
      <c r="S84" s="537"/>
      <c r="T84" s="537"/>
      <c r="U84" s="259"/>
      <c r="V84" s="258" t="s">
        <v>1222</v>
      </c>
      <c r="W84" s="537"/>
      <c r="X84" s="537"/>
      <c r="Y84" s="258" t="s">
        <v>296</v>
      </c>
      <c r="Z84" s="259"/>
      <c r="AA84" s="259"/>
      <c r="AB84" s="259"/>
      <c r="AC84" s="259"/>
      <c r="AD84" s="259"/>
      <c r="AE84" s="259"/>
      <c r="AF84" s="258" t="s">
        <v>837</v>
      </c>
      <c r="AG84" s="259"/>
      <c r="AH84" s="259"/>
      <c r="AI84" s="259"/>
      <c r="AJ84" s="259"/>
      <c r="AK84" s="259"/>
      <c r="AL84" s="259"/>
      <c r="AM84" s="259"/>
      <c r="AN84" s="259"/>
      <c r="AO84" s="259"/>
    </row>
    <row r="85">
      <c r="A85" s="258" t="s">
        <v>753</v>
      </c>
      <c r="B85" s="258" t="s">
        <v>1462</v>
      </c>
      <c r="C85" s="258" t="s">
        <v>1482</v>
      </c>
      <c r="D85" s="258" t="s">
        <v>1483</v>
      </c>
      <c r="E85" s="813"/>
      <c r="F85" s="258" t="s">
        <v>640</v>
      </c>
      <c r="G85" s="258">
        <v>2.0</v>
      </c>
      <c r="H85" s="258">
        <v>0.0</v>
      </c>
      <c r="I85" s="258">
        <v>2.0</v>
      </c>
      <c r="J85" s="259">
        <f>19.36/2</f>
        <v>9.68</v>
      </c>
      <c r="K85" s="258">
        <v>24.73</v>
      </c>
      <c r="L85" s="259"/>
      <c r="M85" s="259">
        <f>J85*I85+K85</f>
        <v>44.09</v>
      </c>
      <c r="N85" s="258" t="s">
        <v>1484</v>
      </c>
      <c r="O85" s="259"/>
      <c r="P85" s="581" t="s">
        <v>1485</v>
      </c>
      <c r="Q85" s="813"/>
      <c r="R85" s="259"/>
      <c r="S85" s="259"/>
      <c r="T85" s="259"/>
      <c r="U85" s="259"/>
      <c r="V85" s="258" t="s">
        <v>1246</v>
      </c>
      <c r="W85" s="259"/>
      <c r="X85" s="259"/>
      <c r="Y85" s="259"/>
      <c r="Z85" s="259"/>
      <c r="AA85" s="259"/>
      <c r="AB85" s="259"/>
      <c r="AC85" s="259"/>
      <c r="AD85" s="259"/>
      <c r="AE85" s="259"/>
      <c r="AF85" s="259"/>
      <c r="AG85" s="259"/>
      <c r="AH85" s="259"/>
      <c r="AI85" s="259"/>
      <c r="AJ85" s="259"/>
      <c r="AK85" s="259"/>
      <c r="AL85" s="259"/>
      <c r="AM85" s="259"/>
      <c r="AN85" s="259"/>
      <c r="AO85" s="259"/>
    </row>
    <row r="86">
      <c r="A86" s="42" t="s">
        <v>753</v>
      </c>
      <c r="B86" s="42" t="s">
        <v>1443</v>
      </c>
      <c r="C86" s="42" t="s">
        <v>1486</v>
      </c>
      <c r="D86" s="42" t="s">
        <v>1487</v>
      </c>
      <c r="E86" s="725" t="s">
        <v>1488</v>
      </c>
      <c r="F86" s="42" t="s">
        <v>640</v>
      </c>
      <c r="G86" s="42">
        <v>1.0</v>
      </c>
      <c r="H86" s="42">
        <v>1.0</v>
      </c>
      <c r="I86" s="42">
        <v>2.0</v>
      </c>
      <c r="J86" s="814">
        <v>0.78</v>
      </c>
      <c r="K86" s="42"/>
      <c r="L86" s="58"/>
      <c r="M86" s="42">
        <v>0.78</v>
      </c>
      <c r="N86" s="42" t="s">
        <v>1489</v>
      </c>
      <c r="O86" s="42" t="s">
        <v>1490</v>
      </c>
      <c r="P86" s="815" t="s">
        <v>1491</v>
      </c>
      <c r="Q86" s="816"/>
      <c r="R86" s="42" t="s">
        <v>1492</v>
      </c>
      <c r="S86" s="58"/>
      <c r="T86" s="58"/>
      <c r="U86" s="42" t="s">
        <v>1493</v>
      </c>
      <c r="V86" s="58"/>
      <c r="W86" s="58"/>
      <c r="X86" s="58"/>
      <c r="Y86" s="58"/>
      <c r="Z86" s="58"/>
      <c r="AA86" s="58"/>
      <c r="AB86" s="58"/>
      <c r="AC86" s="58"/>
      <c r="AD86" s="58"/>
      <c r="AE86" s="58"/>
      <c r="AF86" s="58"/>
    </row>
    <row r="87">
      <c r="A87" s="37" t="s">
        <v>753</v>
      </c>
      <c r="B87" s="37" t="s">
        <v>1443</v>
      </c>
      <c r="C87" s="37" t="s">
        <v>1494</v>
      </c>
      <c r="D87" s="37" t="s">
        <v>1495</v>
      </c>
      <c r="E87" s="22" t="s">
        <v>1496</v>
      </c>
      <c r="F87" s="37" t="s">
        <v>640</v>
      </c>
      <c r="G87" s="37">
        <v>3.0</v>
      </c>
      <c r="H87" s="37">
        <v>3.0</v>
      </c>
      <c r="I87" s="37">
        <v>6.0</v>
      </c>
      <c r="J87" s="817">
        <v>4.02</v>
      </c>
      <c r="K87" s="817">
        <v>9.09</v>
      </c>
      <c r="L87" s="460"/>
      <c r="M87" s="460"/>
      <c r="N87" s="37" t="s">
        <v>1497</v>
      </c>
      <c r="O87" s="37" t="s">
        <v>1498</v>
      </c>
      <c r="P87" s="818" t="s">
        <v>1499</v>
      </c>
      <c r="Q87" s="819"/>
      <c r="R87" s="460"/>
      <c r="S87" s="466"/>
      <c r="T87" s="466"/>
      <c r="V87" s="466"/>
      <c r="W87" s="466"/>
      <c r="X87" s="466"/>
      <c r="Y87" s="466"/>
      <c r="Z87" s="122"/>
      <c r="AF87" s="122"/>
    </row>
    <row r="88">
      <c r="A88" s="37" t="s">
        <v>753</v>
      </c>
      <c r="B88" s="37" t="s">
        <v>1443</v>
      </c>
      <c r="C88" s="37" t="s">
        <v>1500</v>
      </c>
      <c r="D88" s="37" t="s">
        <v>1501</v>
      </c>
      <c r="E88" s="22" t="s">
        <v>1502</v>
      </c>
      <c r="F88" s="37" t="s">
        <v>640</v>
      </c>
      <c r="G88" s="37">
        <v>1.0</v>
      </c>
      <c r="H88" s="37">
        <v>1.0</v>
      </c>
      <c r="I88" s="37">
        <v>2.0</v>
      </c>
      <c r="J88" s="817">
        <v>4.62</v>
      </c>
      <c r="K88" s="817"/>
      <c r="L88" s="460"/>
      <c r="M88" s="460"/>
      <c r="N88" s="37" t="s">
        <v>1497</v>
      </c>
      <c r="O88" s="37" t="s">
        <v>1503</v>
      </c>
      <c r="P88" s="818" t="s">
        <v>1504</v>
      </c>
      <c r="Q88" s="819"/>
      <c r="R88" s="460"/>
      <c r="S88" s="466"/>
      <c r="T88" s="466"/>
      <c r="V88" s="466"/>
      <c r="W88" s="466"/>
      <c r="X88" s="466"/>
      <c r="Y88" s="466"/>
      <c r="Z88" s="122"/>
      <c r="AF88" s="122"/>
    </row>
    <row r="89">
      <c r="A89" s="210" t="s">
        <v>753</v>
      </c>
      <c r="B89" s="210" t="s">
        <v>1443</v>
      </c>
      <c r="C89" s="210" t="s">
        <v>1505</v>
      </c>
      <c r="D89" s="210" t="s">
        <v>1506</v>
      </c>
      <c r="E89" s="218" t="s">
        <v>1507</v>
      </c>
      <c r="F89" s="210" t="s">
        <v>640</v>
      </c>
      <c r="G89" s="210">
        <v>1.0</v>
      </c>
      <c r="H89" s="210">
        <v>0.0</v>
      </c>
      <c r="I89" s="210">
        <v>1.0</v>
      </c>
      <c r="J89" s="277">
        <v>23.99</v>
      </c>
      <c r="K89" s="277"/>
      <c r="L89" s="278"/>
      <c r="M89" s="277">
        <f t="shared" ref="M89:M90" si="15">I89*J89</f>
        <v>23.99</v>
      </c>
      <c r="N89" s="210" t="s">
        <v>1508</v>
      </c>
      <c r="O89" s="210"/>
      <c r="P89" s="333" t="s">
        <v>1509</v>
      </c>
      <c r="Q89" s="610"/>
      <c r="R89" s="278"/>
      <c r="S89" s="436"/>
      <c r="T89" s="436"/>
      <c r="U89" s="213"/>
      <c r="V89" s="210" t="s">
        <v>1246</v>
      </c>
      <c r="W89" s="436"/>
      <c r="X89" s="436"/>
      <c r="Y89" s="436"/>
      <c r="Z89" s="213"/>
      <c r="AA89" s="213"/>
      <c r="AB89" s="213"/>
      <c r="AC89" s="213"/>
      <c r="AD89" s="213"/>
      <c r="AE89" s="213"/>
      <c r="AF89" s="213"/>
      <c r="AG89" s="213"/>
      <c r="AH89" s="213"/>
      <c r="AI89" s="213"/>
      <c r="AJ89" s="213"/>
      <c r="AK89" s="213"/>
      <c r="AL89" s="213"/>
      <c r="AM89" s="213"/>
      <c r="AN89" s="213"/>
      <c r="AO89" s="213"/>
    </row>
    <row r="90">
      <c r="A90" s="210"/>
      <c r="B90" s="210"/>
      <c r="C90" s="210" t="s">
        <v>1510</v>
      </c>
      <c r="D90" s="210"/>
      <c r="E90" s="218" t="s">
        <v>1507</v>
      </c>
      <c r="F90" s="210" t="s">
        <v>640</v>
      </c>
      <c r="G90" s="210">
        <v>1.0</v>
      </c>
      <c r="H90" s="210">
        <v>0.0</v>
      </c>
      <c r="I90" s="210">
        <v>1.0</v>
      </c>
      <c r="J90" s="277">
        <v>15.67</v>
      </c>
      <c r="K90" s="277"/>
      <c r="L90" s="278"/>
      <c r="M90" s="277">
        <f t="shared" si="15"/>
        <v>15.67</v>
      </c>
      <c r="N90" s="210" t="s">
        <v>1508</v>
      </c>
      <c r="O90" s="210"/>
      <c r="P90" s="333" t="s">
        <v>1511</v>
      </c>
      <c r="Q90" s="610"/>
      <c r="R90" s="278"/>
      <c r="S90" s="436"/>
      <c r="T90" s="436"/>
      <c r="U90" s="213"/>
      <c r="V90" s="210" t="s">
        <v>1246</v>
      </c>
      <c r="W90" s="436"/>
      <c r="X90" s="436"/>
      <c r="Y90" s="436"/>
      <c r="Z90" s="213"/>
      <c r="AA90" s="213"/>
      <c r="AB90" s="213"/>
      <c r="AC90" s="213"/>
      <c r="AD90" s="213"/>
      <c r="AE90" s="213"/>
      <c r="AF90" s="213"/>
      <c r="AG90" s="213"/>
      <c r="AH90" s="213"/>
      <c r="AI90" s="213"/>
      <c r="AJ90" s="213"/>
      <c r="AK90" s="213"/>
      <c r="AL90" s="213"/>
      <c r="AM90" s="213"/>
      <c r="AN90" s="213"/>
      <c r="AO90" s="213"/>
    </row>
    <row r="91">
      <c r="A91" s="42" t="s">
        <v>753</v>
      </c>
      <c r="B91" s="42" t="s">
        <v>1462</v>
      </c>
      <c r="C91" s="42" t="s">
        <v>1512</v>
      </c>
      <c r="D91" s="42" t="s">
        <v>1513</v>
      </c>
      <c r="E91" s="725" t="s">
        <v>1514</v>
      </c>
      <c r="F91" s="42" t="s">
        <v>822</v>
      </c>
      <c r="G91" s="453"/>
      <c r="H91" s="453"/>
      <c r="I91" s="453"/>
      <c r="J91" s="457"/>
      <c r="K91" s="457"/>
      <c r="L91" s="457"/>
      <c r="M91" s="457"/>
      <c r="N91" s="42" t="s">
        <v>1515</v>
      </c>
      <c r="O91" s="453"/>
      <c r="P91" s="453"/>
      <c r="Q91" s="725" t="s">
        <v>1467</v>
      </c>
      <c r="R91" s="456" t="s">
        <v>296</v>
      </c>
      <c r="S91" s="453"/>
      <c r="T91" s="453"/>
      <c r="U91" s="453"/>
      <c r="V91" s="453"/>
      <c r="W91" s="453"/>
      <c r="X91" s="453"/>
      <c r="Y91" s="453"/>
      <c r="Z91" s="58"/>
      <c r="AA91" s="58"/>
      <c r="AB91" s="58"/>
      <c r="AC91" s="58"/>
      <c r="AD91" s="58"/>
      <c r="AE91" s="58"/>
      <c r="AF91" s="453"/>
    </row>
    <row r="92">
      <c r="A92" s="42" t="s">
        <v>753</v>
      </c>
      <c r="B92" s="42" t="s">
        <v>1462</v>
      </c>
      <c r="C92" s="42" t="s">
        <v>1516</v>
      </c>
      <c r="D92" s="42" t="s">
        <v>1517</v>
      </c>
      <c r="E92" s="725" t="s">
        <v>1514</v>
      </c>
      <c r="F92" s="42" t="s">
        <v>822</v>
      </c>
      <c r="G92" s="453"/>
      <c r="H92" s="453"/>
      <c r="I92" s="453"/>
      <c r="J92" s="457"/>
      <c r="K92" s="457"/>
      <c r="L92" s="457"/>
      <c r="M92" s="457"/>
      <c r="N92" s="42" t="s">
        <v>1515</v>
      </c>
      <c r="O92" s="453"/>
      <c r="P92" s="453"/>
      <c r="Q92" s="725" t="s">
        <v>1467</v>
      </c>
      <c r="R92" s="456" t="s">
        <v>296</v>
      </c>
      <c r="S92" s="453"/>
      <c r="T92" s="453"/>
      <c r="U92" s="453"/>
      <c r="V92" s="453"/>
      <c r="W92" s="453"/>
      <c r="X92" s="453"/>
      <c r="Y92" s="453"/>
      <c r="Z92" s="58"/>
      <c r="AA92" s="58"/>
      <c r="AB92" s="58"/>
      <c r="AC92" s="58"/>
      <c r="AD92" s="58"/>
      <c r="AE92" s="58"/>
      <c r="AF92" s="453"/>
    </row>
    <row r="93">
      <c r="A93" s="42" t="s">
        <v>753</v>
      </c>
      <c r="B93" s="42" t="s">
        <v>1462</v>
      </c>
      <c r="C93" s="42" t="s">
        <v>1518</v>
      </c>
      <c r="D93" s="42" t="s">
        <v>1519</v>
      </c>
      <c r="E93" s="725" t="s">
        <v>1514</v>
      </c>
      <c r="F93" s="42" t="s">
        <v>822</v>
      </c>
      <c r="G93" s="453"/>
      <c r="H93" s="453"/>
      <c r="I93" s="453"/>
      <c r="J93" s="457"/>
      <c r="K93" s="457"/>
      <c r="L93" s="457"/>
      <c r="M93" s="457"/>
      <c r="N93" s="42" t="s">
        <v>1515</v>
      </c>
      <c r="O93" s="453"/>
      <c r="P93" s="453"/>
      <c r="Q93" s="725" t="s">
        <v>1467</v>
      </c>
      <c r="R93" s="456" t="s">
        <v>296</v>
      </c>
      <c r="S93" s="453"/>
      <c r="T93" s="453"/>
      <c r="U93" s="453"/>
      <c r="V93" s="453"/>
      <c r="W93" s="453"/>
      <c r="X93" s="453"/>
      <c r="Y93" s="453"/>
      <c r="Z93" s="58"/>
      <c r="AA93" s="58"/>
      <c r="AB93" s="58"/>
      <c r="AC93" s="58"/>
      <c r="AD93" s="58"/>
      <c r="AE93" s="58"/>
      <c r="AF93" s="453"/>
    </row>
    <row r="94">
      <c r="A94" s="42" t="s">
        <v>753</v>
      </c>
      <c r="B94" s="42" t="s">
        <v>1462</v>
      </c>
      <c r="C94" s="42" t="s">
        <v>1520</v>
      </c>
      <c r="D94" s="42" t="s">
        <v>1521</v>
      </c>
      <c r="E94" s="725" t="s">
        <v>1514</v>
      </c>
      <c r="F94" s="42" t="s">
        <v>822</v>
      </c>
      <c r="G94" s="453"/>
      <c r="H94" s="453"/>
      <c r="I94" s="453"/>
      <c r="J94" s="457"/>
      <c r="K94" s="457"/>
      <c r="L94" s="457"/>
      <c r="M94" s="457"/>
      <c r="N94" s="42" t="s">
        <v>1515</v>
      </c>
      <c r="O94" s="453"/>
      <c r="P94" s="453"/>
      <c r="Q94" s="725" t="s">
        <v>1467</v>
      </c>
      <c r="R94" s="456" t="s">
        <v>296</v>
      </c>
      <c r="S94" s="453"/>
      <c r="T94" s="453"/>
      <c r="U94" s="453"/>
      <c r="V94" s="453"/>
      <c r="W94" s="453"/>
      <c r="X94" s="453"/>
      <c r="Y94" s="453"/>
      <c r="Z94" s="58"/>
      <c r="AA94" s="58"/>
      <c r="AB94" s="58"/>
      <c r="AC94" s="58"/>
      <c r="AD94" s="58"/>
      <c r="AE94" s="58"/>
      <c r="AF94" s="453"/>
    </row>
    <row r="95">
      <c r="A95" s="42" t="s">
        <v>753</v>
      </c>
      <c r="B95" s="42" t="s">
        <v>1462</v>
      </c>
      <c r="C95" s="458" t="s">
        <v>1522</v>
      </c>
      <c r="D95" s="42" t="s">
        <v>1523</v>
      </c>
      <c r="E95" s="725" t="s">
        <v>1524</v>
      </c>
      <c r="F95" s="42" t="s">
        <v>822</v>
      </c>
      <c r="G95" s="453"/>
      <c r="H95" s="453"/>
      <c r="I95" s="453"/>
      <c r="J95" s="457"/>
      <c r="K95" s="457"/>
      <c r="L95" s="457"/>
      <c r="M95" s="457"/>
      <c r="N95" s="42" t="s">
        <v>1515</v>
      </c>
      <c r="O95" s="453"/>
      <c r="P95" s="453"/>
      <c r="Q95" s="725" t="s">
        <v>1525</v>
      </c>
      <c r="R95" s="456" t="s">
        <v>296</v>
      </c>
      <c r="S95" s="453"/>
      <c r="T95" s="453"/>
      <c r="U95" s="725" t="s">
        <v>1526</v>
      </c>
      <c r="V95" s="453"/>
      <c r="W95" s="453"/>
      <c r="X95" s="453"/>
      <c r="Y95" s="453"/>
      <c r="Z95" s="58"/>
      <c r="AA95" s="58"/>
      <c r="AB95" s="58"/>
      <c r="AC95" s="58"/>
      <c r="AD95" s="58"/>
      <c r="AE95" s="58"/>
      <c r="AF95" s="453"/>
    </row>
    <row r="96">
      <c r="A96" s="42" t="s">
        <v>753</v>
      </c>
      <c r="B96" s="42" t="s">
        <v>1462</v>
      </c>
      <c r="C96" s="820" t="s">
        <v>1527</v>
      </c>
      <c r="D96" s="42" t="s">
        <v>1528</v>
      </c>
      <c r="E96" s="725" t="s">
        <v>1529</v>
      </c>
      <c r="F96" s="42" t="s">
        <v>822</v>
      </c>
      <c r="G96" s="58"/>
      <c r="H96" s="58"/>
      <c r="I96" s="58"/>
      <c r="J96" s="58"/>
      <c r="K96" s="58"/>
      <c r="L96" s="58"/>
      <c r="M96" s="58"/>
      <c r="N96" s="42" t="s">
        <v>1530</v>
      </c>
      <c r="O96" s="58"/>
      <c r="P96" s="821" t="s">
        <v>1531</v>
      </c>
      <c r="Q96" s="725" t="s">
        <v>762</v>
      </c>
      <c r="R96" s="42" t="s">
        <v>296</v>
      </c>
      <c r="S96" s="58"/>
      <c r="T96" s="58"/>
      <c r="U96" s="725"/>
      <c r="V96" s="58"/>
      <c r="W96" s="58"/>
      <c r="X96" s="58"/>
      <c r="Y96" s="58"/>
      <c r="Z96" s="58"/>
      <c r="AA96" s="58"/>
      <c r="AB96" s="58"/>
      <c r="AC96" s="58"/>
      <c r="AD96" s="58"/>
      <c r="AE96" s="58"/>
      <c r="AF96" s="58"/>
    </row>
    <row r="97">
      <c r="A97" s="42" t="s">
        <v>753</v>
      </c>
      <c r="B97" s="42" t="s">
        <v>1462</v>
      </c>
      <c r="C97" s="458" t="s">
        <v>1532</v>
      </c>
      <c r="D97" s="42" t="s">
        <v>1533</v>
      </c>
      <c r="E97" s="725" t="s">
        <v>1524</v>
      </c>
      <c r="F97" s="42" t="s">
        <v>822</v>
      </c>
      <c r="G97" s="58"/>
      <c r="H97" s="58"/>
      <c r="I97" s="58"/>
      <c r="J97" s="58"/>
      <c r="K97" s="58"/>
      <c r="L97" s="58"/>
      <c r="M97" s="58"/>
      <c r="N97" s="42" t="s">
        <v>1515</v>
      </c>
      <c r="O97" s="58"/>
      <c r="P97" s="58"/>
      <c r="Q97" s="725" t="s">
        <v>1525</v>
      </c>
      <c r="R97" s="42" t="s">
        <v>296</v>
      </c>
      <c r="S97" s="58"/>
      <c r="T97" s="58"/>
      <c r="U97" s="725" t="s">
        <v>1526</v>
      </c>
      <c r="V97" s="58"/>
      <c r="W97" s="58"/>
      <c r="X97" s="58"/>
      <c r="Y97" s="58"/>
      <c r="Z97" s="58"/>
      <c r="AA97" s="58"/>
      <c r="AB97" s="58"/>
      <c r="AC97" s="58"/>
      <c r="AD97" s="58"/>
      <c r="AE97" s="58"/>
      <c r="AF97" s="58"/>
    </row>
    <row r="98">
      <c r="A98" s="42" t="s">
        <v>753</v>
      </c>
      <c r="B98" s="42" t="s">
        <v>1462</v>
      </c>
      <c r="C98" s="815" t="s">
        <v>1534</v>
      </c>
      <c r="D98" s="42" t="s">
        <v>1535</v>
      </c>
      <c r="E98" s="725" t="s">
        <v>1536</v>
      </c>
      <c r="F98" s="42" t="s">
        <v>822</v>
      </c>
      <c r="G98" s="58"/>
      <c r="H98" s="58"/>
      <c r="I98" s="58"/>
      <c r="J98" s="58"/>
      <c r="K98" s="58"/>
      <c r="L98" s="58"/>
      <c r="M98" s="58"/>
      <c r="N98" s="42" t="s">
        <v>1515</v>
      </c>
      <c r="O98" s="58"/>
      <c r="P98" s="58"/>
      <c r="Q98" s="725" t="s">
        <v>1525</v>
      </c>
      <c r="R98" s="42" t="s">
        <v>296</v>
      </c>
      <c r="S98" s="58"/>
      <c r="T98" s="58"/>
      <c r="U98" s="58"/>
      <c r="V98" s="58"/>
      <c r="W98" s="58"/>
      <c r="X98" s="58"/>
      <c r="Y98" s="58"/>
      <c r="Z98" s="58"/>
      <c r="AA98" s="58"/>
      <c r="AB98" s="58"/>
      <c r="AC98" s="58"/>
      <c r="AD98" s="58"/>
      <c r="AE98" s="58"/>
      <c r="AF98" s="58"/>
    </row>
    <row r="99">
      <c r="A99" s="42" t="s">
        <v>1304</v>
      </c>
      <c r="B99" s="42" t="s">
        <v>1462</v>
      </c>
      <c r="C99" s="815" t="s">
        <v>1537</v>
      </c>
      <c r="D99" s="42" t="s">
        <v>1538</v>
      </c>
      <c r="E99" s="725" t="s">
        <v>1539</v>
      </c>
      <c r="F99" s="42" t="s">
        <v>822</v>
      </c>
      <c r="G99" s="58"/>
      <c r="H99" s="58"/>
      <c r="I99" s="58"/>
      <c r="J99" s="58"/>
      <c r="K99" s="58"/>
      <c r="L99" s="58"/>
      <c r="M99" s="58"/>
      <c r="N99" s="42" t="s">
        <v>1515</v>
      </c>
      <c r="O99" s="58"/>
      <c r="P99" s="58"/>
      <c r="Q99" s="725" t="s">
        <v>762</v>
      </c>
      <c r="R99" s="42" t="s">
        <v>296</v>
      </c>
      <c r="S99" s="58"/>
      <c r="T99" s="58"/>
      <c r="U99" s="58"/>
      <c r="V99" s="58"/>
      <c r="W99" s="58"/>
      <c r="X99" s="58"/>
      <c r="Y99" s="58"/>
      <c r="Z99" s="58"/>
      <c r="AA99" s="58"/>
      <c r="AB99" s="58"/>
      <c r="AC99" s="58"/>
      <c r="AD99" s="58"/>
      <c r="AE99" s="58"/>
      <c r="AF99" s="58"/>
    </row>
    <row r="100">
      <c r="A100" s="258" t="s">
        <v>753</v>
      </c>
      <c r="B100" s="258" t="s">
        <v>1462</v>
      </c>
      <c r="C100" s="258" t="s">
        <v>1540</v>
      </c>
      <c r="D100" s="822" t="s">
        <v>1541</v>
      </c>
      <c r="E100" s="259"/>
      <c r="F100" s="258" t="s">
        <v>640</v>
      </c>
      <c r="G100" s="258">
        <v>1000.0</v>
      </c>
      <c r="H100" s="258">
        <v>0.0</v>
      </c>
      <c r="I100" s="258">
        <v>1000.0</v>
      </c>
      <c r="J100" s="535">
        <v>19.79</v>
      </c>
      <c r="K100" s="258">
        <v>0.0</v>
      </c>
      <c r="L100" s="259"/>
      <c r="M100" s="823">
        <f t="shared" ref="M100:M104" si="16">J100*1.13</f>
        <v>22.3627</v>
      </c>
      <c r="N100" s="258" t="s">
        <v>701</v>
      </c>
      <c r="O100" s="259"/>
      <c r="P100" s="824" t="s">
        <v>1542</v>
      </c>
      <c r="Q100" s="258" t="s">
        <v>762</v>
      </c>
      <c r="R100" s="258" t="s">
        <v>1242</v>
      </c>
      <c r="S100" s="259"/>
      <c r="T100" s="259"/>
      <c r="U100" s="259"/>
      <c r="V100" s="258" t="s">
        <v>1222</v>
      </c>
      <c r="W100" s="259"/>
      <c r="X100" s="259"/>
      <c r="Y100" s="259"/>
      <c r="Z100" s="259"/>
      <c r="AA100" s="259"/>
      <c r="AB100" s="259"/>
      <c r="AC100" s="259"/>
      <c r="AD100" s="259"/>
      <c r="AE100" s="259"/>
      <c r="AF100" s="258" t="s">
        <v>837</v>
      </c>
    </row>
    <row r="101">
      <c r="A101" s="258" t="s">
        <v>753</v>
      </c>
      <c r="B101" s="258" t="s">
        <v>1462</v>
      </c>
      <c r="C101" s="258" t="s">
        <v>1543</v>
      </c>
      <c r="D101" s="822" t="s">
        <v>1544</v>
      </c>
      <c r="E101" s="259"/>
      <c r="F101" s="258" t="s">
        <v>640</v>
      </c>
      <c r="G101" s="258" t="s">
        <v>1545</v>
      </c>
      <c r="H101" s="258">
        <v>0.0</v>
      </c>
      <c r="I101" s="258">
        <v>6.0</v>
      </c>
      <c r="J101" s="535">
        <v>8.99</v>
      </c>
      <c r="K101" s="258">
        <v>0.0</v>
      </c>
      <c r="L101" s="259"/>
      <c r="M101" s="823">
        <f t="shared" si="16"/>
        <v>10.1587</v>
      </c>
      <c r="N101" s="258" t="s">
        <v>701</v>
      </c>
      <c r="O101" s="259"/>
      <c r="P101" s="824" t="s">
        <v>1546</v>
      </c>
      <c r="Q101" s="258" t="s">
        <v>762</v>
      </c>
      <c r="R101" s="258" t="s">
        <v>1242</v>
      </c>
      <c r="S101" s="259"/>
      <c r="T101" s="259"/>
      <c r="U101" s="259"/>
      <c r="V101" s="258" t="s">
        <v>1222</v>
      </c>
      <c r="W101" s="259"/>
      <c r="X101" s="259"/>
      <c r="Y101" s="259"/>
      <c r="Z101" s="259"/>
      <c r="AA101" s="259"/>
      <c r="AB101" s="259"/>
      <c r="AC101" s="259"/>
      <c r="AD101" s="259"/>
      <c r="AE101" s="259"/>
      <c r="AF101" s="258" t="s">
        <v>837</v>
      </c>
    </row>
    <row r="102">
      <c r="A102" s="258" t="s">
        <v>753</v>
      </c>
      <c r="B102" s="258" t="s">
        <v>1462</v>
      </c>
      <c r="C102" s="258" t="s">
        <v>1547</v>
      </c>
      <c r="D102" s="822" t="s">
        <v>1548</v>
      </c>
      <c r="E102" s="259"/>
      <c r="F102" s="258" t="s">
        <v>822</v>
      </c>
      <c r="G102" s="258" t="s">
        <v>1545</v>
      </c>
      <c r="H102" s="258">
        <v>0.0</v>
      </c>
      <c r="I102" s="258">
        <v>6.0</v>
      </c>
      <c r="J102" s="535">
        <v>10.99</v>
      </c>
      <c r="K102" s="258">
        <v>0.0</v>
      </c>
      <c r="L102" s="259"/>
      <c r="M102" s="823">
        <f t="shared" si="16"/>
        <v>12.4187</v>
      </c>
      <c r="N102" s="258" t="s">
        <v>701</v>
      </c>
      <c r="O102" s="259"/>
      <c r="P102" s="824" t="s">
        <v>1549</v>
      </c>
      <c r="Q102" s="258" t="s">
        <v>762</v>
      </c>
      <c r="R102" s="258" t="s">
        <v>1242</v>
      </c>
      <c r="S102" s="259"/>
      <c r="T102" s="259"/>
      <c r="U102" s="259"/>
      <c r="V102" s="258" t="s">
        <v>1222</v>
      </c>
      <c r="W102" s="259"/>
      <c r="X102" s="259"/>
      <c r="Y102" s="259"/>
      <c r="Z102" s="259"/>
      <c r="AA102" s="259"/>
      <c r="AB102" s="259"/>
      <c r="AC102" s="259"/>
      <c r="AD102" s="259"/>
      <c r="AE102" s="259"/>
      <c r="AF102" s="258" t="s">
        <v>837</v>
      </c>
    </row>
    <row r="103">
      <c r="A103" s="258" t="s">
        <v>753</v>
      </c>
      <c r="B103" s="258" t="s">
        <v>1462</v>
      </c>
      <c r="C103" s="258" t="s">
        <v>1550</v>
      </c>
      <c r="D103" s="822" t="s">
        <v>1551</v>
      </c>
      <c r="E103" s="259"/>
      <c r="F103" s="258" t="s">
        <v>640</v>
      </c>
      <c r="G103" s="258" t="s">
        <v>1552</v>
      </c>
      <c r="H103" s="258">
        <v>0.0</v>
      </c>
      <c r="I103" s="258">
        <v>100.0</v>
      </c>
      <c r="J103" s="535">
        <v>9.78</v>
      </c>
      <c r="K103" s="258">
        <v>0.0</v>
      </c>
      <c r="L103" s="259"/>
      <c r="M103" s="823">
        <f t="shared" si="16"/>
        <v>11.0514</v>
      </c>
      <c r="N103" s="258" t="s">
        <v>701</v>
      </c>
      <c r="O103" s="259"/>
      <c r="P103" s="824" t="s">
        <v>1553</v>
      </c>
      <c r="Q103" s="258" t="s">
        <v>762</v>
      </c>
      <c r="R103" s="258" t="s">
        <v>1242</v>
      </c>
      <c r="S103" s="259"/>
      <c r="T103" s="259"/>
      <c r="U103" s="259"/>
      <c r="V103" s="258" t="s">
        <v>1222</v>
      </c>
      <c r="W103" s="259"/>
      <c r="X103" s="259"/>
      <c r="Y103" s="259"/>
      <c r="Z103" s="259"/>
      <c r="AA103" s="259"/>
      <c r="AB103" s="259"/>
      <c r="AC103" s="259"/>
      <c r="AD103" s="259"/>
      <c r="AE103" s="259"/>
      <c r="AF103" s="258" t="s">
        <v>837</v>
      </c>
    </row>
    <row r="104">
      <c r="A104" s="258" t="s">
        <v>753</v>
      </c>
      <c r="B104" s="258" t="s">
        <v>1462</v>
      </c>
      <c r="C104" s="258" t="s">
        <v>1554</v>
      </c>
      <c r="D104" s="822" t="s">
        <v>1555</v>
      </c>
      <c r="E104" s="259"/>
      <c r="F104" s="258" t="s">
        <v>822</v>
      </c>
      <c r="G104" s="258" t="s">
        <v>1556</v>
      </c>
      <c r="H104" s="258">
        <v>0.0</v>
      </c>
      <c r="I104" s="258">
        <v>80.0</v>
      </c>
      <c r="J104" s="535">
        <v>9.99</v>
      </c>
      <c r="K104" s="258">
        <v>0.0</v>
      </c>
      <c r="L104" s="259"/>
      <c r="M104" s="823">
        <f t="shared" si="16"/>
        <v>11.2887</v>
      </c>
      <c r="N104" s="258" t="s">
        <v>701</v>
      </c>
      <c r="O104" s="259"/>
      <c r="P104" s="824" t="s">
        <v>1557</v>
      </c>
      <c r="Q104" s="258" t="s">
        <v>762</v>
      </c>
      <c r="R104" s="258" t="s">
        <v>1242</v>
      </c>
      <c r="S104" s="259"/>
      <c r="T104" s="259"/>
      <c r="U104" s="259"/>
      <c r="V104" s="258" t="s">
        <v>1222</v>
      </c>
      <c r="W104" s="259"/>
      <c r="X104" s="259"/>
      <c r="Y104" s="259"/>
      <c r="Z104" s="259"/>
      <c r="AA104" s="259"/>
      <c r="AB104" s="259"/>
      <c r="AC104" s="259"/>
      <c r="AD104" s="259"/>
      <c r="AE104" s="259"/>
      <c r="AF104" s="258" t="s">
        <v>837</v>
      </c>
    </row>
    <row r="105">
      <c r="A105" s="258" t="s">
        <v>1304</v>
      </c>
      <c r="B105" s="258" t="s">
        <v>1462</v>
      </c>
      <c r="C105" s="258">
        <v>2.2012067E7</v>
      </c>
      <c r="D105" s="825" t="s">
        <v>1558</v>
      </c>
      <c r="E105" s="258" t="s">
        <v>1462</v>
      </c>
      <c r="F105" s="258" t="s">
        <v>640</v>
      </c>
      <c r="G105" s="258">
        <v>5.0</v>
      </c>
      <c r="H105" s="258"/>
      <c r="I105" s="258">
        <v>5.0</v>
      </c>
      <c r="J105" s="535">
        <v>0.2</v>
      </c>
      <c r="K105" s="258">
        <v>0.0</v>
      </c>
      <c r="L105" s="259"/>
      <c r="M105" s="823">
        <f t="shared" ref="M105:M113" si="17">I105*J105*1.13</f>
        <v>1.13</v>
      </c>
      <c r="N105" s="258" t="s">
        <v>1312</v>
      </c>
      <c r="O105" s="259"/>
      <c r="P105" s="826"/>
      <c r="Q105" s="258" t="s">
        <v>762</v>
      </c>
      <c r="R105" s="258" t="s">
        <v>296</v>
      </c>
      <c r="S105" s="259"/>
      <c r="T105" s="259"/>
      <c r="U105" s="259"/>
      <c r="V105" s="258" t="s">
        <v>1222</v>
      </c>
      <c r="W105" s="259"/>
      <c r="X105" s="259"/>
      <c r="Y105" s="259"/>
      <c r="Z105" s="259"/>
      <c r="AA105" s="259"/>
      <c r="AB105" s="259"/>
      <c r="AC105" s="259"/>
      <c r="AD105" s="259"/>
      <c r="AE105" s="259"/>
      <c r="AF105" s="258" t="s">
        <v>837</v>
      </c>
      <c r="AG105" s="259"/>
      <c r="AH105" s="259"/>
      <c r="AI105" s="259"/>
      <c r="AJ105" s="259"/>
      <c r="AK105" s="259"/>
      <c r="AL105" s="259"/>
      <c r="AM105" s="259"/>
      <c r="AN105" s="259"/>
      <c r="AO105" s="259"/>
    </row>
    <row r="106">
      <c r="A106" s="258" t="s">
        <v>1304</v>
      </c>
      <c r="B106" s="258" t="s">
        <v>1462</v>
      </c>
      <c r="C106" s="258">
        <v>3.9012025E7</v>
      </c>
      <c r="D106" s="825" t="s">
        <v>1559</v>
      </c>
      <c r="E106" s="258" t="s">
        <v>1462</v>
      </c>
      <c r="F106" s="258" t="s">
        <v>640</v>
      </c>
      <c r="G106" s="258">
        <v>10.0</v>
      </c>
      <c r="H106" s="258"/>
      <c r="I106" s="258">
        <v>10.0</v>
      </c>
      <c r="J106" s="535">
        <v>0.431</v>
      </c>
      <c r="K106" s="258">
        <v>0.0</v>
      </c>
      <c r="L106" s="259"/>
      <c r="M106" s="823">
        <f t="shared" si="17"/>
        <v>4.8703</v>
      </c>
      <c r="N106" s="258" t="s">
        <v>1312</v>
      </c>
      <c r="O106" s="259"/>
      <c r="P106" s="826"/>
      <c r="Q106" s="258" t="s">
        <v>762</v>
      </c>
      <c r="R106" s="258" t="s">
        <v>296</v>
      </c>
      <c r="S106" s="259"/>
      <c r="T106" s="259"/>
      <c r="U106" s="259"/>
      <c r="V106" s="258" t="s">
        <v>1222</v>
      </c>
      <c r="W106" s="259"/>
      <c r="X106" s="259"/>
      <c r="Y106" s="259"/>
      <c r="Z106" s="259"/>
      <c r="AA106" s="259"/>
      <c r="AB106" s="259"/>
      <c r="AC106" s="259"/>
      <c r="AD106" s="259"/>
      <c r="AE106" s="259"/>
      <c r="AF106" s="258" t="s">
        <v>837</v>
      </c>
      <c r="AG106" s="259"/>
      <c r="AH106" s="259"/>
      <c r="AI106" s="259"/>
      <c r="AJ106" s="259"/>
      <c r="AK106" s="259"/>
      <c r="AL106" s="259"/>
      <c r="AM106" s="259"/>
      <c r="AN106" s="259"/>
      <c r="AO106" s="259"/>
    </row>
    <row r="107">
      <c r="A107" s="258" t="s">
        <v>1560</v>
      </c>
      <c r="B107" s="258" t="s">
        <v>1462</v>
      </c>
      <c r="C107" s="258" t="s">
        <v>1561</v>
      </c>
      <c r="D107" s="825" t="s">
        <v>1562</v>
      </c>
      <c r="E107" s="258" t="s">
        <v>1462</v>
      </c>
      <c r="F107" s="258" t="s">
        <v>640</v>
      </c>
      <c r="G107" s="258">
        <v>50.0</v>
      </c>
      <c r="H107" s="258"/>
      <c r="I107" s="258">
        <v>50.0</v>
      </c>
      <c r="J107" s="535">
        <v>0.28</v>
      </c>
      <c r="K107" s="258">
        <v>0.0</v>
      </c>
      <c r="L107" s="259"/>
      <c r="M107" s="823">
        <f t="shared" si="17"/>
        <v>15.82</v>
      </c>
      <c r="N107" s="258" t="s">
        <v>1312</v>
      </c>
      <c r="O107" s="259"/>
      <c r="P107" s="826"/>
      <c r="Q107" s="258" t="s">
        <v>762</v>
      </c>
      <c r="R107" s="258" t="s">
        <v>296</v>
      </c>
      <c r="S107" s="259"/>
      <c r="T107" s="259"/>
      <c r="U107" s="259"/>
      <c r="V107" s="258" t="s">
        <v>1222</v>
      </c>
      <c r="W107" s="259"/>
      <c r="X107" s="259"/>
      <c r="Y107" s="259"/>
      <c r="Z107" s="259"/>
      <c r="AA107" s="259"/>
      <c r="AB107" s="259"/>
      <c r="AC107" s="259"/>
      <c r="AD107" s="259"/>
      <c r="AE107" s="259"/>
      <c r="AF107" s="258" t="s">
        <v>837</v>
      </c>
      <c r="AG107" s="259"/>
      <c r="AH107" s="259"/>
      <c r="AI107" s="259"/>
      <c r="AJ107" s="259"/>
      <c r="AK107" s="259"/>
      <c r="AL107" s="259"/>
      <c r="AM107" s="259"/>
      <c r="AN107" s="259"/>
      <c r="AO107" s="259"/>
    </row>
    <row r="108">
      <c r="A108" s="258" t="s">
        <v>1560</v>
      </c>
      <c r="B108" s="258" t="s">
        <v>1462</v>
      </c>
      <c r="C108" s="258" t="s">
        <v>1563</v>
      </c>
      <c r="D108" s="825" t="s">
        <v>1564</v>
      </c>
      <c r="E108" s="258" t="s">
        <v>1462</v>
      </c>
      <c r="F108" s="258" t="s">
        <v>640</v>
      </c>
      <c r="G108" s="258">
        <v>50.0</v>
      </c>
      <c r="H108" s="258"/>
      <c r="I108" s="258">
        <v>50.0</v>
      </c>
      <c r="J108" s="535">
        <v>0.29</v>
      </c>
      <c r="K108" s="258">
        <v>0.0</v>
      </c>
      <c r="L108" s="259"/>
      <c r="M108" s="823">
        <f t="shared" si="17"/>
        <v>16.385</v>
      </c>
      <c r="N108" s="258" t="s">
        <v>1312</v>
      </c>
      <c r="O108" s="259"/>
      <c r="P108" s="826"/>
      <c r="Q108" s="258" t="s">
        <v>762</v>
      </c>
      <c r="R108" s="258" t="s">
        <v>296</v>
      </c>
      <c r="S108" s="259"/>
      <c r="T108" s="259"/>
      <c r="U108" s="259"/>
      <c r="V108" s="258" t="s">
        <v>1222</v>
      </c>
      <c r="W108" s="259"/>
      <c r="X108" s="259"/>
      <c r="Y108" s="259"/>
      <c r="Z108" s="259"/>
      <c r="AA108" s="259"/>
      <c r="AB108" s="259"/>
      <c r="AC108" s="259"/>
      <c r="AD108" s="259"/>
      <c r="AE108" s="259"/>
      <c r="AF108" s="258" t="s">
        <v>837</v>
      </c>
      <c r="AG108" s="259"/>
      <c r="AH108" s="259"/>
      <c r="AI108" s="259"/>
      <c r="AJ108" s="259"/>
      <c r="AK108" s="259"/>
      <c r="AL108" s="259"/>
      <c r="AM108" s="259"/>
      <c r="AN108" s="259"/>
      <c r="AO108" s="259"/>
    </row>
    <row r="109">
      <c r="A109" s="258" t="s">
        <v>1560</v>
      </c>
      <c r="B109" s="258" t="s">
        <v>1462</v>
      </c>
      <c r="C109" s="258" t="s">
        <v>1565</v>
      </c>
      <c r="D109" s="825" t="s">
        <v>1566</v>
      </c>
      <c r="E109" s="258" t="s">
        <v>1462</v>
      </c>
      <c r="F109" s="258" t="s">
        <v>640</v>
      </c>
      <c r="G109" s="258">
        <v>6.0</v>
      </c>
      <c r="H109" s="258"/>
      <c r="I109" s="258">
        <v>6.0</v>
      </c>
      <c r="J109" s="535">
        <v>1.0</v>
      </c>
      <c r="K109" s="258">
        <v>0.0</v>
      </c>
      <c r="L109" s="259"/>
      <c r="M109" s="823">
        <f t="shared" si="17"/>
        <v>6.78</v>
      </c>
      <c r="N109" s="258" t="s">
        <v>1312</v>
      </c>
      <c r="O109" s="259"/>
      <c r="P109" s="826"/>
      <c r="Q109" s="258" t="s">
        <v>762</v>
      </c>
      <c r="R109" s="258" t="s">
        <v>296</v>
      </c>
      <c r="S109" s="259"/>
      <c r="T109" s="259"/>
      <c r="U109" s="259"/>
      <c r="V109" s="258" t="s">
        <v>1222</v>
      </c>
      <c r="W109" s="259"/>
      <c r="X109" s="259"/>
      <c r="Y109" s="259"/>
      <c r="Z109" s="259"/>
      <c r="AA109" s="259"/>
      <c r="AB109" s="259"/>
      <c r="AC109" s="259"/>
      <c r="AD109" s="259"/>
      <c r="AE109" s="259"/>
      <c r="AF109" s="258" t="s">
        <v>837</v>
      </c>
      <c r="AG109" s="259"/>
      <c r="AH109" s="259"/>
      <c r="AI109" s="259"/>
      <c r="AJ109" s="259"/>
      <c r="AK109" s="259"/>
      <c r="AL109" s="259"/>
      <c r="AM109" s="259"/>
      <c r="AN109" s="259"/>
      <c r="AO109" s="259"/>
    </row>
    <row r="110">
      <c r="A110" s="258" t="s">
        <v>1560</v>
      </c>
      <c r="B110" s="258" t="s">
        <v>1462</v>
      </c>
      <c r="C110" s="258">
        <v>8500113.0</v>
      </c>
      <c r="D110" s="825" t="s">
        <v>1567</v>
      </c>
      <c r="E110" s="258" t="s">
        <v>1462</v>
      </c>
      <c r="F110" s="258" t="s">
        <v>640</v>
      </c>
      <c r="G110" s="258">
        <v>100.0</v>
      </c>
      <c r="H110" s="258"/>
      <c r="I110" s="258">
        <v>100.0</v>
      </c>
      <c r="J110" s="535">
        <v>0.068</v>
      </c>
      <c r="K110" s="258">
        <v>0.0</v>
      </c>
      <c r="L110" s="259"/>
      <c r="M110" s="823">
        <f t="shared" si="17"/>
        <v>7.684</v>
      </c>
      <c r="N110" s="258" t="s">
        <v>1312</v>
      </c>
      <c r="O110" s="259"/>
      <c r="P110" s="826"/>
      <c r="Q110" s="258" t="s">
        <v>762</v>
      </c>
      <c r="R110" s="258" t="s">
        <v>296</v>
      </c>
      <c r="S110" s="259"/>
      <c r="T110" s="259"/>
      <c r="U110" s="259"/>
      <c r="V110" s="258" t="s">
        <v>1222</v>
      </c>
      <c r="W110" s="259"/>
      <c r="X110" s="259"/>
      <c r="Y110" s="259"/>
      <c r="Z110" s="259"/>
      <c r="AA110" s="259"/>
      <c r="AB110" s="259"/>
      <c r="AC110" s="259"/>
      <c r="AD110" s="259"/>
      <c r="AE110" s="259"/>
      <c r="AF110" s="258" t="s">
        <v>837</v>
      </c>
      <c r="AG110" s="259"/>
      <c r="AH110" s="259"/>
      <c r="AI110" s="259"/>
      <c r="AJ110" s="259"/>
      <c r="AK110" s="259"/>
      <c r="AL110" s="259"/>
      <c r="AM110" s="259"/>
      <c r="AN110" s="259"/>
      <c r="AO110" s="259"/>
    </row>
    <row r="111">
      <c r="A111" s="258" t="s">
        <v>1560</v>
      </c>
      <c r="B111" s="258" t="s">
        <v>1462</v>
      </c>
      <c r="C111" s="258">
        <v>3.9000039E7</v>
      </c>
      <c r="D111" s="825" t="s">
        <v>1568</v>
      </c>
      <c r="E111" s="258" t="s">
        <v>1462</v>
      </c>
      <c r="F111" s="258" t="s">
        <v>640</v>
      </c>
      <c r="G111" s="258">
        <v>100.0</v>
      </c>
      <c r="H111" s="258"/>
      <c r="I111" s="258">
        <v>100.0</v>
      </c>
      <c r="J111" s="535">
        <v>0.15</v>
      </c>
      <c r="K111" s="258">
        <v>0.0</v>
      </c>
      <c r="L111" s="259"/>
      <c r="M111" s="823">
        <f t="shared" si="17"/>
        <v>16.95</v>
      </c>
      <c r="N111" s="258" t="s">
        <v>1312</v>
      </c>
      <c r="O111" s="259"/>
      <c r="P111" s="826"/>
      <c r="Q111" s="258" t="s">
        <v>762</v>
      </c>
      <c r="R111" s="258" t="s">
        <v>296</v>
      </c>
      <c r="S111" s="259"/>
      <c r="T111" s="259"/>
      <c r="U111" s="259"/>
      <c r="V111" s="258" t="s">
        <v>1222</v>
      </c>
      <c r="W111" s="259"/>
      <c r="X111" s="259"/>
      <c r="Y111" s="259"/>
      <c r="Z111" s="259"/>
      <c r="AA111" s="259"/>
      <c r="AB111" s="259"/>
      <c r="AC111" s="259"/>
      <c r="AD111" s="259"/>
      <c r="AE111" s="259"/>
      <c r="AF111" s="258" t="s">
        <v>837</v>
      </c>
      <c r="AG111" s="259"/>
      <c r="AH111" s="259"/>
      <c r="AI111" s="259"/>
      <c r="AJ111" s="259"/>
      <c r="AK111" s="259"/>
      <c r="AL111" s="259"/>
      <c r="AM111" s="259"/>
      <c r="AN111" s="259"/>
      <c r="AO111" s="259"/>
    </row>
    <row r="112">
      <c r="A112" s="258" t="s">
        <v>1560</v>
      </c>
      <c r="B112" s="258" t="s">
        <v>1462</v>
      </c>
      <c r="C112" s="258" t="s">
        <v>1569</v>
      </c>
      <c r="D112" s="825" t="s">
        <v>1570</v>
      </c>
      <c r="E112" s="258" t="s">
        <v>1462</v>
      </c>
      <c r="F112" s="258" t="s">
        <v>640</v>
      </c>
      <c r="G112" s="258">
        <v>250.0</v>
      </c>
      <c r="H112" s="258"/>
      <c r="I112" s="258">
        <v>250.0</v>
      </c>
      <c r="J112" s="535">
        <v>0.21</v>
      </c>
      <c r="K112" s="258">
        <v>0.0</v>
      </c>
      <c r="L112" s="259"/>
      <c r="M112" s="823">
        <f t="shared" si="17"/>
        <v>59.325</v>
      </c>
      <c r="N112" s="258" t="s">
        <v>1312</v>
      </c>
      <c r="O112" s="259"/>
      <c r="P112" s="826"/>
      <c r="Q112" s="258" t="s">
        <v>762</v>
      </c>
      <c r="R112" s="258" t="s">
        <v>296</v>
      </c>
      <c r="S112" s="259"/>
      <c r="T112" s="259"/>
      <c r="U112" s="259"/>
      <c r="V112" s="258" t="s">
        <v>1222</v>
      </c>
      <c r="W112" s="259"/>
      <c r="X112" s="259"/>
      <c r="Y112" s="259"/>
      <c r="Z112" s="259"/>
      <c r="AA112" s="259"/>
      <c r="AB112" s="259"/>
      <c r="AC112" s="259"/>
      <c r="AD112" s="259"/>
      <c r="AE112" s="259"/>
      <c r="AF112" s="258" t="s">
        <v>837</v>
      </c>
      <c r="AG112" s="259"/>
      <c r="AH112" s="259"/>
      <c r="AI112" s="259"/>
      <c r="AJ112" s="259"/>
      <c r="AK112" s="259"/>
      <c r="AL112" s="259"/>
      <c r="AM112" s="259"/>
      <c r="AN112" s="259"/>
      <c r="AO112" s="259"/>
    </row>
    <row r="113">
      <c r="A113" s="258" t="s">
        <v>753</v>
      </c>
      <c r="B113" s="258" t="s">
        <v>1571</v>
      </c>
      <c r="C113" s="258" t="s">
        <v>1572</v>
      </c>
      <c r="D113" s="822" t="s">
        <v>1573</v>
      </c>
      <c r="E113" s="258" t="s">
        <v>1571</v>
      </c>
      <c r="F113" s="258" t="s">
        <v>640</v>
      </c>
      <c r="G113" s="258">
        <v>2.0</v>
      </c>
      <c r="H113" s="258"/>
      <c r="I113" s="258">
        <v>2.0</v>
      </c>
      <c r="J113" s="535">
        <v>2.66</v>
      </c>
      <c r="K113" s="258">
        <v>0.0</v>
      </c>
      <c r="L113" s="259"/>
      <c r="M113" s="823">
        <f t="shared" si="17"/>
        <v>6.0116</v>
      </c>
      <c r="N113" s="258" t="s">
        <v>1312</v>
      </c>
      <c r="O113" s="259"/>
      <c r="P113" s="826"/>
      <c r="Q113" s="258" t="s">
        <v>762</v>
      </c>
      <c r="R113" s="258" t="s">
        <v>296</v>
      </c>
      <c r="S113" s="259"/>
      <c r="T113" s="259"/>
      <c r="U113" s="259"/>
      <c r="V113" s="258" t="s">
        <v>1222</v>
      </c>
      <c r="W113" s="259"/>
      <c r="X113" s="259"/>
      <c r="Y113" s="259"/>
      <c r="Z113" s="259"/>
      <c r="AA113" s="259"/>
      <c r="AB113" s="259"/>
      <c r="AC113" s="259"/>
      <c r="AD113" s="259"/>
      <c r="AE113" s="259"/>
      <c r="AF113" s="258" t="s">
        <v>837</v>
      </c>
      <c r="AG113" s="259"/>
      <c r="AH113" s="259"/>
      <c r="AI113" s="259"/>
      <c r="AJ113" s="259"/>
      <c r="AK113" s="259"/>
      <c r="AL113" s="259"/>
      <c r="AM113" s="259"/>
      <c r="AN113" s="259"/>
      <c r="AO113" s="259"/>
    </row>
    <row r="114">
      <c r="A114" s="37"/>
      <c r="B114" s="37"/>
      <c r="C114" s="37"/>
      <c r="D114" s="827"/>
      <c r="F114" s="37"/>
      <c r="G114" s="37"/>
      <c r="H114" s="37"/>
      <c r="I114" s="37"/>
      <c r="J114" s="239"/>
      <c r="K114" s="37"/>
      <c r="N114" s="37"/>
      <c r="P114" s="828"/>
      <c r="Q114" s="37"/>
      <c r="R114" s="37"/>
      <c r="V114" s="37"/>
      <c r="AF114" s="37"/>
    </row>
    <row r="115">
      <c r="A115" s="37"/>
      <c r="B115" s="37"/>
      <c r="C115" s="37"/>
      <c r="D115" s="827"/>
      <c r="F115" s="37"/>
      <c r="G115" s="37"/>
      <c r="H115" s="37"/>
      <c r="I115" s="37"/>
      <c r="J115" s="239"/>
      <c r="K115" s="37"/>
      <c r="N115" s="37"/>
      <c r="P115" s="828"/>
      <c r="Q115" s="37"/>
      <c r="R115" s="37"/>
      <c r="V115" s="37"/>
      <c r="AF115" s="37"/>
    </row>
    <row r="116">
      <c r="A116" s="37"/>
      <c r="B116" s="37"/>
      <c r="C116" s="37"/>
      <c r="D116" s="827"/>
      <c r="F116" s="37"/>
      <c r="G116" s="37"/>
      <c r="H116" s="37"/>
      <c r="I116" s="37"/>
      <c r="J116" s="239"/>
      <c r="K116" s="37"/>
      <c r="N116" s="37"/>
      <c r="P116" s="828"/>
      <c r="Q116" s="37"/>
      <c r="R116" s="37"/>
      <c r="V116" s="37"/>
      <c r="AF116" s="37"/>
    </row>
    <row r="117">
      <c r="A117" s="199" t="s">
        <v>1574</v>
      </c>
      <c r="H117" s="199"/>
      <c r="O117" s="199"/>
      <c r="V117" s="199"/>
      <c r="AC117" s="28"/>
      <c r="AD117" s="28"/>
      <c r="AE117" s="28"/>
      <c r="AF117" s="199"/>
      <c r="AM117" s="28"/>
      <c r="AN117" s="28"/>
      <c r="AO117" s="28"/>
    </row>
    <row r="118">
      <c r="A118" s="210" t="s">
        <v>753</v>
      </c>
      <c r="B118" s="210" t="s">
        <v>1443</v>
      </c>
      <c r="C118" s="210" t="s">
        <v>1575</v>
      </c>
      <c r="D118" s="436"/>
      <c r="E118" s="218" t="s">
        <v>1576</v>
      </c>
      <c r="F118" s="210" t="s">
        <v>640</v>
      </c>
      <c r="G118" s="210">
        <v>1.0</v>
      </c>
      <c r="H118" s="210">
        <v>4.0</v>
      </c>
      <c r="I118" s="210">
        <v>5.0</v>
      </c>
      <c r="J118" s="277">
        <v>2.94</v>
      </c>
      <c r="K118" s="210">
        <v>11.66</v>
      </c>
      <c r="L118" s="210" t="s">
        <v>642</v>
      </c>
      <c r="M118" s="277">
        <v>27.05</v>
      </c>
      <c r="N118" s="210" t="s">
        <v>1577</v>
      </c>
      <c r="O118" s="210" t="s">
        <v>642</v>
      </c>
      <c r="P118" s="436"/>
      <c r="Q118" s="218" t="s">
        <v>724</v>
      </c>
      <c r="R118" s="277" t="s">
        <v>642</v>
      </c>
      <c r="S118" s="277" t="s">
        <v>642</v>
      </c>
      <c r="T118" s="277" t="s">
        <v>642</v>
      </c>
      <c r="U118" s="277" t="s">
        <v>642</v>
      </c>
      <c r="V118" s="210" t="s">
        <v>1222</v>
      </c>
      <c r="W118" s="436"/>
      <c r="X118" s="210" t="s">
        <v>650</v>
      </c>
      <c r="Y118" s="210" t="s">
        <v>1351</v>
      </c>
      <c r="Z118" s="213"/>
      <c r="AA118" s="213"/>
      <c r="AB118" s="213"/>
      <c r="AC118" s="213"/>
      <c r="AD118" s="213"/>
      <c r="AE118" s="213"/>
      <c r="AF118" s="210" t="s">
        <v>775</v>
      </c>
      <c r="AG118" s="213"/>
      <c r="AH118" s="213"/>
      <c r="AI118" s="213"/>
      <c r="AJ118" s="213"/>
      <c r="AK118" s="213"/>
      <c r="AL118" s="213"/>
      <c r="AM118" s="213"/>
      <c r="AN118" s="213"/>
      <c r="AO118" s="213"/>
    </row>
    <row r="119">
      <c r="A119" s="210" t="s">
        <v>753</v>
      </c>
      <c r="B119" s="210" t="s">
        <v>1443</v>
      </c>
      <c r="C119" s="210" t="s">
        <v>1578</v>
      </c>
      <c r="D119" s="210" t="s">
        <v>1579</v>
      </c>
      <c r="E119" s="218" t="s">
        <v>1576</v>
      </c>
      <c r="F119" s="210" t="s">
        <v>640</v>
      </c>
      <c r="G119" s="210">
        <v>4.0</v>
      </c>
      <c r="H119" s="210">
        <v>8.0</v>
      </c>
      <c r="I119" s="210">
        <v>12.0</v>
      </c>
      <c r="J119" s="277">
        <v>2.95</v>
      </c>
      <c r="K119" s="210" t="s">
        <v>642</v>
      </c>
      <c r="L119" s="210" t="s">
        <v>642</v>
      </c>
      <c r="M119" s="278">
        <f t="shared" ref="M119:M120" si="18">J119*I119*1.13</f>
        <v>40.002</v>
      </c>
      <c r="N119" s="210" t="s">
        <v>1580</v>
      </c>
      <c r="O119" s="278"/>
      <c r="P119" s="829" t="s">
        <v>1581</v>
      </c>
      <c r="Q119" s="218" t="s">
        <v>724</v>
      </c>
      <c r="R119" s="277" t="s">
        <v>642</v>
      </c>
      <c r="S119" s="277" t="s">
        <v>642</v>
      </c>
      <c r="T119" s="277" t="s">
        <v>642</v>
      </c>
      <c r="U119" s="277" t="s">
        <v>642</v>
      </c>
      <c r="V119" s="210" t="s">
        <v>1222</v>
      </c>
      <c r="W119" s="213"/>
      <c r="X119" s="210" t="s">
        <v>650</v>
      </c>
      <c r="Y119" s="210" t="s">
        <v>1351</v>
      </c>
      <c r="Z119" s="213"/>
      <c r="AA119" s="213"/>
      <c r="AB119" s="213"/>
      <c r="AC119" s="213"/>
      <c r="AD119" s="213"/>
      <c r="AE119" s="213"/>
      <c r="AF119" s="210" t="s">
        <v>775</v>
      </c>
      <c r="AG119" s="213"/>
      <c r="AH119" s="213"/>
      <c r="AI119" s="213"/>
      <c r="AJ119" s="213"/>
      <c r="AK119" s="213"/>
      <c r="AL119" s="213"/>
      <c r="AM119" s="213"/>
      <c r="AN119" s="213"/>
      <c r="AO119" s="213"/>
    </row>
    <row r="120">
      <c r="A120" s="210" t="s">
        <v>753</v>
      </c>
      <c r="B120" s="210" t="s">
        <v>1443</v>
      </c>
      <c r="C120" s="210" t="s">
        <v>1582</v>
      </c>
      <c r="D120" s="210" t="s">
        <v>1583</v>
      </c>
      <c r="E120" s="218" t="s">
        <v>1584</v>
      </c>
      <c r="F120" s="210" t="s">
        <v>640</v>
      </c>
      <c r="G120" s="210">
        <v>1.0</v>
      </c>
      <c r="H120" s="210">
        <v>1.0</v>
      </c>
      <c r="I120" s="210">
        <v>2.0</v>
      </c>
      <c r="J120" s="277">
        <v>2.95</v>
      </c>
      <c r="K120" s="210" t="s">
        <v>642</v>
      </c>
      <c r="L120" s="210" t="s">
        <v>642</v>
      </c>
      <c r="M120" s="278">
        <f t="shared" si="18"/>
        <v>6.667</v>
      </c>
      <c r="N120" s="210" t="s">
        <v>1580</v>
      </c>
      <c r="O120" s="278"/>
      <c r="P120" s="829" t="s">
        <v>1585</v>
      </c>
      <c r="Q120" s="218" t="s">
        <v>724</v>
      </c>
      <c r="R120" s="277" t="s">
        <v>642</v>
      </c>
      <c r="S120" s="277" t="s">
        <v>642</v>
      </c>
      <c r="T120" s="277" t="s">
        <v>642</v>
      </c>
      <c r="U120" s="277" t="s">
        <v>642</v>
      </c>
      <c r="V120" s="210" t="s">
        <v>1222</v>
      </c>
      <c r="W120" s="213"/>
      <c r="X120" s="210" t="s">
        <v>650</v>
      </c>
      <c r="Y120" s="210" t="s">
        <v>1351</v>
      </c>
      <c r="Z120" s="213"/>
      <c r="AA120" s="213"/>
      <c r="AB120" s="213"/>
      <c r="AC120" s="213"/>
      <c r="AD120" s="213"/>
      <c r="AE120" s="213"/>
      <c r="AF120" s="210" t="s">
        <v>775</v>
      </c>
      <c r="AG120" s="213"/>
      <c r="AH120" s="213"/>
      <c r="AI120" s="213"/>
      <c r="AJ120" s="213"/>
      <c r="AK120" s="213"/>
      <c r="AL120" s="213"/>
      <c r="AM120" s="213"/>
      <c r="AN120" s="213"/>
      <c r="AO120" s="213"/>
    </row>
    <row r="121">
      <c r="A121" s="210" t="s">
        <v>1304</v>
      </c>
      <c r="B121" s="210" t="s">
        <v>1443</v>
      </c>
      <c r="C121" s="210" t="s">
        <v>1304</v>
      </c>
      <c r="D121" s="210" t="s">
        <v>1586</v>
      </c>
      <c r="E121" s="218" t="s">
        <v>1576</v>
      </c>
      <c r="F121" s="210" t="s">
        <v>640</v>
      </c>
      <c r="G121" s="210">
        <v>2.0</v>
      </c>
      <c r="H121" s="210">
        <v>2.0</v>
      </c>
      <c r="I121" s="210">
        <v>4.0</v>
      </c>
      <c r="J121" s="277">
        <v>2.12</v>
      </c>
      <c r="K121" s="210">
        <v>15.0</v>
      </c>
      <c r="L121" s="210" t="s">
        <v>642</v>
      </c>
      <c r="M121" s="278">
        <f>(J121*I121*1.13)</f>
        <v>9.5824</v>
      </c>
      <c r="N121" s="210" t="s">
        <v>1587</v>
      </c>
      <c r="O121" s="277" t="s">
        <v>1588</v>
      </c>
      <c r="P121" s="829" t="s">
        <v>1589</v>
      </c>
      <c r="Q121" s="218" t="s">
        <v>724</v>
      </c>
      <c r="R121" s="277" t="s">
        <v>642</v>
      </c>
      <c r="S121" s="277" t="s">
        <v>642</v>
      </c>
      <c r="T121" s="277" t="s">
        <v>642</v>
      </c>
      <c r="U121" s="277" t="s">
        <v>642</v>
      </c>
      <c r="V121" s="210" t="s">
        <v>1222</v>
      </c>
      <c r="W121" s="213"/>
      <c r="X121" s="210" t="s">
        <v>650</v>
      </c>
      <c r="Y121" s="210" t="s">
        <v>1351</v>
      </c>
      <c r="Z121" s="213"/>
      <c r="AA121" s="213"/>
      <c r="AB121" s="213"/>
      <c r="AC121" s="213"/>
      <c r="AD121" s="213"/>
      <c r="AE121" s="213"/>
      <c r="AF121" s="210" t="s">
        <v>775</v>
      </c>
      <c r="AG121" s="213"/>
      <c r="AH121" s="213"/>
      <c r="AI121" s="213"/>
      <c r="AJ121" s="213"/>
      <c r="AK121" s="213"/>
      <c r="AL121" s="213"/>
      <c r="AM121" s="213"/>
      <c r="AN121" s="213"/>
      <c r="AO121" s="213"/>
    </row>
    <row r="122">
      <c r="A122" s="210" t="s">
        <v>1304</v>
      </c>
      <c r="B122" s="210" t="s">
        <v>1443</v>
      </c>
      <c r="C122" s="210" t="s">
        <v>1304</v>
      </c>
      <c r="D122" s="210" t="s">
        <v>1590</v>
      </c>
      <c r="E122" s="218" t="s">
        <v>1576</v>
      </c>
      <c r="F122" s="210" t="s">
        <v>640</v>
      </c>
      <c r="G122" s="210">
        <v>2.0</v>
      </c>
      <c r="H122" s="210">
        <v>2.0</v>
      </c>
      <c r="I122" s="213">
        <f>H122+G122</f>
        <v>4</v>
      </c>
      <c r="J122" s="277">
        <v>1.23</v>
      </c>
      <c r="K122" s="210" t="s">
        <v>642</v>
      </c>
      <c r="L122" s="210" t="s">
        <v>642</v>
      </c>
      <c r="M122" s="278">
        <f t="shared" ref="M122:M123" si="19">J122*I122*1.13</f>
        <v>5.5596</v>
      </c>
      <c r="N122" s="210" t="s">
        <v>1587</v>
      </c>
      <c r="O122" s="210" t="s">
        <v>1591</v>
      </c>
      <c r="P122" s="290" t="s">
        <v>1592</v>
      </c>
      <c r="Q122" s="218" t="s">
        <v>724</v>
      </c>
      <c r="R122" s="277" t="s">
        <v>642</v>
      </c>
      <c r="S122" s="277" t="s">
        <v>642</v>
      </c>
      <c r="T122" s="277" t="s">
        <v>642</v>
      </c>
      <c r="U122" s="277" t="s">
        <v>642</v>
      </c>
      <c r="V122" s="210" t="s">
        <v>1222</v>
      </c>
      <c r="W122" s="213"/>
      <c r="X122" s="210" t="s">
        <v>650</v>
      </c>
      <c r="Y122" s="210" t="s">
        <v>1351</v>
      </c>
      <c r="Z122" s="213"/>
      <c r="AA122" s="213"/>
      <c r="AB122" s="213"/>
      <c r="AC122" s="213"/>
      <c r="AD122" s="213"/>
      <c r="AE122" s="213"/>
      <c r="AF122" s="210" t="s">
        <v>775</v>
      </c>
      <c r="AG122" s="213"/>
      <c r="AH122" s="213"/>
      <c r="AI122" s="213"/>
      <c r="AJ122" s="213"/>
      <c r="AK122" s="213"/>
      <c r="AL122" s="213"/>
      <c r="AM122" s="213"/>
      <c r="AN122" s="213"/>
      <c r="AO122" s="213"/>
    </row>
    <row r="123">
      <c r="A123" s="210" t="s">
        <v>1304</v>
      </c>
      <c r="B123" s="210" t="s">
        <v>1443</v>
      </c>
      <c r="C123" s="210" t="s">
        <v>1304</v>
      </c>
      <c r="D123" s="210" t="s">
        <v>1593</v>
      </c>
      <c r="E123" s="218" t="s">
        <v>1576</v>
      </c>
      <c r="F123" s="210" t="s">
        <v>640</v>
      </c>
      <c r="G123" s="210">
        <v>2.0</v>
      </c>
      <c r="H123" s="210">
        <v>2.0</v>
      </c>
      <c r="I123" s="210">
        <v>4.0</v>
      </c>
      <c r="J123" s="277">
        <v>2.28</v>
      </c>
      <c r="K123" s="210" t="s">
        <v>642</v>
      </c>
      <c r="L123" s="210" t="s">
        <v>642</v>
      </c>
      <c r="M123" s="278">
        <f t="shared" si="19"/>
        <v>10.3056</v>
      </c>
      <c r="N123" s="210" t="s">
        <v>1587</v>
      </c>
      <c r="O123" s="277" t="s">
        <v>1594</v>
      </c>
      <c r="P123" s="278"/>
      <c r="Q123" s="218" t="s">
        <v>724</v>
      </c>
      <c r="R123" s="277" t="s">
        <v>642</v>
      </c>
      <c r="S123" s="277" t="s">
        <v>642</v>
      </c>
      <c r="T123" s="277" t="s">
        <v>642</v>
      </c>
      <c r="U123" s="277" t="s">
        <v>642</v>
      </c>
      <c r="V123" s="210" t="s">
        <v>1222</v>
      </c>
      <c r="W123" s="213"/>
      <c r="X123" s="210" t="s">
        <v>650</v>
      </c>
      <c r="Y123" s="210" t="s">
        <v>1351</v>
      </c>
      <c r="Z123" s="213"/>
      <c r="AA123" s="213"/>
      <c r="AB123" s="213"/>
      <c r="AC123" s="213"/>
      <c r="AD123" s="213"/>
      <c r="AE123" s="213"/>
      <c r="AF123" s="210" t="s">
        <v>775</v>
      </c>
      <c r="AG123" s="213"/>
      <c r="AH123" s="213"/>
      <c r="AI123" s="213"/>
      <c r="AJ123" s="213"/>
      <c r="AK123" s="213"/>
      <c r="AL123" s="213"/>
      <c r="AM123" s="213"/>
      <c r="AN123" s="213"/>
      <c r="AO123" s="213"/>
    </row>
    <row r="124">
      <c r="A124" s="210" t="s">
        <v>1304</v>
      </c>
      <c r="B124" s="210" t="s">
        <v>1443</v>
      </c>
      <c r="C124" s="210" t="s">
        <v>1595</v>
      </c>
      <c r="D124" s="210" t="s">
        <v>1596</v>
      </c>
      <c r="E124" s="218" t="s">
        <v>1576</v>
      </c>
      <c r="F124" s="210" t="s">
        <v>640</v>
      </c>
      <c r="G124" s="210">
        <v>5.0</v>
      </c>
      <c r="H124" s="210" t="s">
        <v>642</v>
      </c>
      <c r="I124" s="210">
        <v>5.0</v>
      </c>
      <c r="J124" s="277">
        <v>0.02</v>
      </c>
      <c r="K124" s="210" t="s">
        <v>642</v>
      </c>
      <c r="L124" s="210" t="s">
        <v>642</v>
      </c>
      <c r="M124" s="278">
        <f>((J124*I124)+8)*1.13</f>
        <v>9.153</v>
      </c>
      <c r="N124" s="210" t="s">
        <v>1587</v>
      </c>
      <c r="O124" s="277" t="s">
        <v>1597</v>
      </c>
      <c r="P124" s="278"/>
      <c r="Q124" s="218" t="s">
        <v>724</v>
      </c>
      <c r="R124" s="277" t="s">
        <v>642</v>
      </c>
      <c r="S124" s="277" t="s">
        <v>642</v>
      </c>
      <c r="T124" s="277" t="s">
        <v>642</v>
      </c>
      <c r="U124" s="277" t="s">
        <v>642</v>
      </c>
      <c r="V124" s="210" t="s">
        <v>1222</v>
      </c>
      <c r="W124" s="213"/>
      <c r="X124" s="210" t="s">
        <v>650</v>
      </c>
      <c r="Y124" s="210" t="s">
        <v>1351</v>
      </c>
      <c r="Z124" s="213"/>
      <c r="AA124" s="213"/>
      <c r="AB124" s="213"/>
      <c r="AC124" s="213"/>
      <c r="AD124" s="213"/>
      <c r="AE124" s="213"/>
      <c r="AF124" s="210" t="s">
        <v>775</v>
      </c>
      <c r="AG124" s="213"/>
      <c r="AH124" s="213"/>
      <c r="AI124" s="213"/>
      <c r="AJ124" s="213"/>
      <c r="AK124" s="213"/>
      <c r="AL124" s="213"/>
      <c r="AM124" s="213"/>
      <c r="AN124" s="213"/>
      <c r="AO124" s="213"/>
    </row>
    <row r="125">
      <c r="A125" s="210" t="s">
        <v>1304</v>
      </c>
      <c r="B125" s="210" t="s">
        <v>1443</v>
      </c>
      <c r="C125" s="210" t="s">
        <v>1598</v>
      </c>
      <c r="D125" s="210" t="s">
        <v>1599</v>
      </c>
      <c r="E125" s="218" t="s">
        <v>1576</v>
      </c>
      <c r="F125" s="210" t="s">
        <v>640</v>
      </c>
      <c r="G125" s="210">
        <v>30.0</v>
      </c>
      <c r="H125" s="210" t="s">
        <v>642</v>
      </c>
      <c r="I125" s="210">
        <v>30.0</v>
      </c>
      <c r="J125" s="277">
        <v>0.06</v>
      </c>
      <c r="K125" s="210" t="s">
        <v>642</v>
      </c>
      <c r="L125" s="210" t="s">
        <v>642</v>
      </c>
      <c r="M125" s="278">
        <f t="shared" ref="M125:M126" si="20">J125*I125</f>
        <v>1.8</v>
      </c>
      <c r="N125" s="210" t="s">
        <v>1587</v>
      </c>
      <c r="O125" s="277" t="s">
        <v>1600</v>
      </c>
      <c r="P125" s="829" t="s">
        <v>1601</v>
      </c>
      <c r="Q125" s="218" t="s">
        <v>724</v>
      </c>
      <c r="R125" s="277" t="s">
        <v>642</v>
      </c>
      <c r="S125" s="277" t="s">
        <v>642</v>
      </c>
      <c r="T125" s="277" t="s">
        <v>642</v>
      </c>
      <c r="U125" s="277" t="s">
        <v>642</v>
      </c>
      <c r="V125" s="210" t="s">
        <v>1222</v>
      </c>
      <c r="W125" s="213"/>
      <c r="X125" s="210" t="s">
        <v>650</v>
      </c>
      <c r="Y125" s="210" t="s">
        <v>1351</v>
      </c>
      <c r="Z125" s="213"/>
      <c r="AA125" s="213"/>
      <c r="AB125" s="213"/>
      <c r="AC125" s="213"/>
      <c r="AD125" s="213"/>
      <c r="AE125" s="213"/>
      <c r="AF125" s="210" t="s">
        <v>775</v>
      </c>
      <c r="AG125" s="213"/>
      <c r="AH125" s="213"/>
      <c r="AI125" s="213"/>
      <c r="AJ125" s="213"/>
      <c r="AK125" s="213"/>
      <c r="AL125" s="213"/>
      <c r="AM125" s="213"/>
      <c r="AN125" s="213"/>
      <c r="AO125" s="213"/>
    </row>
    <row r="126">
      <c r="A126" s="210" t="s">
        <v>1304</v>
      </c>
      <c r="B126" s="210" t="s">
        <v>1443</v>
      </c>
      <c r="C126" s="210" t="s">
        <v>1304</v>
      </c>
      <c r="D126" s="210" t="s">
        <v>1602</v>
      </c>
      <c r="E126" s="218" t="s">
        <v>1576</v>
      </c>
      <c r="F126" s="210" t="s">
        <v>640</v>
      </c>
      <c r="G126" s="210">
        <v>2.0</v>
      </c>
      <c r="H126" s="210">
        <v>3.0</v>
      </c>
      <c r="I126" s="210">
        <v>5.0</v>
      </c>
      <c r="J126" s="277">
        <v>1.54</v>
      </c>
      <c r="K126" s="210" t="s">
        <v>642</v>
      </c>
      <c r="L126" s="277" t="s">
        <v>642</v>
      </c>
      <c r="M126" s="278">
        <f t="shared" si="20"/>
        <v>7.7</v>
      </c>
      <c r="N126" s="210" t="s">
        <v>1587</v>
      </c>
      <c r="O126" s="277" t="s">
        <v>1603</v>
      </c>
      <c r="P126" s="829" t="s">
        <v>1604</v>
      </c>
      <c r="Q126" s="799" t="s">
        <v>724</v>
      </c>
      <c r="R126" s="363" t="s">
        <v>642</v>
      </c>
      <c r="S126" s="363" t="s">
        <v>642</v>
      </c>
      <c r="T126" s="363" t="s">
        <v>642</v>
      </c>
      <c r="U126" s="363" t="s">
        <v>642</v>
      </c>
      <c r="V126" s="236" t="s">
        <v>1222</v>
      </c>
      <c r="W126" s="236"/>
      <c r="X126" s="210" t="s">
        <v>650</v>
      </c>
      <c r="Y126" s="236" t="s">
        <v>1351</v>
      </c>
      <c r="Z126" s="236"/>
      <c r="AA126" s="236"/>
      <c r="AB126" s="236"/>
      <c r="AC126" s="236"/>
      <c r="AD126" s="236"/>
      <c r="AE126" s="236"/>
      <c r="AF126" s="221" t="s">
        <v>775</v>
      </c>
      <c r="AG126" s="213"/>
      <c r="AH126" s="213"/>
      <c r="AI126" s="213"/>
      <c r="AJ126" s="213"/>
      <c r="AK126" s="213"/>
      <c r="AL126" s="213"/>
      <c r="AM126" s="213"/>
      <c r="AN126" s="213"/>
      <c r="AO126" s="213"/>
    </row>
    <row r="127">
      <c r="A127" s="122"/>
      <c r="B127" s="122"/>
      <c r="E127" s="1"/>
      <c r="F127" s="122"/>
      <c r="J127" s="460"/>
      <c r="K127" s="460"/>
      <c r="L127" s="460"/>
      <c r="M127" s="460"/>
      <c r="Q127" s="1"/>
      <c r="X127" s="122"/>
      <c r="Y127" s="122"/>
      <c r="Z127" s="122"/>
      <c r="AF127" s="122"/>
    </row>
  </sheetData>
  <mergeCells count="16">
    <mergeCell ref="A1:U1"/>
    <mergeCell ref="V1:X1"/>
    <mergeCell ref="Z1:AF1"/>
    <mergeCell ref="A4:G4"/>
    <mergeCell ref="A15:G15"/>
    <mergeCell ref="A23:G23"/>
    <mergeCell ref="A41:G41"/>
    <mergeCell ref="V117:AB117"/>
    <mergeCell ref="AF117:AL117"/>
    <mergeCell ref="A61:G61"/>
    <mergeCell ref="A65:G65"/>
    <mergeCell ref="A71:G71"/>
    <mergeCell ref="A75:G75"/>
    <mergeCell ref="A117:G117"/>
    <mergeCell ref="H117:N117"/>
    <mergeCell ref="O117:U117"/>
  </mergeCells>
  <conditionalFormatting sqref="AF4 AF8:AF13 AF16:AF17 AF21:AF23 AF28:AF60">
    <cfRule type="cellIs" dxfId="3" priority="1" operator="equal">
      <formula>"In Shop"</formula>
    </cfRule>
  </conditionalFormatting>
  <conditionalFormatting sqref="AF4 AF8:AF13 AF16:AF17 AF21:AF23 AF28:AF60">
    <cfRule type="cellIs" dxfId="3" priority="2" operator="equal">
      <formula>"In Shop"</formula>
    </cfRule>
  </conditionalFormatting>
  <conditionalFormatting sqref="A1:U5 V1:V6 W1:X17 Y1:Y23 Z1:AE6 AF1:AF23 AG1:AO5 A8:B23 C8:D17 E8:L23 M8:M75 N8:U23 V8:V17 Z8:AE23 AG8:AO23 V19:V23 X19:X23 C21:D23 W21:W23 C28:D75 F28:H75 J28:J54 K28:L75 N28:U75 Z28:AO75 A30:B75 E30:E75 V30:V75 W30:W32 X30:X75 Y31:Y71 W37:W75 I39:I41 I43:I75 J56 J59:J75 Y73:Y75 A117:AO117">
    <cfRule type="cellIs" dxfId="3" priority="3" operator="equal">
      <formula>"Yes"</formula>
    </cfRule>
  </conditionalFormatting>
  <conditionalFormatting sqref="AE3 V4 V6 V8:V13 V16:W17 V19:V23 V30:V75 W30:W32 W37:W41 W45 W49:W53 V117 AF117">
    <cfRule type="notContainsBlanks" dxfId="3" priority="4">
      <formula>LEN(TRIM(AE3))&gt;0</formula>
    </cfRule>
  </conditionalFormatting>
  <conditionalFormatting sqref="X4:X13 AA4:AF4 Y8:Y13 AA8:AE8 AF8:AF13 X16:X17 Y16:Y20 AA16:AF17 X19:X23 AF21:AF23 AA28:AE41 AF28:AF60 X30:X75 Y31:Y38 Y43:Y60 AA53:AE53">
    <cfRule type="cellIs" dxfId="7" priority="5" operator="equal">
      <formula>"Pending"</formula>
    </cfRule>
  </conditionalFormatting>
  <conditionalFormatting sqref="AF3:AF4 AF8:AF23 AF28:AF75 AF117">
    <cfRule type="cellIs" dxfId="3" priority="6" operator="equal">
      <formula>"Unpacked"</formula>
    </cfRule>
  </conditionalFormatting>
  <conditionalFormatting sqref="A3:U5 V3:V6 W3:X17 Y3:Y23 Z3:AE6 AF3:AF23 A8:B23 C8:D17 E8:L23 M8:M75 N8:U23 V8:V17 Z8:AE23 V19:V23 C21:D23 W21:X23 C28:D75 F28:H75 J28:J54 K28:L75 N28:U75 Z28:AF75 A30:B75 E30:E75 V30:V75 W30:W32 X30:X75 Y31:Y71 W37:W75 I39:I41 I43:I75 J56 J59:J75 AG71:AI71 Y73:Y75 AG73:AI75 A117:AL117">
    <cfRule type="containsText" dxfId="3" priority="7" operator="containsText" text="In Shop">
      <formula>NOT(ISERROR(SEARCH(("In Shop"),(A3))))</formula>
    </cfRule>
  </conditionalFormatting>
  <conditionalFormatting sqref="AF3:AF4 AF8:AF23 AF28:AF75 AF117">
    <cfRule type="cellIs" dxfId="1" priority="8" operator="equal">
      <formula>"Apt booked with Steven"</formula>
    </cfRule>
  </conditionalFormatting>
  <conditionalFormatting sqref="AF3:AF4 AF8:AF23 AF28:AF75 AF117">
    <cfRule type="cellIs" dxfId="2" priority="9" operator="equal">
      <formula>"Ordered"</formula>
    </cfRule>
  </conditionalFormatting>
  <conditionalFormatting sqref="AF3:AF4 AF8:AF23 AF28:AF75 AF117">
    <cfRule type="cellIs" dxfId="2" priority="10" operator="equal">
      <formula>"Received by S&amp;R"</formula>
    </cfRule>
  </conditionalFormatting>
  <conditionalFormatting sqref="V3 W3:W17 W21:W23 W30:W32 W37:W75">
    <cfRule type="notContainsBlanks" dxfId="3" priority="11">
      <formula>LEN(TRIM(V3))&gt;0</formula>
    </cfRule>
  </conditionalFormatting>
  <conditionalFormatting sqref="Y4:AE4 Y8:AE13 Y16:Y20 AA16:AE20 Z18:Z20 AA28:AE53 AF30:AF38 Y31:Y38 Y42:Y60 Z42:Z52 Z59:AE60 AF60">
    <cfRule type="notContainsBlanks" dxfId="3" priority="12">
      <formula>LEN(TRIM(Y4))&gt;0</formula>
    </cfRule>
  </conditionalFormatting>
  <conditionalFormatting sqref="Y4:AE4 Y8:AE13 Y16:AE17 Z28:AE41 AF30:AF38 Y31:Y41 Y45:Y71 Z45:AA75 AB45:AE60 AF60 V70 AB70:AE70 Y73:Y75">
    <cfRule type="notContainsBlanks" dxfId="3" priority="13">
      <formula>LEN(TRIM(Y4))&gt;0</formula>
    </cfRule>
  </conditionalFormatting>
  <conditionalFormatting sqref="Y62:AE69">
    <cfRule type="notContainsBlanks" dxfId="3" priority="14">
      <formula>LEN(TRIM(Y62))&gt;0</formula>
    </cfRule>
  </conditionalFormatting>
  <conditionalFormatting sqref="Z72:AE72">
    <cfRule type="notContainsBlanks" dxfId="3" priority="15">
      <formula>LEN(TRIM(Z72))&gt;0</formula>
    </cfRule>
  </conditionalFormatting>
  <conditionalFormatting sqref="AF60 AC117:AE117">
    <cfRule type="notContainsBlanks" dxfId="3" priority="16">
      <formula>LEN(TRIM(AF60))&gt;0</formula>
    </cfRule>
  </conditionalFormatting>
  <conditionalFormatting sqref="AB56:AE60">
    <cfRule type="notContainsBlanks" dxfId="3" priority="17">
      <formula>LEN(TRIM(AB56))&gt;0</formula>
    </cfRule>
  </conditionalFormatting>
  <dataValidations>
    <dataValidation type="list" allowBlank="1" sqref="F5:F13 F16:F21 F24:F38 F42:F60 F62:F64 F66:F70 F72 F76:F116 F118:F127">
      <formula1>"Critical,Non-critical"</formula1>
    </dataValidation>
    <dataValidation type="list" allowBlank="1" sqref="AB3:AD3">
      <formula1>"Yes"</formula1>
    </dataValidation>
    <dataValidation type="list" allowBlank="1" sqref="AF3 AF5:AF13 AF16:AF20 AF24:AF38 AF42:AF60 AF62:AF70 AF72 AF76:AF84 AF91:AF95 AF100:AF116 AF118:AF127">
      <formula1>"Apt booked with Steven,Ordered,Received by S&amp;R,In Shop,In Shop (Lead Notified),Unpacked,Recieved"</formula1>
    </dataValidation>
    <dataValidation type="list" allowBlank="1" sqref="Y60">
      <formula1>"P-CARD,Rochelle,Rhythm,George,Victor,Emi,PENDING,LUCA,STEVEN,Jeff,Dejan"</formula1>
    </dataValidation>
    <dataValidation type="list" allowBlank="1" sqref="X5:X13 X16:X20 X24:X38 X42:X59 X76:X84 X87:X95 X118:X127">
      <formula1>"Yes,Pending,No"</formula1>
    </dataValidation>
    <dataValidation type="list" allowBlank="1" sqref="A5:A13 A16:A21 A24:A38 A43:A52 A54:A60 A62:A64 A66:A70 A72 A76:A99 A118:A127">
      <formula1>"Fastener,Material,Part,Connector"</formula1>
    </dataValidation>
    <dataValidation type="list" allowBlank="1" sqref="X3 X62:X70 X72">
      <formula1>"Yes,Pending"</formula1>
    </dataValidation>
    <dataValidation type="list" allowBlank="1" showInputMessage="1" showErrorMessage="1" prompt="Click and enter a value from the list of items" sqref="B5:B13 B16:B21 B24:B38 B42:B60 B62:B64 B66:B70 B72 B77:B116 B118:B127">
      <formula1>"ergo-struct,ergo-rig,driver-safety,el-cn,ergo-misc,frame-sub-items,outboards,suspension,frame,brakes,el-safety,drivetrain,accumulator,accumulator-handcart,cooling,motor-and-controller,glv,battery-storage,segment-prototype,hand-cart,aero,bodywork,livery,ca"&amp;"r-misc,shop-misc,wire harness,enclosures,dash"</formula1>
    </dataValidation>
    <dataValidation type="list" allowBlank="1" showInputMessage="1" showErrorMessage="1" prompt="If your subsystem does not appear here, message Morgan with the name of the subsystem and she will add it." sqref="B76">
      <formula1>"ergo-struct,ergo-rig,driver-safety,el-cn,ergo-misc,frame-sub-items,outboards,suspension,frame,brakes,el-safety,drivetrain,accumulator,accumulator-handcart,cooling,motor-and-controller,glv,battery-storage,segment-prototype,hand-cart,aero,bodywork,livery,ca"&amp;"r-misc,shop-misc,charger"</formula1>
    </dataValidation>
    <dataValidation type="list" allowBlank="1" sqref="Y3:Z3 Z5:Z6 Z8:Z13 Z16:Z17 Z19:Z20 Z24:Z38 Y42:Z42 Z43:Z58 Y59:Z59 Y62:Z69 Z72 Z76:Z77 Y78:Z79 Z80:Z84 Z87:Z90 Y91:Z93 Z94:Z95 Z118:Z121 Z126 Y127:Z127">
      <formula1>"Rochelle,Rhythm,George,Victor,Emi,nathan"</formula1>
    </dataValidation>
    <dataValidation type="list" allowBlank="1" sqref="A53">
      <formula1>"Fastener,Material,Part,Connector,services"</formula1>
    </dataValidation>
    <dataValidation type="list" allowBlank="1" sqref="Y31:Y32">
      <formula1>"P-CARD,Rochelle,Rhythm,George,Victor,Emi,PENDING,LUCA,STEVEN,Jeff,Dejan,Anisha Das"</formula1>
    </dataValidation>
    <dataValidation type="list" allowBlank="1" sqref="A42">
      <formula1>"Fastener,Material,Part"</formula1>
    </dataValidation>
    <dataValidation type="list" allowBlank="1" sqref="Y5:Y13 Y16:Y20 Y24:Y30 Y33:Y38 Y43:Y58 Y72 Y76:Y77 Y80:Y84 Y87:Y90 AF87:AF90 Y94:Y95 Y118:Y126">
      <formula1>"P-CARD,Rochelle,Rhythm,George,Victor,Emi,PENDING,LUCA,STEVEN,Owais,Janaarth,Nathan"</formula1>
    </dataValidation>
  </dataValidations>
  <hyperlinks>
    <hyperlink r:id="rId4" ref="L2"/>
    <hyperlink r:id="rId5" location="gid=1238974966" ref="A3"/>
    <hyperlink r:id="rId6" ref="AA3"/>
    <hyperlink r:id="rId7" ref="P5"/>
    <hyperlink r:id="rId8" ref="P6"/>
    <hyperlink r:id="rId9" ref="P7"/>
    <hyperlink r:id="rId10" ref="P8"/>
    <hyperlink r:id="rId11" ref="P9"/>
    <hyperlink r:id="rId12" ref="P10"/>
    <hyperlink r:id="rId13" ref="P11"/>
    <hyperlink r:id="rId14" ref="P12"/>
    <hyperlink r:id="rId15" ref="P13"/>
    <hyperlink r:id="rId16" ref="P16"/>
    <hyperlink r:id="rId17" ref="P17"/>
    <hyperlink r:id="rId18" ref="P18"/>
    <hyperlink r:id="rId19" ref="P19"/>
    <hyperlink r:id="rId20" ref="P20"/>
    <hyperlink r:id="rId21" ref="P24"/>
    <hyperlink r:id="rId22" ref="P25"/>
    <hyperlink r:id="rId23" ref="P26"/>
    <hyperlink r:id="rId24" ref="P27"/>
    <hyperlink r:id="rId25" ref="P28"/>
    <hyperlink r:id="rId26" ref="P29"/>
    <hyperlink r:id="rId27" ref="P30"/>
    <hyperlink r:id="rId28" ref="P31"/>
    <hyperlink r:id="rId29" ref="P32"/>
    <hyperlink r:id="rId30" ref="P33"/>
    <hyperlink r:id="rId31" ref="P34"/>
    <hyperlink r:id="rId32" ref="P35"/>
    <hyperlink r:id="rId33" ref="P36"/>
    <hyperlink r:id="rId34" ref="P37"/>
    <hyperlink r:id="rId35" ref="P38"/>
    <hyperlink r:id="rId36" ref="P42"/>
    <hyperlink r:id="rId37" ref="P43"/>
    <hyperlink r:id="rId38" ref="P44"/>
    <hyperlink r:id="rId39" ref="P45"/>
    <hyperlink r:id="rId40" ref="P46"/>
    <hyperlink r:id="rId41" ref="P47"/>
    <hyperlink r:id="rId42" ref="P48"/>
    <hyperlink r:id="rId43" ref="P49"/>
    <hyperlink r:id="rId44" ref="P50"/>
    <hyperlink r:id="rId45" ref="P51"/>
    <hyperlink r:id="rId46" ref="P52"/>
    <hyperlink r:id="rId47" ref="P53"/>
    <hyperlink r:id="rId48" ref="P55"/>
    <hyperlink r:id="rId49" ref="P56"/>
    <hyperlink r:id="rId50" ref="P57"/>
    <hyperlink r:id="rId51" ref="P58"/>
    <hyperlink r:id="rId52" ref="P59"/>
    <hyperlink r:id="rId53" ref="P62"/>
    <hyperlink r:id="rId54" ref="P66"/>
    <hyperlink r:id="rId55" ref="P67"/>
    <hyperlink r:id="rId56" ref="P68"/>
    <hyperlink r:id="rId57" ref="P72"/>
    <hyperlink r:id="rId58" ref="P76"/>
    <hyperlink r:id="rId59" ref="P77"/>
    <hyperlink r:id="rId60" ref="P78"/>
    <hyperlink r:id="rId61" ref="P79"/>
    <hyperlink r:id="rId62" ref="P80"/>
    <hyperlink r:id="rId63" ref="P81"/>
    <hyperlink r:id="rId64" ref="P82"/>
    <hyperlink r:id="rId65" ref="P83"/>
    <hyperlink r:id="rId66" ref="P84"/>
    <hyperlink r:id="rId67" ref="P85"/>
    <hyperlink r:id="rId68" ref="P86"/>
    <hyperlink r:id="rId69" ref="P87"/>
    <hyperlink r:id="rId70" ref="P88"/>
    <hyperlink r:id="rId71" ref="P89"/>
    <hyperlink r:id="rId72" ref="P90"/>
    <hyperlink r:id="rId73" ref="C95"/>
    <hyperlink r:id="rId74" ref="P96"/>
    <hyperlink r:id="rId75" ref="C97"/>
    <hyperlink r:id="rId76" ref="C98"/>
    <hyperlink r:id="rId77" ref="C99"/>
    <hyperlink r:id="rId78" ref="P100"/>
    <hyperlink r:id="rId79" ref="P101"/>
    <hyperlink r:id="rId80" ref="P102"/>
    <hyperlink r:id="rId81" ref="P103"/>
    <hyperlink r:id="rId82" ref="P104"/>
    <hyperlink r:id="rId83" ref="P119"/>
    <hyperlink r:id="rId84" ref="P120"/>
    <hyperlink r:id="rId85" ref="P121"/>
    <hyperlink r:id="rId86" ref="P122"/>
    <hyperlink r:id="rId87" ref="P125"/>
    <hyperlink r:id="rId88" ref="P126"/>
  </hyperlinks>
  <drawing r:id="rId89"/>
  <legacyDrawing r:id="rId9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9.38"/>
    <col customWidth="1" min="3" max="3" width="15.5"/>
    <col customWidth="1" min="4" max="4" width="22.13"/>
    <col customWidth="1" min="5" max="5" width="14.75"/>
    <col customWidth="1" min="6" max="6" width="25.25"/>
    <col customWidth="1" min="7" max="7" width="15.63"/>
    <col customWidth="1" min="8" max="8" width="14.75"/>
    <col customWidth="1" min="9" max="9" width="21.25"/>
    <col customWidth="1" min="10" max="10" width="23.75"/>
  </cols>
  <sheetData>
    <row r="1" ht="22.5" customHeight="1">
      <c r="A1" s="830" t="s">
        <v>656</v>
      </c>
      <c r="B1" s="830" t="s">
        <v>1605</v>
      </c>
      <c r="C1" s="830" t="s">
        <v>1606</v>
      </c>
      <c r="D1" s="830" t="s">
        <v>1607</v>
      </c>
      <c r="E1" s="831" t="s">
        <v>1608</v>
      </c>
      <c r="F1" s="831" t="s">
        <v>1609</v>
      </c>
      <c r="G1" s="830" t="s">
        <v>1610</v>
      </c>
      <c r="H1" s="830" t="s">
        <v>1611</v>
      </c>
      <c r="I1" s="830" t="s">
        <v>618</v>
      </c>
      <c r="J1" s="830" t="s">
        <v>1612</v>
      </c>
    </row>
    <row r="2" ht="22.5" customHeight="1">
      <c r="A2" s="832">
        <v>4130.0</v>
      </c>
      <c r="B2" s="833" t="s">
        <v>642</v>
      </c>
      <c r="C2" s="834">
        <v>0.125</v>
      </c>
      <c r="D2" s="834" t="s">
        <v>1613</v>
      </c>
      <c r="E2" s="833">
        <v>1.0</v>
      </c>
      <c r="F2" s="833" t="s">
        <v>1614</v>
      </c>
      <c r="G2" s="834" t="s">
        <v>442</v>
      </c>
      <c r="H2" s="833" t="s">
        <v>518</v>
      </c>
      <c r="I2" s="835"/>
      <c r="J2" s="835"/>
      <c r="K2" s="836" t="s">
        <v>635</v>
      </c>
      <c r="L2" s="836"/>
    </row>
    <row r="3" ht="22.5" customHeight="1">
      <c r="A3" s="837" t="s">
        <v>1615</v>
      </c>
      <c r="B3" s="833" t="s">
        <v>642</v>
      </c>
      <c r="C3" s="833">
        <v>0.06</v>
      </c>
      <c r="D3" s="838" t="s">
        <v>1616</v>
      </c>
      <c r="E3" s="833">
        <v>1.0</v>
      </c>
      <c r="F3" s="833" t="s">
        <v>1617</v>
      </c>
      <c r="G3" s="833" t="s">
        <v>530</v>
      </c>
      <c r="H3" s="833" t="s">
        <v>470</v>
      </c>
      <c r="I3" s="835"/>
      <c r="J3" s="835"/>
    </row>
    <row r="4" ht="22.5" customHeight="1">
      <c r="A4" s="839">
        <v>6061.0</v>
      </c>
      <c r="B4" s="840" t="s">
        <v>642</v>
      </c>
      <c r="C4" s="840">
        <v>0.032</v>
      </c>
      <c r="D4" s="840" t="s">
        <v>1618</v>
      </c>
      <c r="E4" s="840">
        <v>1.0</v>
      </c>
      <c r="F4" s="840" t="s">
        <v>996</v>
      </c>
      <c r="G4" s="840" t="s">
        <v>484</v>
      </c>
      <c r="H4" s="840" t="s">
        <v>486</v>
      </c>
      <c r="I4" s="835"/>
      <c r="J4" s="835"/>
    </row>
    <row r="5" ht="22.5" customHeight="1">
      <c r="A5" s="839">
        <v>6061.0</v>
      </c>
      <c r="B5" s="840" t="s">
        <v>642</v>
      </c>
      <c r="C5" s="840">
        <v>0.032</v>
      </c>
      <c r="D5" s="840" t="s">
        <v>1619</v>
      </c>
      <c r="E5" s="840">
        <v>1.0</v>
      </c>
      <c r="F5" s="840" t="s">
        <v>998</v>
      </c>
      <c r="G5" s="840" t="s">
        <v>484</v>
      </c>
      <c r="H5" s="840" t="s">
        <v>486</v>
      </c>
      <c r="I5" s="835"/>
      <c r="J5" s="835"/>
    </row>
    <row r="6" ht="22.5" customHeight="1">
      <c r="A6" s="839">
        <v>6061.0</v>
      </c>
      <c r="B6" s="840" t="s">
        <v>642</v>
      </c>
      <c r="C6" s="840">
        <v>0.05</v>
      </c>
      <c r="D6" s="840" t="s">
        <v>1620</v>
      </c>
      <c r="E6" s="840">
        <v>1.0</v>
      </c>
      <c r="F6" s="840" t="s">
        <v>1621</v>
      </c>
      <c r="G6" s="840" t="s">
        <v>484</v>
      </c>
      <c r="H6" s="840" t="s">
        <v>494</v>
      </c>
      <c r="I6" s="835"/>
      <c r="J6" s="835"/>
    </row>
    <row r="7" ht="22.5" customHeight="1">
      <c r="A7" s="839">
        <v>6061.0</v>
      </c>
      <c r="B7" s="840" t="s">
        <v>642</v>
      </c>
      <c r="C7" s="840">
        <v>0.05</v>
      </c>
      <c r="D7" s="840" t="s">
        <v>1622</v>
      </c>
      <c r="E7" s="840">
        <v>1.0</v>
      </c>
      <c r="F7" s="840" t="s">
        <v>1623</v>
      </c>
      <c r="G7" s="840" t="s">
        <v>484</v>
      </c>
      <c r="H7" s="840" t="s">
        <v>494</v>
      </c>
      <c r="I7" s="835"/>
      <c r="J7" s="835"/>
    </row>
    <row r="8" ht="22.5" customHeight="1">
      <c r="A8" s="839">
        <v>4130.0</v>
      </c>
      <c r="B8" s="840" t="s">
        <v>642</v>
      </c>
      <c r="C8" s="840">
        <v>0.032</v>
      </c>
      <c r="D8" s="840" t="s">
        <v>1624</v>
      </c>
      <c r="E8" s="840">
        <v>1.0</v>
      </c>
      <c r="F8" s="840" t="s">
        <v>1625</v>
      </c>
      <c r="G8" s="840" t="s">
        <v>484</v>
      </c>
      <c r="H8" s="840" t="s">
        <v>486</v>
      </c>
      <c r="I8" s="840"/>
      <c r="J8" s="840" t="s">
        <v>1626</v>
      </c>
    </row>
    <row r="9" ht="22.5" customHeight="1">
      <c r="A9" s="839">
        <v>4130.0</v>
      </c>
      <c r="B9" s="840" t="s">
        <v>642</v>
      </c>
      <c r="C9" s="840">
        <v>0.05</v>
      </c>
      <c r="D9" s="840" t="s">
        <v>1627</v>
      </c>
      <c r="E9" s="840">
        <v>1.0</v>
      </c>
      <c r="F9" s="840" t="s">
        <v>1628</v>
      </c>
      <c r="G9" s="840" t="s">
        <v>484</v>
      </c>
      <c r="H9" s="840" t="s">
        <v>486</v>
      </c>
      <c r="I9" s="840"/>
      <c r="J9" s="840" t="s">
        <v>1626</v>
      </c>
    </row>
    <row r="10" ht="22.5" customHeight="1">
      <c r="A10" s="839">
        <v>6061.0</v>
      </c>
      <c r="B10" s="835"/>
      <c r="C10" s="840"/>
      <c r="D10" s="840"/>
      <c r="E10" s="840"/>
      <c r="F10" s="840"/>
      <c r="G10" s="840"/>
      <c r="H10" s="840"/>
      <c r="I10" s="835"/>
      <c r="J10" s="835"/>
    </row>
    <row r="11" ht="22.5" customHeight="1">
      <c r="A11" s="841"/>
      <c r="B11" s="835"/>
      <c r="C11" s="835"/>
      <c r="D11" s="835"/>
      <c r="E11" s="835"/>
      <c r="F11" s="835"/>
      <c r="G11" s="835"/>
      <c r="H11" s="835"/>
      <c r="I11" s="835"/>
      <c r="J11" s="835"/>
    </row>
    <row r="12" ht="22.5" customHeight="1">
      <c r="A12" s="841"/>
      <c r="B12" s="835"/>
      <c r="C12" s="835"/>
      <c r="D12" s="835"/>
      <c r="E12" s="835"/>
      <c r="F12" s="835"/>
      <c r="G12" s="835"/>
      <c r="H12" s="835"/>
      <c r="I12" s="835"/>
      <c r="J12" s="835"/>
    </row>
    <row r="13" ht="22.5" customHeight="1">
      <c r="A13" s="841"/>
      <c r="B13" s="835"/>
      <c r="C13" s="835"/>
      <c r="D13" s="835"/>
      <c r="E13" s="835"/>
      <c r="F13" s="835"/>
      <c r="G13" s="835"/>
      <c r="H13" s="835"/>
      <c r="I13" s="835"/>
      <c r="J13" s="835"/>
    </row>
    <row r="17" ht="22.5" customHeight="1">
      <c r="A17" s="842" t="s">
        <v>656</v>
      </c>
      <c r="B17" s="842" t="s">
        <v>1605</v>
      </c>
      <c r="C17" s="842" t="s">
        <v>1606</v>
      </c>
      <c r="D17" s="842" t="s">
        <v>1607</v>
      </c>
      <c r="E17" s="843" t="s">
        <v>1608</v>
      </c>
      <c r="F17" s="843" t="s">
        <v>1609</v>
      </c>
      <c r="G17" s="842" t="s">
        <v>1610</v>
      </c>
      <c r="H17" s="842" t="s">
        <v>1611</v>
      </c>
      <c r="I17" s="842" t="s">
        <v>618</v>
      </c>
      <c r="J17" s="842" t="s">
        <v>1612</v>
      </c>
    </row>
    <row r="18" ht="22.5" customHeight="1">
      <c r="A18" s="844">
        <v>6061.0</v>
      </c>
      <c r="B18" s="845"/>
      <c r="C18" s="846" t="s">
        <v>1629</v>
      </c>
      <c r="D18" s="847" t="s">
        <v>1630</v>
      </c>
      <c r="E18" s="847">
        <v>2.0</v>
      </c>
      <c r="F18" s="847" t="s">
        <v>106</v>
      </c>
      <c r="G18" s="847" t="s">
        <v>1631</v>
      </c>
      <c r="H18" s="847" t="s">
        <v>1632</v>
      </c>
      <c r="I18" s="845"/>
      <c r="J18" s="845"/>
    </row>
    <row r="19" ht="22.5" customHeight="1">
      <c r="A19" s="844">
        <v>6061.0</v>
      </c>
      <c r="B19" s="845"/>
      <c r="C19" s="846" t="s">
        <v>1629</v>
      </c>
      <c r="D19" s="847" t="s">
        <v>1633</v>
      </c>
      <c r="E19" s="847">
        <v>2.0</v>
      </c>
      <c r="F19" s="847" t="s">
        <v>1634</v>
      </c>
      <c r="G19" s="847" t="s">
        <v>1631</v>
      </c>
      <c r="H19" s="847" t="s">
        <v>1632</v>
      </c>
      <c r="I19" s="845"/>
      <c r="J19" s="845"/>
    </row>
    <row r="20" ht="22.5" customHeight="1">
      <c r="A20" s="844">
        <v>6061.0</v>
      </c>
      <c r="B20" s="845"/>
      <c r="C20" s="846" t="s">
        <v>1629</v>
      </c>
      <c r="D20" s="847" t="s">
        <v>1635</v>
      </c>
      <c r="E20" s="847">
        <v>2.0</v>
      </c>
      <c r="F20" s="847" t="s">
        <v>1636</v>
      </c>
      <c r="G20" s="847" t="s">
        <v>1631</v>
      </c>
      <c r="H20" s="847" t="s">
        <v>1632</v>
      </c>
      <c r="I20" s="845"/>
      <c r="J20" s="845"/>
    </row>
    <row r="21" ht="22.5" customHeight="1">
      <c r="A21" s="844">
        <v>6061.0</v>
      </c>
      <c r="B21" s="845"/>
      <c r="C21" s="846" t="s">
        <v>1629</v>
      </c>
      <c r="D21" s="847" t="s">
        <v>1637</v>
      </c>
      <c r="E21" s="847">
        <v>2.0</v>
      </c>
      <c r="F21" s="847" t="s">
        <v>1638</v>
      </c>
      <c r="G21" s="847" t="s">
        <v>1631</v>
      </c>
      <c r="H21" s="847" t="s">
        <v>1632</v>
      </c>
      <c r="I21" s="845"/>
      <c r="J21" s="845"/>
    </row>
    <row r="22" ht="22.5" customHeight="1">
      <c r="A22" s="844">
        <v>6061.0</v>
      </c>
      <c r="B22" s="845"/>
      <c r="C22" s="846" t="s">
        <v>1639</v>
      </c>
      <c r="D22" s="847" t="s">
        <v>1640</v>
      </c>
      <c r="E22" s="847">
        <v>1.0</v>
      </c>
      <c r="F22" s="847" t="s">
        <v>1641</v>
      </c>
      <c r="G22" s="847" t="s">
        <v>1631</v>
      </c>
      <c r="H22" s="847" t="s">
        <v>1632</v>
      </c>
      <c r="I22" s="847"/>
      <c r="J22" s="847" t="s">
        <v>1642</v>
      </c>
    </row>
    <row r="23" ht="22.5" customHeight="1">
      <c r="A23" s="844">
        <v>6061.0</v>
      </c>
      <c r="B23" s="845"/>
      <c r="C23" s="846" t="s">
        <v>1639</v>
      </c>
      <c r="D23" s="847" t="s">
        <v>1643</v>
      </c>
      <c r="E23" s="847">
        <v>1.0</v>
      </c>
      <c r="F23" s="847" t="s">
        <v>1644</v>
      </c>
      <c r="G23" s="847" t="s">
        <v>1631</v>
      </c>
      <c r="H23" s="847" t="s">
        <v>1632</v>
      </c>
      <c r="I23" s="847"/>
      <c r="J23" s="847" t="s">
        <v>1642</v>
      </c>
    </row>
    <row r="24" ht="22.5" customHeight="1">
      <c r="A24" s="848"/>
      <c r="B24" s="845"/>
      <c r="C24" s="845"/>
      <c r="D24" s="845"/>
      <c r="E24" s="845"/>
      <c r="F24" s="845"/>
      <c r="G24" s="845"/>
      <c r="H24" s="845"/>
      <c r="I24" s="845"/>
      <c r="J24" s="845"/>
    </row>
    <row r="25" ht="22.5" customHeight="1">
      <c r="A25" s="848"/>
      <c r="B25" s="845"/>
      <c r="C25" s="845"/>
      <c r="D25" s="845"/>
      <c r="E25" s="845"/>
      <c r="F25" s="845"/>
      <c r="G25" s="845"/>
      <c r="H25" s="845"/>
      <c r="I25" s="845"/>
      <c r="J25" s="845"/>
    </row>
    <row r="26" ht="22.5" customHeight="1">
      <c r="A26" s="848"/>
      <c r="B26" s="845"/>
      <c r="C26" s="845"/>
      <c r="D26" s="845"/>
      <c r="E26" s="845"/>
      <c r="F26" s="845"/>
      <c r="G26" s="845"/>
      <c r="H26" s="845"/>
      <c r="I26" s="845"/>
      <c r="J26" s="845"/>
    </row>
    <row r="30" ht="22.5" customHeight="1">
      <c r="A30" s="842" t="s">
        <v>656</v>
      </c>
      <c r="B30" s="842" t="s">
        <v>1605</v>
      </c>
      <c r="C30" s="842" t="s">
        <v>1606</v>
      </c>
      <c r="D30" s="842" t="s">
        <v>1607</v>
      </c>
      <c r="E30" s="843" t="s">
        <v>1608</v>
      </c>
      <c r="F30" s="843" t="s">
        <v>1609</v>
      </c>
      <c r="G30" s="842" t="s">
        <v>1610</v>
      </c>
      <c r="H30" s="842" t="s">
        <v>1611</v>
      </c>
      <c r="I30" s="842" t="s">
        <v>618</v>
      </c>
      <c r="J30" s="842" t="s">
        <v>1612</v>
      </c>
    </row>
    <row r="31" ht="22.5" customHeight="1">
      <c r="A31" s="849">
        <v>6061.0</v>
      </c>
      <c r="B31" s="850"/>
      <c r="C31" s="851">
        <v>0.125</v>
      </c>
      <c r="D31" s="851" t="s">
        <v>1645</v>
      </c>
      <c r="E31" s="851">
        <v>1.0</v>
      </c>
      <c r="F31" s="851" t="s">
        <v>1263</v>
      </c>
      <c r="G31" s="851" t="s">
        <v>1646</v>
      </c>
      <c r="H31" s="851" t="s">
        <v>1647</v>
      </c>
      <c r="I31" s="850"/>
      <c r="J31" s="845"/>
    </row>
    <row r="32" ht="22.5" customHeight="1">
      <c r="A32" s="844" t="s">
        <v>1615</v>
      </c>
      <c r="B32" s="847" t="s">
        <v>1648</v>
      </c>
      <c r="C32" s="847">
        <v>0.09</v>
      </c>
      <c r="D32" s="847" t="s">
        <v>1649</v>
      </c>
      <c r="E32" s="847">
        <v>1.0</v>
      </c>
      <c r="F32" s="847" t="s">
        <v>1267</v>
      </c>
      <c r="G32" s="847" t="s">
        <v>1646</v>
      </c>
      <c r="H32" s="847" t="s">
        <v>1647</v>
      </c>
      <c r="I32" s="845"/>
      <c r="J32" s="845"/>
    </row>
    <row r="33" ht="22.5" customHeight="1">
      <c r="A33" s="844"/>
      <c r="B33" s="845"/>
      <c r="C33" s="847"/>
      <c r="D33" s="847"/>
      <c r="E33" s="847"/>
      <c r="F33" s="847"/>
      <c r="G33" s="847"/>
      <c r="H33" s="847"/>
      <c r="I33" s="845"/>
      <c r="J33" s="845"/>
    </row>
    <row r="34" ht="22.5" customHeight="1">
      <c r="A34" s="844"/>
      <c r="B34" s="845"/>
      <c r="C34" s="847"/>
      <c r="D34" s="847"/>
      <c r="E34" s="847"/>
      <c r="F34" s="847"/>
      <c r="G34" s="847"/>
      <c r="H34" s="847"/>
      <c r="I34" s="845"/>
      <c r="J34" s="845"/>
    </row>
    <row r="35" ht="22.5" customHeight="1">
      <c r="A35" s="844"/>
      <c r="B35" s="847"/>
      <c r="C35" s="847"/>
      <c r="D35" s="847"/>
      <c r="E35" s="847"/>
      <c r="F35" s="847"/>
      <c r="G35" s="847"/>
      <c r="H35" s="847"/>
      <c r="I35" s="845"/>
      <c r="J35" s="845"/>
    </row>
    <row r="36" ht="22.5" customHeight="1">
      <c r="A36" s="848"/>
      <c r="B36" s="845"/>
      <c r="C36" s="845"/>
      <c r="D36" s="845"/>
      <c r="E36" s="845"/>
      <c r="F36" s="845"/>
      <c r="G36" s="845"/>
      <c r="H36" s="845"/>
      <c r="I36" s="845"/>
      <c r="J36" s="845"/>
    </row>
    <row r="37" ht="22.5" customHeight="1">
      <c r="A37" s="848"/>
      <c r="B37" s="845"/>
      <c r="C37" s="845"/>
      <c r="D37" s="845"/>
      <c r="E37" s="845"/>
      <c r="F37" s="845"/>
      <c r="G37" s="845"/>
      <c r="H37" s="845"/>
      <c r="I37" s="845"/>
      <c r="J37" s="845"/>
    </row>
    <row r="38" ht="22.5" customHeight="1">
      <c r="A38" s="848"/>
      <c r="B38" s="845"/>
      <c r="C38" s="845"/>
      <c r="D38" s="845"/>
      <c r="E38" s="845"/>
      <c r="F38" s="845"/>
      <c r="G38" s="845"/>
      <c r="H38" s="845"/>
      <c r="I38" s="845"/>
      <c r="J38" s="845"/>
    </row>
    <row r="39" ht="22.5" customHeight="1">
      <c r="A39" s="848"/>
      <c r="B39" s="845"/>
      <c r="C39" s="845"/>
      <c r="D39" s="845"/>
      <c r="E39" s="845"/>
      <c r="F39" s="845"/>
      <c r="G39" s="845"/>
      <c r="H39" s="845"/>
      <c r="I39" s="845"/>
      <c r="J39" s="845"/>
    </row>
    <row r="40" ht="22.5" customHeight="1">
      <c r="A40" s="848"/>
      <c r="B40" s="845"/>
      <c r="C40" s="845"/>
      <c r="D40" s="845"/>
      <c r="E40" s="845"/>
      <c r="F40" s="845"/>
      <c r="G40" s="845"/>
      <c r="H40" s="845"/>
      <c r="I40" s="845"/>
      <c r="J40" s="845"/>
    </row>
    <row r="41" ht="22.5" customHeight="1">
      <c r="A41" s="848"/>
      <c r="B41" s="845"/>
      <c r="C41" s="845"/>
      <c r="D41" s="845"/>
      <c r="E41" s="845"/>
      <c r="F41" s="845"/>
      <c r="G41" s="845"/>
      <c r="H41" s="845"/>
      <c r="I41" s="845"/>
      <c r="J41" s="845"/>
    </row>
    <row r="42" ht="22.5" customHeight="1">
      <c r="A42" s="848"/>
      <c r="B42" s="845"/>
      <c r="C42" s="845"/>
      <c r="D42" s="845"/>
      <c r="E42" s="845"/>
      <c r="F42" s="845"/>
      <c r="G42" s="845"/>
      <c r="H42" s="845"/>
      <c r="I42" s="845"/>
      <c r="J42" s="845"/>
    </row>
  </sheetData>
  <dataValidations>
    <dataValidation type="list" allowBlank="1" sqref="A2:A13 A18:A26 A31:A42">
      <formula1>"4130,6061,Mild Steel/Other"</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9.38"/>
    <col customWidth="1" min="3" max="3" width="15.5"/>
    <col customWidth="1" min="4" max="4" width="14.5"/>
    <col customWidth="1" min="5" max="5" width="33.5"/>
    <col customWidth="1" min="6" max="6" width="42.0"/>
    <col customWidth="1" min="7" max="7" width="35.88"/>
    <col customWidth="1" min="8" max="8" width="14.75"/>
    <col customWidth="1" min="9" max="9" width="32.38"/>
  </cols>
  <sheetData>
    <row r="1" ht="22.5" customHeight="1">
      <c r="A1" s="830" t="s">
        <v>656</v>
      </c>
      <c r="B1" s="830" t="s">
        <v>1605</v>
      </c>
      <c r="C1" s="830" t="s">
        <v>1606</v>
      </c>
      <c r="D1" s="830" t="s">
        <v>1650</v>
      </c>
      <c r="E1" s="830" t="s">
        <v>1607</v>
      </c>
      <c r="F1" s="830" t="s">
        <v>1612</v>
      </c>
      <c r="G1" s="852" t="s">
        <v>1651</v>
      </c>
      <c r="H1" s="852" t="s">
        <v>1652</v>
      </c>
    </row>
    <row r="2" ht="22.5" customHeight="1">
      <c r="A2" s="853">
        <v>6061.0</v>
      </c>
      <c r="B2" s="854"/>
      <c r="C2" s="855">
        <v>0.032</v>
      </c>
      <c r="D2" s="855">
        <f t="shared" ref="D2:D22" si="1">C2*25.4</f>
        <v>0.8128</v>
      </c>
      <c r="E2" s="855" t="s">
        <v>1653</v>
      </c>
      <c r="F2" s="855" t="s">
        <v>1654</v>
      </c>
      <c r="G2" s="856"/>
      <c r="H2" s="852" t="s">
        <v>1655</v>
      </c>
    </row>
    <row r="3" ht="22.5" customHeight="1">
      <c r="A3" s="853">
        <v>6061.0</v>
      </c>
      <c r="B3" s="854"/>
      <c r="C3" s="855">
        <v>0.04</v>
      </c>
      <c r="D3" s="855">
        <f t="shared" si="1"/>
        <v>1.016</v>
      </c>
      <c r="E3" s="855" t="s">
        <v>1656</v>
      </c>
      <c r="F3" s="855" t="s">
        <v>1657</v>
      </c>
      <c r="G3" s="855" t="s">
        <v>564</v>
      </c>
      <c r="H3" s="852" t="s">
        <v>1655</v>
      </c>
    </row>
    <row r="4" ht="22.5" customHeight="1">
      <c r="A4" s="853">
        <v>4130.0</v>
      </c>
      <c r="B4" s="854"/>
      <c r="C4" s="855">
        <v>0.06</v>
      </c>
      <c r="D4" s="855">
        <f t="shared" si="1"/>
        <v>1.524</v>
      </c>
      <c r="E4" s="855" t="s">
        <v>1658</v>
      </c>
      <c r="F4" s="855"/>
      <c r="G4" s="855"/>
      <c r="H4" s="852" t="s">
        <v>1659</v>
      </c>
    </row>
    <row r="5" ht="22.5" customHeight="1">
      <c r="A5" s="853">
        <v>4130.0</v>
      </c>
      <c r="B5" s="854"/>
      <c r="C5" s="855">
        <v>0.06</v>
      </c>
      <c r="D5" s="855">
        <f t="shared" si="1"/>
        <v>1.524</v>
      </c>
      <c r="E5" s="855" t="s">
        <v>1660</v>
      </c>
      <c r="F5" s="855" t="s">
        <v>1661</v>
      </c>
      <c r="G5" s="855" t="s">
        <v>1662</v>
      </c>
      <c r="H5" s="852" t="s">
        <v>1655</v>
      </c>
    </row>
    <row r="6" ht="32.25" customHeight="1">
      <c r="A6" s="853">
        <v>4130.0</v>
      </c>
      <c r="B6" s="855" t="s">
        <v>1663</v>
      </c>
      <c r="C6" s="855">
        <v>0.05</v>
      </c>
      <c r="D6" s="855">
        <f t="shared" si="1"/>
        <v>1.27</v>
      </c>
      <c r="E6" s="855"/>
      <c r="F6" s="855"/>
      <c r="G6" s="855"/>
      <c r="H6" s="852" t="s">
        <v>1659</v>
      </c>
    </row>
    <row r="7" ht="22.5" customHeight="1">
      <c r="A7" s="853">
        <v>4130.0</v>
      </c>
      <c r="B7" s="855" t="s">
        <v>1663</v>
      </c>
      <c r="C7" s="855">
        <v>0.06</v>
      </c>
      <c r="D7" s="855">
        <f t="shared" si="1"/>
        <v>1.524</v>
      </c>
      <c r="E7" s="855" t="s">
        <v>1664</v>
      </c>
      <c r="F7" s="855"/>
      <c r="G7" s="855" t="s">
        <v>1665</v>
      </c>
      <c r="H7" s="852" t="s">
        <v>1659</v>
      </c>
    </row>
    <row r="8" ht="22.5" customHeight="1">
      <c r="A8" s="853">
        <v>6061.0</v>
      </c>
      <c r="B8" s="855"/>
      <c r="C8" s="855">
        <v>0.125</v>
      </c>
      <c r="D8" s="855">
        <f t="shared" si="1"/>
        <v>3.175</v>
      </c>
      <c r="E8" s="855" t="s">
        <v>1666</v>
      </c>
      <c r="F8" s="855"/>
      <c r="G8" s="855"/>
      <c r="H8" s="852" t="s">
        <v>1659</v>
      </c>
    </row>
    <row r="9" ht="22.5" customHeight="1">
      <c r="A9" s="853">
        <v>6061.0</v>
      </c>
      <c r="B9" s="855" t="s">
        <v>1667</v>
      </c>
      <c r="C9" s="855">
        <v>0.08</v>
      </c>
      <c r="D9" s="855">
        <f t="shared" si="1"/>
        <v>2.032</v>
      </c>
      <c r="E9" s="855" t="s">
        <v>1668</v>
      </c>
      <c r="F9" s="855"/>
      <c r="G9" s="855" t="s">
        <v>1669</v>
      </c>
      <c r="H9" s="830"/>
    </row>
    <row r="10" ht="22.5" customHeight="1">
      <c r="A10" s="853">
        <v>6061.0</v>
      </c>
      <c r="B10" s="855" t="s">
        <v>1670</v>
      </c>
      <c r="C10" s="854">
        <v>0.125</v>
      </c>
      <c r="D10" s="855">
        <f t="shared" si="1"/>
        <v>3.175</v>
      </c>
      <c r="E10" s="855" t="s">
        <v>1671</v>
      </c>
      <c r="F10" s="854"/>
      <c r="G10" s="857"/>
      <c r="H10" s="852" t="s">
        <v>1655</v>
      </c>
    </row>
    <row r="11" ht="22.5" customHeight="1">
      <c r="A11" s="853">
        <v>4130.0</v>
      </c>
      <c r="B11" s="854"/>
      <c r="C11" s="855">
        <v>0.125</v>
      </c>
      <c r="D11" s="855">
        <f t="shared" si="1"/>
        <v>3.175</v>
      </c>
      <c r="E11" s="855" t="s">
        <v>1672</v>
      </c>
      <c r="F11" s="855" t="s">
        <v>1673</v>
      </c>
      <c r="G11" s="855" t="s">
        <v>1669</v>
      </c>
      <c r="H11" s="830"/>
    </row>
    <row r="12" ht="22.5" customHeight="1">
      <c r="A12" s="858"/>
      <c r="B12" s="855">
        <v>5052.0</v>
      </c>
      <c r="C12" s="855">
        <v>0.125</v>
      </c>
      <c r="D12" s="855">
        <f t="shared" si="1"/>
        <v>3.175</v>
      </c>
      <c r="E12" s="855" t="s">
        <v>1674</v>
      </c>
      <c r="F12" s="855" t="s">
        <v>1675</v>
      </c>
      <c r="G12" s="856"/>
      <c r="H12" s="852" t="s">
        <v>1655</v>
      </c>
    </row>
    <row r="13" ht="22.5" customHeight="1">
      <c r="A13" s="853">
        <v>4130.0</v>
      </c>
      <c r="B13" s="854"/>
      <c r="C13" s="855">
        <v>0.125</v>
      </c>
      <c r="D13" s="855">
        <f t="shared" si="1"/>
        <v>3.175</v>
      </c>
      <c r="E13" s="855" t="s">
        <v>1676</v>
      </c>
      <c r="F13" s="855" t="s">
        <v>1677</v>
      </c>
      <c r="G13" s="855" t="s">
        <v>1678</v>
      </c>
      <c r="H13" s="830"/>
    </row>
    <row r="14" ht="22.5" customHeight="1">
      <c r="A14" s="853">
        <v>4130.0</v>
      </c>
      <c r="B14" s="854"/>
      <c r="C14" s="855">
        <v>0.125</v>
      </c>
      <c r="D14" s="855">
        <f t="shared" si="1"/>
        <v>3.175</v>
      </c>
      <c r="E14" s="855" t="s">
        <v>1679</v>
      </c>
      <c r="F14" s="855" t="s">
        <v>1680</v>
      </c>
      <c r="G14" s="855" t="s">
        <v>1678</v>
      </c>
      <c r="H14" s="830"/>
    </row>
    <row r="15" ht="22.5" customHeight="1">
      <c r="A15" s="853">
        <v>6061.0</v>
      </c>
      <c r="B15" s="854"/>
      <c r="C15" s="855">
        <v>0.13</v>
      </c>
      <c r="D15" s="855">
        <f t="shared" si="1"/>
        <v>3.302</v>
      </c>
      <c r="E15" s="855" t="s">
        <v>1681</v>
      </c>
      <c r="F15" s="855" t="s">
        <v>1680</v>
      </c>
      <c r="G15" s="855" t="s">
        <v>1682</v>
      </c>
      <c r="H15" s="852" t="s">
        <v>1655</v>
      </c>
    </row>
    <row r="16" ht="22.5" customHeight="1">
      <c r="A16" s="853">
        <v>4130.0</v>
      </c>
      <c r="B16" s="855"/>
      <c r="C16" s="855">
        <v>0.16</v>
      </c>
      <c r="D16" s="855">
        <f t="shared" si="1"/>
        <v>4.064</v>
      </c>
      <c r="E16" s="855" t="s">
        <v>1683</v>
      </c>
      <c r="F16" s="855" t="s">
        <v>1684</v>
      </c>
      <c r="G16" s="855" t="s">
        <v>1685</v>
      </c>
      <c r="H16" s="830"/>
    </row>
    <row r="17" ht="22.5" customHeight="1">
      <c r="A17" s="853">
        <v>4130.0</v>
      </c>
      <c r="B17" s="854"/>
      <c r="C17" s="854">
        <f>3/16 </f>
        <v>0.1875</v>
      </c>
      <c r="D17" s="855">
        <f t="shared" si="1"/>
        <v>4.7625</v>
      </c>
      <c r="E17" s="855" t="s">
        <v>1686</v>
      </c>
      <c r="F17" s="855" t="s">
        <v>1687</v>
      </c>
      <c r="G17" s="856"/>
      <c r="H17" s="830"/>
    </row>
    <row r="18" ht="22.5" customHeight="1">
      <c r="A18" s="859">
        <v>4130.0</v>
      </c>
      <c r="B18" s="854"/>
      <c r="C18" s="855">
        <v>0.19</v>
      </c>
      <c r="D18" s="855">
        <f t="shared" si="1"/>
        <v>4.826</v>
      </c>
      <c r="E18" s="855" t="s">
        <v>1688</v>
      </c>
      <c r="F18" s="854"/>
      <c r="G18" s="855" t="s">
        <v>1186</v>
      </c>
      <c r="H18" s="860"/>
    </row>
    <row r="19" ht="22.5" customHeight="1">
      <c r="A19" s="859">
        <v>4130.0</v>
      </c>
      <c r="B19" s="854"/>
      <c r="C19" s="855">
        <v>0.25</v>
      </c>
      <c r="D19" s="855">
        <f t="shared" si="1"/>
        <v>6.35</v>
      </c>
      <c r="E19" s="855" t="s">
        <v>1689</v>
      </c>
      <c r="F19" s="855" t="s">
        <v>1684</v>
      </c>
      <c r="G19" s="855" t="s">
        <v>1678</v>
      </c>
      <c r="H19" s="830"/>
    </row>
    <row r="20" ht="22.5" customHeight="1">
      <c r="A20" s="859">
        <v>6061.0</v>
      </c>
      <c r="B20" s="854"/>
      <c r="C20" s="855">
        <v>0.25</v>
      </c>
      <c r="D20" s="855">
        <f t="shared" si="1"/>
        <v>6.35</v>
      </c>
      <c r="E20" s="855" t="s">
        <v>1690</v>
      </c>
      <c r="F20" s="855" t="s">
        <v>1691</v>
      </c>
      <c r="G20" s="855" t="s">
        <v>1692</v>
      </c>
      <c r="H20" s="830"/>
    </row>
    <row r="21" ht="22.5" customHeight="1">
      <c r="A21" s="859">
        <v>4130.0</v>
      </c>
      <c r="B21" s="854"/>
      <c r="C21" s="855">
        <v>0.25</v>
      </c>
      <c r="D21" s="855">
        <f t="shared" si="1"/>
        <v>6.35</v>
      </c>
      <c r="E21" s="855" t="s">
        <v>1693</v>
      </c>
      <c r="F21" s="855" t="s">
        <v>1691</v>
      </c>
      <c r="G21" s="855" t="s">
        <v>1678</v>
      </c>
      <c r="H21" s="830"/>
      <c r="I21" s="466"/>
    </row>
    <row r="22" ht="22.5" customHeight="1">
      <c r="A22" s="859"/>
      <c r="B22" s="855" t="s">
        <v>1694</v>
      </c>
      <c r="C22" s="855">
        <v>0.75</v>
      </c>
      <c r="D22" s="855">
        <f t="shared" si="1"/>
        <v>19.05</v>
      </c>
      <c r="E22" s="855" t="s">
        <v>1695</v>
      </c>
      <c r="F22" s="855"/>
      <c r="G22" s="856"/>
      <c r="H22" s="830"/>
      <c r="I22" s="466"/>
    </row>
    <row r="23">
      <c r="I23" s="466"/>
    </row>
    <row r="24">
      <c r="I24" s="466"/>
    </row>
    <row r="25">
      <c r="A25" s="466"/>
      <c r="B25" s="466"/>
      <c r="C25" s="466"/>
      <c r="D25" s="466"/>
      <c r="F25" s="466"/>
      <c r="G25" s="466"/>
      <c r="H25" s="466"/>
      <c r="I25" s="466"/>
    </row>
    <row r="26">
      <c r="A26" s="466"/>
      <c r="B26" s="466"/>
      <c r="C26" s="466"/>
      <c r="D26" s="466"/>
      <c r="F26" s="466"/>
      <c r="G26" s="466"/>
      <c r="H26" s="466"/>
      <c r="I26" s="466"/>
    </row>
    <row r="27">
      <c r="A27" s="466"/>
      <c r="B27" s="466"/>
      <c r="C27" s="466"/>
      <c r="D27" s="466"/>
      <c r="F27" s="466"/>
      <c r="G27" s="466"/>
      <c r="H27" s="466"/>
      <c r="I27" s="466"/>
    </row>
    <row r="28">
      <c r="A28" s="466"/>
      <c r="B28" s="466"/>
      <c r="C28" s="466"/>
      <c r="D28" s="466"/>
      <c r="F28" s="466"/>
      <c r="G28" s="466"/>
      <c r="H28" s="466"/>
      <c r="I28" s="466"/>
    </row>
    <row r="29">
      <c r="A29" s="466"/>
      <c r="B29" s="466"/>
      <c r="C29" s="466"/>
      <c r="D29" s="466"/>
      <c r="F29" s="466"/>
      <c r="G29" s="466"/>
      <c r="H29" s="466"/>
      <c r="I29" s="466"/>
    </row>
    <row r="30">
      <c r="A30" s="466"/>
      <c r="B30" s="466"/>
      <c r="C30" s="466"/>
      <c r="D30" s="466"/>
      <c r="F30" s="466"/>
      <c r="G30" s="466"/>
      <c r="H30" s="466"/>
      <c r="I30" s="466"/>
    </row>
    <row r="31">
      <c r="A31" s="466"/>
      <c r="B31" s="466"/>
      <c r="C31" s="466"/>
      <c r="D31" s="466"/>
      <c r="F31" s="466"/>
      <c r="G31" s="466"/>
      <c r="H31" s="466"/>
      <c r="I31" s="466"/>
    </row>
    <row r="32">
      <c r="A32" s="466"/>
      <c r="B32" s="466"/>
      <c r="C32" s="466"/>
      <c r="D32" s="466"/>
      <c r="F32" s="466"/>
      <c r="G32" s="466"/>
      <c r="H32" s="466"/>
      <c r="I32" s="466"/>
    </row>
    <row r="33">
      <c r="A33" s="466"/>
      <c r="B33" s="466"/>
      <c r="C33" s="466"/>
      <c r="D33" s="466"/>
      <c r="F33" s="466"/>
      <c r="G33" s="466"/>
      <c r="H33" s="466"/>
      <c r="I33" s="466"/>
    </row>
    <row r="34">
      <c r="A34" s="466"/>
      <c r="B34" s="466"/>
      <c r="C34" s="466"/>
      <c r="D34" s="466"/>
      <c r="F34" s="466"/>
      <c r="G34" s="466"/>
      <c r="H34" s="466"/>
    </row>
    <row r="35">
      <c r="A35" s="466"/>
      <c r="B35" s="466"/>
      <c r="C35" s="466"/>
      <c r="D35" s="466"/>
      <c r="F35" s="466"/>
      <c r="G35" s="466"/>
      <c r="H35" s="466"/>
    </row>
    <row r="36">
      <c r="A36" s="466"/>
      <c r="B36" s="466"/>
      <c r="C36" s="466"/>
      <c r="D36" s="466"/>
      <c r="F36" s="466"/>
      <c r="G36" s="466"/>
      <c r="H36" s="466"/>
    </row>
    <row r="37">
      <c r="A37" s="466"/>
      <c r="B37" s="466"/>
      <c r="C37" s="466"/>
      <c r="D37" s="466"/>
      <c r="F37" s="466"/>
      <c r="G37" s="466"/>
      <c r="H37" s="466"/>
      <c r="I37" s="466"/>
    </row>
    <row r="38">
      <c r="I38" s="466"/>
    </row>
    <row r="39">
      <c r="I39" s="466"/>
    </row>
    <row r="40">
      <c r="I40" s="466"/>
    </row>
    <row r="41">
      <c r="A41" s="466"/>
      <c r="B41" s="466"/>
      <c r="C41" s="466"/>
      <c r="D41" s="466"/>
      <c r="F41" s="466"/>
      <c r="G41" s="466"/>
      <c r="H41" s="466"/>
      <c r="I41" s="466"/>
    </row>
    <row r="42">
      <c r="A42" s="466"/>
      <c r="B42" s="466"/>
      <c r="C42" s="466"/>
      <c r="D42" s="466"/>
      <c r="F42" s="466"/>
      <c r="G42" s="466"/>
      <c r="H42" s="466"/>
      <c r="I42" s="466"/>
    </row>
    <row r="43">
      <c r="A43" s="466"/>
      <c r="B43" s="466"/>
      <c r="C43" s="466"/>
      <c r="D43" s="466"/>
      <c r="F43" s="466"/>
      <c r="G43" s="466"/>
      <c r="H43" s="466"/>
      <c r="I43" s="466"/>
    </row>
    <row r="44">
      <c r="A44" s="466"/>
      <c r="B44" s="466"/>
      <c r="C44" s="466"/>
      <c r="D44" s="466"/>
      <c r="F44" s="466"/>
      <c r="G44" s="466"/>
      <c r="H44" s="466"/>
      <c r="I44" s="466"/>
    </row>
    <row r="45">
      <c r="A45" s="466"/>
      <c r="B45" s="466"/>
      <c r="C45" s="466"/>
      <c r="D45" s="466"/>
      <c r="F45" s="466"/>
      <c r="G45" s="466"/>
      <c r="H45" s="466"/>
      <c r="I45" s="466"/>
    </row>
    <row r="46">
      <c r="A46" s="466"/>
      <c r="B46" s="466"/>
      <c r="C46" s="466"/>
      <c r="D46" s="466"/>
      <c r="F46" s="466"/>
      <c r="G46" s="466"/>
      <c r="H46" s="466"/>
      <c r="I46" s="466"/>
    </row>
    <row r="47">
      <c r="A47" s="466"/>
      <c r="B47" s="466"/>
      <c r="C47" s="466"/>
      <c r="D47" s="466"/>
      <c r="F47" s="466"/>
      <c r="G47" s="466"/>
      <c r="H47" s="466"/>
      <c r="I47" s="466"/>
    </row>
    <row r="48">
      <c r="A48" s="466"/>
      <c r="B48" s="466"/>
      <c r="C48" s="466"/>
      <c r="D48" s="466"/>
      <c r="F48" s="466"/>
      <c r="G48" s="466"/>
      <c r="H48" s="466"/>
      <c r="I48" s="466"/>
    </row>
    <row r="49">
      <c r="A49" s="466"/>
      <c r="B49" s="466"/>
      <c r="C49" s="466"/>
      <c r="D49" s="466"/>
      <c r="F49" s="466"/>
      <c r="G49" s="466"/>
      <c r="H49" s="466"/>
      <c r="I49" s="466"/>
    </row>
    <row r="50">
      <c r="A50" s="466"/>
      <c r="B50" s="466"/>
      <c r="C50" s="466"/>
      <c r="D50" s="466"/>
      <c r="F50" s="466"/>
      <c r="G50" s="466"/>
      <c r="H50" s="466"/>
    </row>
    <row r="51">
      <c r="A51" s="466"/>
      <c r="B51" s="466"/>
      <c r="C51" s="466"/>
      <c r="D51" s="466"/>
      <c r="F51" s="466"/>
      <c r="G51" s="466"/>
      <c r="H51" s="466"/>
    </row>
    <row r="52">
      <c r="A52" s="466"/>
      <c r="B52" s="466"/>
      <c r="C52" s="466"/>
      <c r="D52" s="466"/>
      <c r="F52" s="466"/>
      <c r="G52" s="466"/>
      <c r="H52" s="466"/>
    </row>
    <row r="53">
      <c r="A53" s="466"/>
      <c r="B53" s="466"/>
      <c r="C53" s="466"/>
      <c r="D53" s="466"/>
      <c r="F53" s="466"/>
      <c r="G53" s="466"/>
      <c r="H53" s="466"/>
    </row>
  </sheetData>
  <dataValidations>
    <dataValidation type="list" allowBlank="1" sqref="A2:A22">
      <formula1>"4130,6061,Mild Steel/Other"</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 customWidth="1" min="4" max="4" width="40.63"/>
    <col customWidth="1" min="5" max="5" width="26.75"/>
    <col customWidth="1" min="10" max="10" width="32.13"/>
    <col customWidth="1" min="11" max="12" width="17.13"/>
    <col customWidth="1" min="13" max="13" width="13.88"/>
    <col customWidth="1" min="14" max="14" width="16.13"/>
    <col customWidth="1" min="15" max="15" width="15.5"/>
    <col customWidth="1" min="16" max="16" width="13.88"/>
    <col customWidth="1" min="17" max="17" width="25.5"/>
    <col customWidth="1" min="18" max="18" width="17.13"/>
    <col customWidth="1" min="19" max="19" width="17.5"/>
    <col customWidth="1" min="20" max="20" width="18.13"/>
    <col customWidth="1" min="21" max="21" width="17.88"/>
    <col customWidth="1" min="22" max="22" width="15.25"/>
    <col customWidth="1" min="23" max="23" width="15.38"/>
    <col customWidth="1" min="27" max="29" width="18.0"/>
    <col customWidth="1" min="30" max="30" width="17.13"/>
    <col customWidth="1" min="31" max="31" width="22.75"/>
  </cols>
  <sheetData>
    <row r="1">
      <c r="A1" s="170" t="s">
        <v>1696</v>
      </c>
      <c r="V1" s="603" t="s">
        <v>601</v>
      </c>
      <c r="X1" s="176"/>
      <c r="Y1" s="175" t="s">
        <v>602</v>
      </c>
      <c r="AE1" s="176"/>
    </row>
    <row r="2">
      <c r="A2" s="177" t="s">
        <v>603</v>
      </c>
      <c r="B2" s="178" t="s">
        <v>604</v>
      </c>
      <c r="C2" s="177" t="s">
        <v>605</v>
      </c>
      <c r="D2" s="177" t="s">
        <v>606</v>
      </c>
      <c r="E2" s="177" t="s">
        <v>607</v>
      </c>
      <c r="F2" s="178" t="s">
        <v>608</v>
      </c>
      <c r="G2" s="177" t="s">
        <v>609</v>
      </c>
      <c r="H2" s="178" t="s">
        <v>610</v>
      </c>
      <c r="I2" s="178" t="s">
        <v>611</v>
      </c>
      <c r="J2" s="179" t="s">
        <v>612</v>
      </c>
      <c r="K2" s="179" t="s">
        <v>613</v>
      </c>
      <c r="L2" s="180" t="s">
        <v>1697</v>
      </c>
      <c r="M2" s="181" t="s">
        <v>615</v>
      </c>
      <c r="N2" s="177" t="s">
        <v>616</v>
      </c>
      <c r="O2" s="177" t="s">
        <v>617</v>
      </c>
      <c r="P2" s="177" t="s">
        <v>618</v>
      </c>
      <c r="Q2" s="178" t="s">
        <v>619</v>
      </c>
      <c r="R2" s="178" t="s">
        <v>620</v>
      </c>
      <c r="S2" s="178" t="s">
        <v>621</v>
      </c>
      <c r="T2" s="178" t="s">
        <v>622</v>
      </c>
      <c r="U2" s="177" t="s">
        <v>623</v>
      </c>
      <c r="V2" s="861" t="s">
        <v>624</v>
      </c>
      <c r="W2" s="862" t="s">
        <v>625</v>
      </c>
      <c r="X2" s="863" t="s">
        <v>626</v>
      </c>
      <c r="Y2" s="184" t="s">
        <v>628</v>
      </c>
      <c r="Z2" s="184" t="s">
        <v>629</v>
      </c>
      <c r="AA2" s="184" t="s">
        <v>630</v>
      </c>
      <c r="AB2" s="185" t="s">
        <v>631</v>
      </c>
      <c r="AC2" s="185" t="s">
        <v>632</v>
      </c>
      <c r="AD2" s="184" t="s">
        <v>633</v>
      </c>
      <c r="AE2" s="184" t="s">
        <v>634</v>
      </c>
    </row>
    <row r="3">
      <c r="A3" s="186" t="s">
        <v>635</v>
      </c>
      <c r="B3" s="186" t="s">
        <v>636</v>
      </c>
      <c r="C3" s="186" t="s">
        <v>637</v>
      </c>
      <c r="D3" s="186" t="s">
        <v>638</v>
      </c>
      <c r="E3" s="187" t="s">
        <v>639</v>
      </c>
      <c r="F3" s="186" t="s">
        <v>640</v>
      </c>
      <c r="G3" s="186">
        <v>1.0</v>
      </c>
      <c r="H3" s="186"/>
      <c r="I3" s="186">
        <v>1.0</v>
      </c>
      <c r="J3" s="188">
        <v>100.0</v>
      </c>
      <c r="K3" s="188">
        <v>0.0</v>
      </c>
      <c r="L3" s="188">
        <v>0.0</v>
      </c>
      <c r="M3" s="189">
        <f>J3*I3+K3</f>
        <v>100</v>
      </c>
      <c r="N3" s="186" t="s">
        <v>641</v>
      </c>
      <c r="O3" s="186" t="s">
        <v>642</v>
      </c>
      <c r="P3" s="190"/>
      <c r="Q3" s="186" t="s">
        <v>643</v>
      </c>
      <c r="R3" s="186" t="s">
        <v>644</v>
      </c>
      <c r="S3" s="186" t="s">
        <v>645</v>
      </c>
      <c r="T3" s="186" t="s">
        <v>646</v>
      </c>
      <c r="U3" s="191" t="s">
        <v>647</v>
      </c>
      <c r="V3" s="864" t="s">
        <v>1698</v>
      </c>
      <c r="W3" s="417" t="s">
        <v>871</v>
      </c>
      <c r="X3" s="608" t="s">
        <v>650</v>
      </c>
      <c r="Y3" s="194" t="s">
        <v>652</v>
      </c>
      <c r="Z3" s="195" t="s">
        <v>653</v>
      </c>
      <c r="AA3" s="196" t="s">
        <v>650</v>
      </c>
      <c r="AB3" s="197" t="s">
        <v>642</v>
      </c>
      <c r="AC3" s="197" t="s">
        <v>642</v>
      </c>
      <c r="AD3" s="186" t="s">
        <v>654</v>
      </c>
      <c r="AE3" s="196" t="s">
        <v>655</v>
      </c>
    </row>
    <row r="4">
      <c r="A4" s="199" t="s">
        <v>239</v>
      </c>
      <c r="H4" s="865"/>
      <c r="I4" s="865"/>
      <c r="J4" s="866"/>
      <c r="K4" s="866"/>
      <c r="L4" s="866"/>
      <c r="M4" s="867"/>
      <c r="N4" s="865"/>
      <c r="O4" s="204"/>
      <c r="P4" s="421"/>
      <c r="Q4" s="421"/>
      <c r="R4" s="421"/>
      <c r="S4" s="421"/>
      <c r="T4" s="421"/>
      <c r="U4" s="204"/>
      <c r="V4" s="470"/>
      <c r="W4" s="200"/>
      <c r="X4" s="464"/>
      <c r="Y4" s="207"/>
      <c r="Z4" s="207"/>
      <c r="AA4" s="207"/>
      <c r="AB4" s="208"/>
      <c r="AC4" s="208"/>
      <c r="AD4" s="207"/>
      <c r="AE4" s="207"/>
    </row>
    <row r="5">
      <c r="A5" s="237" t="s">
        <v>656</v>
      </c>
      <c r="B5" s="237" t="s">
        <v>239</v>
      </c>
      <c r="C5" s="69" t="s">
        <v>1699</v>
      </c>
      <c r="D5" s="37" t="s">
        <v>1700</v>
      </c>
      <c r="E5" s="238" t="s">
        <v>1701</v>
      </c>
      <c r="F5" s="237" t="s">
        <v>1702</v>
      </c>
      <c r="G5" s="237">
        <v>1.0</v>
      </c>
      <c r="H5" s="237"/>
      <c r="I5" s="237">
        <v>1.0</v>
      </c>
      <c r="J5" s="868">
        <v>1048.0</v>
      </c>
      <c r="K5" s="240">
        <v>0.0</v>
      </c>
      <c r="L5" s="240">
        <v>0.0</v>
      </c>
      <c r="M5" s="240">
        <f>1048*1.13</f>
        <v>1184.24</v>
      </c>
      <c r="N5" s="237" t="s">
        <v>1703</v>
      </c>
      <c r="O5" s="237"/>
      <c r="P5" s="869" t="s">
        <v>1704</v>
      </c>
      <c r="Q5" s="243" t="s">
        <v>724</v>
      </c>
      <c r="R5" s="243" t="s">
        <v>584</v>
      </c>
      <c r="S5" s="870" t="s">
        <v>1705</v>
      </c>
      <c r="T5" s="870" t="s">
        <v>1706</v>
      </c>
      <c r="U5" s="237" t="s">
        <v>1707</v>
      </c>
      <c r="V5" s="504" t="s">
        <v>584</v>
      </c>
      <c r="W5" s="237"/>
      <c r="X5" s="505"/>
      <c r="AB5" s="28"/>
      <c r="AC5" s="28"/>
    </row>
    <row r="6">
      <c r="A6" s="199" t="s">
        <v>1708</v>
      </c>
      <c r="H6" s="199" t="s">
        <v>1708</v>
      </c>
      <c r="O6" s="199" t="s">
        <v>239</v>
      </c>
      <c r="V6" s="199"/>
      <c r="AC6" s="199"/>
    </row>
    <row r="7">
      <c r="A7" s="237" t="s">
        <v>1709</v>
      </c>
      <c r="B7" s="237" t="s">
        <v>1710</v>
      </c>
      <c r="C7" s="237" t="s">
        <v>1711</v>
      </c>
      <c r="D7" s="237" t="s">
        <v>1712</v>
      </c>
      <c r="E7" s="238" t="s">
        <v>1713</v>
      </c>
      <c r="F7" s="237" t="s">
        <v>640</v>
      </c>
      <c r="G7" s="37">
        <v>1.0</v>
      </c>
      <c r="H7" s="37" t="s">
        <v>642</v>
      </c>
      <c r="I7" s="37">
        <v>1.0</v>
      </c>
      <c r="J7" s="240">
        <v>138.0</v>
      </c>
      <c r="K7" s="240">
        <v>0.0</v>
      </c>
      <c r="L7" s="240">
        <v>0.0</v>
      </c>
      <c r="M7" s="794">
        <f>138*1.13</f>
        <v>155.94</v>
      </c>
      <c r="N7" s="237" t="s">
        <v>1714</v>
      </c>
      <c r="O7" s="237" t="s">
        <v>642</v>
      </c>
      <c r="P7" s="871" t="s">
        <v>1715</v>
      </c>
      <c r="Q7" s="243" t="s">
        <v>724</v>
      </c>
      <c r="R7" s="243" t="s">
        <v>584</v>
      </c>
      <c r="S7" s="243" t="s">
        <v>1716</v>
      </c>
      <c r="T7" s="243" t="s">
        <v>642</v>
      </c>
      <c r="U7" s="237" t="s">
        <v>1717</v>
      </c>
      <c r="V7" s="504" t="s">
        <v>584</v>
      </c>
      <c r="W7" s="237"/>
      <c r="X7" s="505"/>
      <c r="AB7" s="28"/>
      <c r="AC7" s="28"/>
    </row>
    <row r="8">
      <c r="A8" s="237" t="s">
        <v>1718</v>
      </c>
      <c r="B8" s="237" t="s">
        <v>1710</v>
      </c>
      <c r="C8" s="37" t="s">
        <v>1719</v>
      </c>
      <c r="D8" s="237" t="s">
        <v>1720</v>
      </c>
      <c r="E8" s="238" t="s">
        <v>1721</v>
      </c>
      <c r="F8" s="237" t="s">
        <v>640</v>
      </c>
      <c r="G8" s="237">
        <v>500.0</v>
      </c>
      <c r="H8" s="237"/>
      <c r="I8" s="237">
        <v>500.0</v>
      </c>
      <c r="J8" s="240">
        <v>0.06</v>
      </c>
      <c r="K8" s="240">
        <v>0.0</v>
      </c>
      <c r="L8" s="240">
        <v>0.0</v>
      </c>
      <c r="M8" s="240">
        <f>26*1.13</f>
        <v>29.38</v>
      </c>
      <c r="N8" s="240" t="s">
        <v>1722</v>
      </c>
      <c r="O8" s="240" t="s">
        <v>642</v>
      </c>
      <c r="P8" s="872" t="s">
        <v>1723</v>
      </c>
      <c r="Q8" s="870" t="s">
        <v>724</v>
      </c>
      <c r="R8" s="870" t="s">
        <v>584</v>
      </c>
      <c r="S8" s="870" t="s">
        <v>1724</v>
      </c>
      <c r="T8" s="870" t="s">
        <v>642</v>
      </c>
      <c r="U8" s="237" t="s">
        <v>1725</v>
      </c>
      <c r="V8" s="504" t="s">
        <v>584</v>
      </c>
      <c r="W8" s="237" t="s">
        <v>437</v>
      </c>
      <c r="X8" s="505" t="s">
        <v>650</v>
      </c>
      <c r="AB8" s="28"/>
      <c r="AC8" s="28"/>
      <c r="AE8" s="37"/>
    </row>
    <row r="9">
      <c r="A9" s="199" t="s">
        <v>1726</v>
      </c>
      <c r="H9" s="199" t="s">
        <v>1708</v>
      </c>
      <c r="O9" s="199" t="s">
        <v>1727</v>
      </c>
      <c r="V9" s="199"/>
      <c r="AC9" s="199"/>
    </row>
    <row r="10">
      <c r="A10" s="237" t="s">
        <v>1727</v>
      </c>
      <c r="B10" s="237" t="s">
        <v>1726</v>
      </c>
      <c r="C10" s="26" t="s">
        <v>1728</v>
      </c>
      <c r="D10" s="69" t="s">
        <v>1729</v>
      </c>
      <c r="E10" s="22" t="s">
        <v>1730</v>
      </c>
      <c r="F10" s="237" t="s">
        <v>640</v>
      </c>
      <c r="G10" s="497" t="s">
        <v>1731</v>
      </c>
      <c r="I10" s="237" t="s">
        <v>1732</v>
      </c>
      <c r="J10" s="240" t="s">
        <v>642</v>
      </c>
      <c r="K10" s="240">
        <v>0.0</v>
      </c>
      <c r="L10" s="240">
        <v>0.0</v>
      </c>
      <c r="M10" s="240"/>
      <c r="N10" s="37" t="s">
        <v>1733</v>
      </c>
      <c r="O10" s="128"/>
      <c r="P10" s="873" t="s">
        <v>1734</v>
      </c>
      <c r="Q10" s="874" t="s">
        <v>724</v>
      </c>
      <c r="R10" s="874" t="s">
        <v>584</v>
      </c>
      <c r="S10" s="874" t="s">
        <v>1735</v>
      </c>
      <c r="T10" s="875"/>
      <c r="U10" s="37" t="s">
        <v>1736</v>
      </c>
      <c r="V10" s="876" t="s">
        <v>642</v>
      </c>
      <c r="W10" s="237"/>
      <c r="X10" s="505"/>
      <c r="AB10" s="28"/>
      <c r="AC10" s="28"/>
      <c r="AE10" s="37"/>
    </row>
    <row r="11">
      <c r="A11" s="199" t="s">
        <v>1737</v>
      </c>
      <c r="H11" s="199" t="s">
        <v>1737</v>
      </c>
      <c r="O11" s="199" t="s">
        <v>1737</v>
      </c>
      <c r="V11" s="199"/>
      <c r="AC11" s="199"/>
    </row>
    <row r="12">
      <c r="A12" s="744" t="s">
        <v>1737</v>
      </c>
      <c r="B12" s="744" t="s">
        <v>1737</v>
      </c>
      <c r="C12" s="765" t="s">
        <v>1738</v>
      </c>
      <c r="D12" s="741" t="s">
        <v>1739</v>
      </c>
      <c r="E12" s="741" t="s">
        <v>1740</v>
      </c>
      <c r="F12" s="741" t="s">
        <v>1741</v>
      </c>
      <c r="G12" s="877">
        <v>1.0</v>
      </c>
      <c r="H12" s="757"/>
      <c r="I12" s="744">
        <v>1.0</v>
      </c>
      <c r="J12" s="781">
        <v>150.0</v>
      </c>
      <c r="K12" s="781">
        <v>0.0</v>
      </c>
      <c r="L12" s="781">
        <v>0.0</v>
      </c>
      <c r="M12" s="878">
        <f>153*1.13</f>
        <v>172.89</v>
      </c>
      <c r="N12" s="879" t="s">
        <v>1742</v>
      </c>
      <c r="O12" s="765"/>
      <c r="P12" s="880" t="s">
        <v>1743</v>
      </c>
      <c r="Q12" s="881" t="s">
        <v>1744</v>
      </c>
      <c r="R12" s="881" t="s">
        <v>584</v>
      </c>
      <c r="S12" s="881" t="s">
        <v>642</v>
      </c>
      <c r="T12" s="881" t="s">
        <v>642</v>
      </c>
      <c r="U12" s="757"/>
      <c r="V12" s="504" t="s">
        <v>584</v>
      </c>
      <c r="W12" s="803"/>
      <c r="X12" s="505"/>
      <c r="AB12" s="28"/>
      <c r="AC12" s="28"/>
      <c r="AE12" s="37"/>
    </row>
    <row r="13">
      <c r="A13" s="744" t="s">
        <v>1737</v>
      </c>
      <c r="B13" s="744" t="s">
        <v>1737</v>
      </c>
      <c r="C13" s="758" t="s">
        <v>1745</v>
      </c>
      <c r="D13" s="882" t="s">
        <v>1746</v>
      </c>
      <c r="E13" s="882" t="s">
        <v>1747</v>
      </c>
      <c r="F13" s="744" t="s">
        <v>640</v>
      </c>
      <c r="G13" s="883">
        <v>130.0</v>
      </c>
      <c r="H13" s="757"/>
      <c r="I13" s="884">
        <v>130.0</v>
      </c>
      <c r="J13" s="781">
        <v>5.5</v>
      </c>
      <c r="K13" s="781">
        <v>0.0</v>
      </c>
      <c r="L13" s="781">
        <v>0.0</v>
      </c>
      <c r="M13" s="878">
        <v>646.36</v>
      </c>
      <c r="N13" s="879" t="s">
        <v>1748</v>
      </c>
      <c r="O13" s="772"/>
      <c r="P13" s="885" t="s">
        <v>1749</v>
      </c>
      <c r="Q13" s="881" t="s">
        <v>724</v>
      </c>
      <c r="R13" s="881" t="s">
        <v>584</v>
      </c>
      <c r="S13" s="881" t="s">
        <v>1750</v>
      </c>
      <c r="T13" s="886"/>
      <c r="U13" s="757"/>
      <c r="V13" s="504" t="s">
        <v>584</v>
      </c>
      <c r="W13" s="803"/>
      <c r="X13" s="505"/>
      <c r="AB13" s="28"/>
      <c r="AC13" s="28"/>
      <c r="AE13" s="37"/>
    </row>
    <row r="14">
      <c r="A14" s="744" t="s">
        <v>1737</v>
      </c>
      <c r="B14" s="744" t="s">
        <v>1737</v>
      </c>
      <c r="C14" s="765" t="s">
        <v>1751</v>
      </c>
      <c r="D14" s="741" t="s">
        <v>1752</v>
      </c>
      <c r="E14" s="741" t="s">
        <v>1753</v>
      </c>
      <c r="F14" s="741" t="s">
        <v>1741</v>
      </c>
      <c r="G14" s="887">
        <v>1.0</v>
      </c>
      <c r="H14" s="757"/>
      <c r="I14" s="884">
        <v>1.0</v>
      </c>
      <c r="J14" s="781">
        <v>13.99</v>
      </c>
      <c r="K14" s="781">
        <v>0.0</v>
      </c>
      <c r="L14" s="781">
        <v>0.0</v>
      </c>
      <c r="M14" s="888">
        <f>13.99*1.13</f>
        <v>15.8087</v>
      </c>
      <c r="N14" s="879" t="s">
        <v>701</v>
      </c>
      <c r="O14" s="765"/>
      <c r="P14" s="889" t="s">
        <v>1754</v>
      </c>
      <c r="Q14" s="881" t="s">
        <v>724</v>
      </c>
      <c r="R14" s="881" t="s">
        <v>584</v>
      </c>
      <c r="S14" s="881" t="s">
        <v>642</v>
      </c>
      <c r="T14" s="881" t="s">
        <v>642</v>
      </c>
      <c r="U14" s="757"/>
      <c r="V14" s="504" t="s">
        <v>584</v>
      </c>
      <c r="W14" s="803"/>
      <c r="X14" s="505"/>
      <c r="AB14" s="28"/>
      <c r="AC14" s="28"/>
      <c r="AE14" s="37"/>
    </row>
    <row r="15">
      <c r="A15" s="744" t="s">
        <v>1737</v>
      </c>
      <c r="B15" s="744" t="s">
        <v>1737</v>
      </c>
      <c r="C15" s="765" t="s">
        <v>1755</v>
      </c>
      <c r="D15" s="741" t="s">
        <v>642</v>
      </c>
      <c r="E15" s="741" t="s">
        <v>1756</v>
      </c>
      <c r="F15" s="741" t="s">
        <v>640</v>
      </c>
      <c r="G15" s="890">
        <v>4.0</v>
      </c>
      <c r="H15" s="757"/>
      <c r="I15" s="884">
        <v>4.0</v>
      </c>
      <c r="J15" s="781">
        <v>44.99</v>
      </c>
      <c r="K15" s="781">
        <v>0.0</v>
      </c>
      <c r="L15" s="781">
        <v>0.0</v>
      </c>
      <c r="M15" s="888">
        <v>203.35</v>
      </c>
      <c r="N15" s="879" t="s">
        <v>1757</v>
      </c>
      <c r="O15" s="765"/>
      <c r="P15" s="891" t="s">
        <v>1758</v>
      </c>
      <c r="Q15" s="881" t="s">
        <v>724</v>
      </c>
      <c r="R15" s="881" t="s">
        <v>584</v>
      </c>
      <c r="S15" s="881" t="s">
        <v>642</v>
      </c>
      <c r="T15" s="881" t="s">
        <v>642</v>
      </c>
      <c r="U15" s="757"/>
      <c r="V15" s="504" t="s">
        <v>584</v>
      </c>
      <c r="W15" s="803"/>
      <c r="X15" s="505"/>
      <c r="AB15" s="28"/>
      <c r="AC15" s="28"/>
      <c r="AE15" s="37"/>
    </row>
    <row r="16">
      <c r="A16" s="744" t="s">
        <v>1737</v>
      </c>
      <c r="B16" s="744" t="s">
        <v>1737</v>
      </c>
      <c r="C16" s="892" t="s">
        <v>1759</v>
      </c>
      <c r="D16" s="745" t="s">
        <v>642</v>
      </c>
      <c r="E16" s="893" t="s">
        <v>1760</v>
      </c>
      <c r="F16" s="780" t="s">
        <v>1741</v>
      </c>
      <c r="G16" s="894">
        <v>5.0</v>
      </c>
      <c r="H16" s="895"/>
      <c r="I16" s="884">
        <v>5.0</v>
      </c>
      <c r="J16" s="781">
        <v>2.98</v>
      </c>
      <c r="K16" s="781">
        <v>0.0</v>
      </c>
      <c r="L16" s="781">
        <v>0.0</v>
      </c>
      <c r="M16" s="888">
        <f>(2.87*5)*1.13</f>
        <v>16.2155</v>
      </c>
      <c r="N16" s="896" t="s">
        <v>1761</v>
      </c>
      <c r="O16" s="757"/>
      <c r="P16" s="897" t="s">
        <v>1762</v>
      </c>
      <c r="Q16" s="898" t="s">
        <v>724</v>
      </c>
      <c r="R16" s="881" t="s">
        <v>584</v>
      </c>
      <c r="S16" s="881" t="s">
        <v>642</v>
      </c>
      <c r="T16" s="881" t="s">
        <v>642</v>
      </c>
      <c r="U16" s="757"/>
      <c r="V16" s="504" t="s">
        <v>584</v>
      </c>
      <c r="W16" s="237"/>
      <c r="X16" s="505"/>
      <c r="AB16" s="28"/>
      <c r="AC16" s="28"/>
      <c r="AE16" s="37"/>
    </row>
    <row r="17">
      <c r="A17" s="237"/>
      <c r="B17" s="237"/>
      <c r="C17" s="28"/>
      <c r="E17" s="28"/>
      <c r="F17" s="237"/>
      <c r="I17" s="237"/>
      <c r="J17" s="240"/>
      <c r="K17" s="240"/>
      <c r="L17" s="240"/>
      <c r="M17" s="899">
        <f>SUM(M5:M16)</f>
        <v>2424.1842</v>
      </c>
      <c r="N17" s="900"/>
      <c r="P17" s="242"/>
      <c r="Q17" s="242"/>
      <c r="R17" s="242"/>
      <c r="S17" s="242"/>
      <c r="T17" s="242"/>
      <c r="V17" s="504"/>
      <c r="W17" s="237"/>
      <c r="X17" s="505"/>
      <c r="AB17" s="28"/>
      <c r="AC17" s="28"/>
      <c r="AE17" s="37"/>
    </row>
    <row r="18">
      <c r="A18" s="237"/>
      <c r="B18" s="237"/>
      <c r="C18" s="28"/>
      <c r="E18" s="28"/>
      <c r="F18" s="237"/>
      <c r="I18" s="237"/>
      <c r="J18" s="460"/>
      <c r="K18" s="460"/>
      <c r="L18" s="460"/>
      <c r="M18" s="794"/>
      <c r="P18" s="242"/>
      <c r="Q18" s="242"/>
      <c r="R18" s="242"/>
      <c r="S18" s="242"/>
      <c r="T18" s="242"/>
      <c r="V18" s="504"/>
      <c r="W18" s="237"/>
      <c r="X18" s="505"/>
      <c r="AB18" s="28"/>
      <c r="AC18" s="28"/>
      <c r="AE18" s="37"/>
    </row>
    <row r="19">
      <c r="A19" s="237"/>
      <c r="B19" s="237"/>
      <c r="C19" s="237"/>
      <c r="D19" s="22"/>
      <c r="E19" s="22"/>
      <c r="F19" s="237"/>
      <c r="I19" s="237"/>
      <c r="J19" s="901"/>
      <c r="K19" s="460"/>
      <c r="L19" s="460"/>
      <c r="M19" s="794"/>
      <c r="O19" s="902"/>
      <c r="P19" s="903"/>
      <c r="Q19" s="903"/>
      <c r="R19" s="903"/>
      <c r="S19" s="903"/>
      <c r="T19" s="903"/>
      <c r="V19" s="504"/>
      <c r="W19" s="237"/>
      <c r="X19" s="505"/>
      <c r="AB19" s="28"/>
      <c r="AC19" s="28"/>
      <c r="AE19" s="37"/>
    </row>
    <row r="20">
      <c r="A20" s="237"/>
      <c r="B20" s="237"/>
      <c r="C20" s="237"/>
      <c r="D20" s="22"/>
      <c r="E20" s="22"/>
      <c r="F20" s="237"/>
      <c r="I20" s="237"/>
      <c r="J20" s="817"/>
      <c r="K20" s="460"/>
      <c r="L20" s="460"/>
      <c r="M20" s="794"/>
      <c r="P20" s="903"/>
      <c r="Q20" s="903"/>
      <c r="R20" s="903"/>
      <c r="S20" s="903"/>
      <c r="T20" s="903"/>
      <c r="V20" s="504"/>
      <c r="W20" s="237"/>
      <c r="X20" s="505"/>
      <c r="AB20" s="28"/>
      <c r="AC20" s="28"/>
      <c r="AE20" s="37"/>
    </row>
    <row r="21">
      <c r="A21" s="237"/>
      <c r="B21" s="237"/>
      <c r="E21" s="22"/>
      <c r="F21" s="237"/>
      <c r="I21" s="237"/>
      <c r="J21" s="460"/>
      <c r="K21" s="460"/>
      <c r="L21" s="460"/>
      <c r="M21" s="794"/>
      <c r="P21" s="242"/>
      <c r="Q21" s="242"/>
      <c r="R21" s="242"/>
      <c r="S21" s="242"/>
      <c r="T21" s="242"/>
      <c r="V21" s="504"/>
      <c r="W21" s="237"/>
      <c r="X21" s="505"/>
      <c r="AB21" s="28"/>
      <c r="AC21" s="28"/>
      <c r="AE21" s="37"/>
    </row>
    <row r="22">
      <c r="A22" s="237"/>
      <c r="B22" s="237"/>
      <c r="E22" s="22"/>
      <c r="F22" s="237"/>
      <c r="I22" s="237"/>
      <c r="J22" s="817"/>
      <c r="K22" s="460"/>
      <c r="L22" s="460"/>
      <c r="M22" s="817"/>
      <c r="P22" s="903"/>
      <c r="Q22" s="903"/>
      <c r="R22" s="903"/>
      <c r="S22" s="903"/>
      <c r="T22" s="903"/>
      <c r="V22" s="504"/>
      <c r="W22" s="237"/>
      <c r="X22" s="505"/>
      <c r="AB22" s="28"/>
      <c r="AC22" s="28"/>
      <c r="AE22" s="37"/>
    </row>
    <row r="23">
      <c r="A23" s="237"/>
      <c r="B23" s="237"/>
      <c r="C23" s="37"/>
      <c r="D23" s="37"/>
      <c r="E23" s="37"/>
      <c r="F23" s="237"/>
      <c r="G23" s="37"/>
      <c r="H23" s="37"/>
      <c r="I23" s="237"/>
      <c r="M23" s="240"/>
      <c r="N23" s="37"/>
      <c r="P23" s="242"/>
      <c r="Q23" s="242"/>
      <c r="R23" s="242"/>
      <c r="S23" s="242"/>
      <c r="T23" s="242"/>
      <c r="U23" s="37"/>
      <c r="V23" s="904"/>
      <c r="W23" s="242"/>
      <c r="X23" s="505"/>
      <c r="AB23" s="28"/>
      <c r="AC23" s="28"/>
      <c r="AE23" s="37"/>
    </row>
    <row r="24">
      <c r="A24" s="237"/>
      <c r="B24" s="237"/>
      <c r="F24" s="237"/>
      <c r="I24" s="237"/>
      <c r="M24" s="794"/>
      <c r="P24" s="242"/>
      <c r="Q24" s="242"/>
      <c r="R24" s="242"/>
      <c r="S24" s="242"/>
      <c r="T24" s="242"/>
      <c r="V24" s="504"/>
      <c r="W24" s="237"/>
      <c r="X24" s="505"/>
      <c r="AB24" s="28"/>
      <c r="AC24" s="28"/>
      <c r="AE24" s="37"/>
    </row>
    <row r="25">
      <c r="A25" s="237"/>
      <c r="B25" s="237"/>
      <c r="C25" s="237"/>
      <c r="E25" s="28"/>
      <c r="F25" s="237"/>
      <c r="I25" s="237"/>
      <c r="J25" s="460"/>
      <c r="K25" s="460"/>
      <c r="L25" s="460"/>
      <c r="M25" s="794"/>
      <c r="P25" s="242"/>
      <c r="Q25" s="242"/>
      <c r="R25" s="242"/>
      <c r="S25" s="242"/>
      <c r="T25" s="242"/>
      <c r="V25" s="504"/>
      <c r="W25" s="237"/>
      <c r="X25" s="505"/>
      <c r="AB25" s="28"/>
      <c r="AC25" s="28"/>
      <c r="AE25" s="37"/>
    </row>
    <row r="26">
      <c r="A26" s="237"/>
      <c r="B26" s="237"/>
      <c r="C26" s="237"/>
      <c r="E26" s="28"/>
      <c r="F26" s="237"/>
      <c r="I26" s="237"/>
      <c r="J26" s="460"/>
      <c r="K26" s="460"/>
      <c r="L26" s="460"/>
      <c r="M26" s="794"/>
      <c r="P26" s="242"/>
      <c r="Q26" s="242"/>
      <c r="R26" s="242"/>
      <c r="S26" s="242"/>
      <c r="T26" s="242"/>
      <c r="V26" s="85"/>
      <c r="X26" s="505"/>
      <c r="AB26" s="28"/>
      <c r="AC26" s="28"/>
      <c r="AE26" s="37"/>
    </row>
    <row r="27">
      <c r="A27" s="237"/>
      <c r="B27" s="237"/>
      <c r="E27" s="22"/>
      <c r="F27" s="237"/>
      <c r="I27" s="237"/>
      <c r="J27" s="460"/>
      <c r="K27" s="460"/>
      <c r="L27" s="460"/>
      <c r="M27" s="794"/>
      <c r="P27" s="242"/>
      <c r="Q27" s="242"/>
      <c r="R27" s="242"/>
      <c r="S27" s="242"/>
      <c r="T27" s="242"/>
      <c r="V27" s="504"/>
      <c r="W27" s="237"/>
      <c r="X27" s="505"/>
      <c r="AB27" s="28"/>
      <c r="AC27" s="28"/>
      <c r="AE27" s="37"/>
    </row>
    <row r="28">
      <c r="A28" s="237"/>
      <c r="B28" s="237"/>
      <c r="F28" s="237"/>
      <c r="I28" s="237"/>
      <c r="K28" s="817"/>
      <c r="L28" s="817"/>
      <c r="M28" s="460"/>
      <c r="P28" s="903"/>
      <c r="Q28" s="903"/>
      <c r="R28" s="903"/>
      <c r="S28" s="903"/>
      <c r="T28" s="903"/>
      <c r="V28" s="504"/>
      <c r="W28" s="803"/>
      <c r="X28" s="505"/>
      <c r="AB28" s="28"/>
      <c r="AC28" s="28"/>
      <c r="AE28" s="37"/>
    </row>
    <row r="29">
      <c r="A29" s="237"/>
      <c r="B29" s="237"/>
      <c r="C29" s="37"/>
      <c r="D29" s="37"/>
      <c r="E29" s="37"/>
      <c r="F29" s="237"/>
      <c r="G29" s="37"/>
      <c r="H29" s="37"/>
      <c r="I29" s="237"/>
      <c r="J29" s="37"/>
      <c r="N29" s="905"/>
      <c r="P29" s="903"/>
      <c r="Q29" s="903"/>
      <c r="R29" s="903"/>
      <c r="S29" s="903"/>
      <c r="T29" s="903"/>
      <c r="V29" s="504"/>
      <c r="W29" s="237"/>
      <c r="X29" s="505"/>
      <c r="AB29" s="28"/>
      <c r="AC29" s="28"/>
      <c r="AE29" s="37"/>
    </row>
    <row r="30">
      <c r="A30" s="237"/>
      <c r="B30" s="237"/>
      <c r="D30" s="28"/>
      <c r="E30" s="906"/>
      <c r="F30" s="237"/>
      <c r="G30" s="793"/>
      <c r="H30" s="793"/>
      <c r="I30" s="237"/>
      <c r="J30" s="907"/>
      <c r="M30" s="907"/>
      <c r="N30" s="499"/>
      <c r="P30" s="801"/>
      <c r="Q30" s="801"/>
      <c r="R30" s="801"/>
      <c r="S30" s="801"/>
      <c r="T30" s="801"/>
      <c r="V30" s="504"/>
      <c r="W30" s="237"/>
      <c r="X30" s="505"/>
      <c r="AB30" s="28"/>
      <c r="AC30" s="28"/>
      <c r="AE30" s="37"/>
    </row>
    <row r="31">
      <c r="A31" s="237"/>
      <c r="B31" s="237"/>
      <c r="D31" s="28"/>
      <c r="E31" s="906"/>
      <c r="F31" s="237"/>
      <c r="G31" s="793"/>
      <c r="H31" s="793"/>
      <c r="I31" s="237"/>
      <c r="J31" s="907"/>
      <c r="M31" s="907"/>
      <c r="N31" s="499"/>
      <c r="P31" s="801"/>
      <c r="Q31" s="801"/>
      <c r="R31" s="801"/>
      <c r="S31" s="801"/>
      <c r="T31" s="801"/>
      <c r="V31" s="504"/>
      <c r="W31" s="237"/>
      <c r="X31" s="505"/>
      <c r="AB31" s="28"/>
      <c r="AC31" s="28"/>
      <c r="AE31" s="37"/>
    </row>
    <row r="32">
      <c r="A32" s="237"/>
      <c r="B32" s="237"/>
      <c r="C32" s="28"/>
      <c r="D32" s="908"/>
      <c r="E32" s="238"/>
      <c r="F32" s="237"/>
      <c r="G32" s="37"/>
      <c r="H32" s="37"/>
      <c r="I32" s="237"/>
      <c r="M32" s="907"/>
      <c r="N32" s="28"/>
      <c r="P32" s="875"/>
      <c r="Q32" s="875"/>
      <c r="R32" s="875"/>
      <c r="S32" s="875"/>
      <c r="T32" s="875"/>
      <c r="V32" s="504"/>
      <c r="W32" s="237"/>
      <c r="X32" s="505"/>
      <c r="AB32" s="28"/>
      <c r="AC32" s="28"/>
      <c r="AE32" s="37"/>
    </row>
    <row r="33">
      <c r="A33" s="237"/>
      <c r="B33" s="237"/>
      <c r="C33" s="28"/>
      <c r="D33" s="28"/>
      <c r="E33" s="906"/>
      <c r="F33" s="237"/>
      <c r="G33" s="793"/>
      <c r="I33" s="237"/>
      <c r="J33" s="817"/>
      <c r="K33" s="460"/>
      <c r="L33" s="460"/>
      <c r="M33" s="868"/>
      <c r="N33" s="28"/>
      <c r="P33" s="875"/>
      <c r="Q33" s="875"/>
      <c r="R33" s="875"/>
      <c r="S33" s="875"/>
      <c r="T33" s="875"/>
      <c r="V33" s="504"/>
      <c r="W33" s="237"/>
      <c r="X33" s="505"/>
      <c r="AB33" s="28"/>
      <c r="AC33" s="28"/>
      <c r="AE33" s="37"/>
    </row>
    <row r="34">
      <c r="A34" s="237"/>
      <c r="B34" s="237"/>
      <c r="C34" s="28"/>
      <c r="D34" s="28"/>
      <c r="E34" s="906"/>
      <c r="F34" s="237"/>
      <c r="G34" s="793"/>
      <c r="I34" s="237"/>
      <c r="J34" s="240"/>
      <c r="K34" s="460"/>
      <c r="L34" s="460"/>
      <c r="M34" s="907"/>
      <c r="N34" s="28"/>
      <c r="P34" s="875"/>
      <c r="Q34" s="875"/>
      <c r="R34" s="875"/>
      <c r="S34" s="875"/>
      <c r="T34" s="875"/>
      <c r="U34" s="37"/>
      <c r="V34" s="504"/>
      <c r="W34" s="237"/>
      <c r="X34" s="505"/>
      <c r="AB34" s="28"/>
      <c r="AC34" s="28"/>
      <c r="AE34" s="37"/>
    </row>
    <row r="35">
      <c r="A35" s="237"/>
      <c r="B35" s="237"/>
      <c r="C35" s="28"/>
      <c r="D35" s="28"/>
      <c r="E35" s="238"/>
      <c r="F35" s="237"/>
      <c r="G35" s="793"/>
      <c r="I35" s="237"/>
      <c r="K35" s="460"/>
      <c r="L35" s="460"/>
      <c r="M35" s="909"/>
      <c r="N35" s="28"/>
      <c r="P35" s="875"/>
      <c r="Q35" s="875"/>
      <c r="R35" s="875"/>
      <c r="S35" s="875"/>
      <c r="T35" s="875"/>
      <c r="V35" s="504"/>
      <c r="W35" s="237"/>
      <c r="X35" s="505"/>
      <c r="AB35" s="28"/>
      <c r="AC35" s="28"/>
      <c r="AE35" s="37"/>
    </row>
    <row r="36">
      <c r="A36" s="237"/>
      <c r="B36" s="237"/>
      <c r="C36" s="28"/>
      <c r="D36" s="28"/>
      <c r="E36" s="906"/>
      <c r="F36" s="237"/>
      <c r="G36" s="793"/>
      <c r="I36" s="237"/>
      <c r="J36" s="240"/>
      <c r="K36" s="460"/>
      <c r="L36" s="460"/>
      <c r="M36" s="907"/>
      <c r="N36" s="28"/>
      <c r="P36" s="875"/>
      <c r="Q36" s="875"/>
      <c r="R36" s="875"/>
      <c r="S36" s="875"/>
      <c r="T36" s="875"/>
      <c r="U36" s="37"/>
      <c r="V36" s="504"/>
      <c r="W36" s="237"/>
      <c r="X36" s="505"/>
      <c r="AB36" s="28"/>
      <c r="AC36" s="28"/>
      <c r="AE36" s="37"/>
    </row>
    <row r="37">
      <c r="A37" s="237"/>
      <c r="B37" s="237"/>
      <c r="C37" s="28"/>
      <c r="D37" s="28"/>
      <c r="E37" s="906"/>
      <c r="F37" s="237"/>
      <c r="G37" s="793"/>
      <c r="I37" s="237"/>
      <c r="J37" s="240"/>
      <c r="K37" s="460"/>
      <c r="L37" s="460"/>
      <c r="M37" s="907"/>
      <c r="N37" s="28"/>
      <c r="P37" s="875"/>
      <c r="Q37" s="875"/>
      <c r="R37" s="875"/>
      <c r="S37" s="875"/>
      <c r="T37" s="875"/>
      <c r="U37" s="37"/>
      <c r="V37" s="504"/>
      <c r="W37" s="237"/>
      <c r="X37" s="505"/>
      <c r="AB37" s="28"/>
      <c r="AC37" s="28"/>
      <c r="AE37" s="37"/>
    </row>
    <row r="38">
      <c r="A38" s="237"/>
      <c r="B38" s="237"/>
      <c r="C38" s="28"/>
      <c r="D38" s="28"/>
      <c r="E38" s="906"/>
      <c r="F38" s="237"/>
      <c r="G38" s="793"/>
      <c r="H38" s="28"/>
      <c r="I38" s="237"/>
      <c r="J38" s="240"/>
      <c r="K38" s="909"/>
      <c r="L38" s="909"/>
      <c r="M38" s="907"/>
      <c r="N38" s="28"/>
      <c r="O38" s="28"/>
      <c r="P38" s="875"/>
      <c r="Q38" s="875"/>
      <c r="R38" s="875"/>
      <c r="S38" s="875"/>
      <c r="T38" s="875"/>
      <c r="U38" s="37"/>
      <c r="V38" s="504"/>
      <c r="W38" s="237"/>
      <c r="X38" s="505"/>
      <c r="AB38" s="28"/>
      <c r="AC38" s="28"/>
      <c r="AE38" s="37"/>
    </row>
    <row r="39">
      <c r="A39" s="237"/>
      <c r="B39" s="237"/>
      <c r="C39" s="28"/>
      <c r="D39" s="28"/>
      <c r="E39" s="906"/>
      <c r="F39" s="237"/>
      <c r="G39" s="793"/>
      <c r="I39" s="237"/>
      <c r="J39" s="240"/>
      <c r="M39" s="907"/>
      <c r="N39" s="28"/>
      <c r="P39" s="875"/>
      <c r="Q39" s="875"/>
      <c r="R39" s="875"/>
      <c r="S39" s="875"/>
      <c r="T39" s="875"/>
      <c r="U39" s="37"/>
      <c r="V39" s="504"/>
      <c r="W39" s="237"/>
      <c r="X39" s="505"/>
      <c r="AB39" s="28"/>
      <c r="AC39" s="28"/>
      <c r="AE39" s="37"/>
    </row>
    <row r="40">
      <c r="A40" s="237"/>
      <c r="B40" s="237"/>
      <c r="C40" s="28"/>
      <c r="D40" s="28"/>
      <c r="E40" s="906"/>
      <c r="F40" s="237"/>
      <c r="G40" s="793"/>
      <c r="H40" s="910"/>
      <c r="I40" s="237"/>
      <c r="J40" s="240"/>
      <c r="M40" s="907"/>
      <c r="N40" s="28"/>
      <c r="P40" s="875"/>
      <c r="Q40" s="875"/>
      <c r="R40" s="875"/>
      <c r="S40" s="875"/>
      <c r="T40" s="875"/>
      <c r="U40" s="37"/>
      <c r="V40" s="504"/>
      <c r="W40" s="237"/>
      <c r="X40" s="505"/>
      <c r="AB40" s="28"/>
      <c r="AC40" s="28"/>
      <c r="AE40" s="37"/>
    </row>
    <row r="41">
      <c r="A41" s="237"/>
      <c r="B41" s="237"/>
      <c r="C41" s="28"/>
      <c r="D41" s="28"/>
      <c r="E41" s="906"/>
      <c r="F41" s="237"/>
      <c r="G41" s="793"/>
      <c r="H41" s="910"/>
      <c r="I41" s="237"/>
      <c r="J41" s="240"/>
      <c r="M41" s="907"/>
      <c r="N41" s="28"/>
      <c r="P41" s="875"/>
      <c r="Q41" s="875"/>
      <c r="R41" s="875"/>
      <c r="S41" s="875"/>
      <c r="T41" s="875"/>
      <c r="U41" s="37"/>
      <c r="V41" s="504"/>
      <c r="W41" s="237"/>
      <c r="X41" s="505"/>
      <c r="AB41" s="28"/>
      <c r="AC41" s="28"/>
      <c r="AE41" s="37"/>
    </row>
    <row r="42">
      <c r="A42" s="237"/>
      <c r="B42" s="237"/>
      <c r="C42" s="28"/>
      <c r="D42" s="28"/>
      <c r="E42" s="906"/>
      <c r="F42" s="237"/>
      <c r="G42" s="793"/>
      <c r="I42" s="237"/>
      <c r="J42" s="37"/>
      <c r="M42" s="907"/>
      <c r="N42" s="28"/>
      <c r="P42" s="875"/>
      <c r="Q42" s="875"/>
      <c r="R42" s="875"/>
      <c r="S42" s="875"/>
      <c r="T42" s="875"/>
      <c r="V42" s="504"/>
      <c r="W42" s="237"/>
      <c r="X42" s="505"/>
      <c r="AB42" s="28"/>
      <c r="AC42" s="28"/>
      <c r="AE42" s="37"/>
    </row>
    <row r="43">
      <c r="A43" s="237"/>
      <c r="B43" s="237"/>
      <c r="C43" s="69"/>
      <c r="D43" s="237"/>
      <c r="E43" s="803"/>
      <c r="F43" s="237"/>
      <c r="G43" s="37"/>
      <c r="H43" s="37"/>
      <c r="I43" s="237"/>
      <c r="J43" s="817"/>
      <c r="K43" s="907"/>
      <c r="L43" s="907"/>
      <c r="M43" s="460"/>
      <c r="N43" s="28"/>
      <c r="O43" s="905"/>
      <c r="P43" s="875"/>
      <c r="Q43" s="875"/>
      <c r="R43" s="875"/>
      <c r="S43" s="875"/>
      <c r="T43" s="875"/>
      <c r="V43" s="504"/>
      <c r="W43" s="237"/>
      <c r="X43" s="505"/>
      <c r="AB43" s="28"/>
      <c r="AC43" s="28"/>
      <c r="AE43" s="37"/>
    </row>
    <row r="44">
      <c r="A44" s="237"/>
      <c r="B44" s="237"/>
      <c r="F44" s="237"/>
      <c r="O44" s="911"/>
      <c r="P44" s="912"/>
      <c r="Q44" s="912"/>
      <c r="R44" s="912"/>
      <c r="S44" s="912"/>
      <c r="T44" s="912"/>
      <c r="V44" s="85"/>
      <c r="X44" s="505"/>
      <c r="AB44" s="28"/>
      <c r="AC44" s="28"/>
      <c r="AE44" s="37"/>
    </row>
    <row r="45">
      <c r="A45" s="237"/>
      <c r="B45" s="237"/>
      <c r="F45" s="237"/>
      <c r="O45" s="911"/>
      <c r="P45" s="912"/>
      <c r="Q45" s="912"/>
      <c r="R45" s="912"/>
      <c r="S45" s="912"/>
      <c r="T45" s="912"/>
      <c r="V45" s="85"/>
      <c r="X45" s="505"/>
      <c r="AB45" s="28"/>
      <c r="AC45" s="28"/>
      <c r="AE45" s="37"/>
    </row>
    <row r="46">
      <c r="A46" s="237"/>
      <c r="B46" s="237"/>
      <c r="F46" s="237"/>
      <c r="O46" s="911"/>
      <c r="P46" s="912"/>
      <c r="Q46" s="912"/>
      <c r="R46" s="912"/>
      <c r="S46" s="912"/>
      <c r="T46" s="912"/>
      <c r="V46" s="85"/>
      <c r="X46" s="505"/>
      <c r="AB46" s="28"/>
      <c r="AC46" s="28"/>
      <c r="AE46" s="37"/>
    </row>
    <row r="47">
      <c r="A47" s="237"/>
      <c r="B47" s="237"/>
      <c r="C47" s="69"/>
      <c r="D47" s="69"/>
      <c r="E47" s="69"/>
      <c r="F47" s="237"/>
      <c r="G47" s="793"/>
      <c r="H47" s="793"/>
      <c r="I47" s="909"/>
      <c r="J47" s="907"/>
      <c r="K47" s="28"/>
      <c r="L47" s="28"/>
      <c r="M47" s="913"/>
      <c r="P47" s="242"/>
      <c r="Q47" s="242"/>
      <c r="R47" s="242"/>
      <c r="S47" s="242"/>
      <c r="T47" s="242"/>
      <c r="V47" s="85"/>
      <c r="X47" s="505"/>
      <c r="AB47" s="28"/>
      <c r="AC47" s="28"/>
      <c r="AE47" s="37"/>
    </row>
    <row r="48">
      <c r="A48" s="28"/>
      <c r="B48" s="237"/>
      <c r="C48" s="69"/>
      <c r="D48" s="28"/>
      <c r="E48" s="28"/>
      <c r="F48" s="914"/>
      <c r="G48" s="793"/>
      <c r="H48" s="793"/>
      <c r="I48" s="915"/>
      <c r="J48" s="907"/>
      <c r="K48" s="28"/>
      <c r="L48" s="28"/>
      <c r="M48" s="913"/>
      <c r="P48" s="242"/>
      <c r="Q48" s="242"/>
      <c r="R48" s="242"/>
      <c r="S48" s="242"/>
      <c r="T48" s="242"/>
      <c r="V48" s="85"/>
      <c r="X48" s="505"/>
      <c r="AB48" s="28"/>
      <c r="AC48" s="28"/>
      <c r="AE48" s="37"/>
    </row>
    <row r="49">
      <c r="A49" s="237"/>
      <c r="B49" s="237"/>
      <c r="C49" s="916"/>
      <c r="D49" s="69"/>
      <c r="E49" s="69"/>
      <c r="F49" s="914"/>
      <c r="G49" s="497"/>
      <c r="H49" s="793"/>
      <c r="I49" s="915"/>
      <c r="J49" s="907"/>
      <c r="K49" s="28"/>
      <c r="L49" s="28"/>
      <c r="M49" s="913"/>
      <c r="P49" s="903"/>
      <c r="Q49" s="903"/>
      <c r="R49" s="903"/>
      <c r="S49" s="903"/>
      <c r="T49" s="903"/>
      <c r="V49" s="917"/>
      <c r="W49" s="37"/>
      <c r="X49" s="505"/>
      <c r="AB49" s="28"/>
      <c r="AC49" s="28"/>
      <c r="AE49" s="37"/>
    </row>
    <row r="50">
      <c r="A50" s="237"/>
      <c r="B50" s="237"/>
      <c r="C50" s="916"/>
      <c r="D50" s="69"/>
      <c r="E50" s="69"/>
      <c r="F50" s="914"/>
      <c r="G50" s="497"/>
      <c r="H50" s="793"/>
      <c r="I50" s="907"/>
      <c r="J50" s="907"/>
      <c r="K50" s="28"/>
      <c r="L50" s="28"/>
      <c r="M50" s="913"/>
      <c r="P50" s="903"/>
      <c r="Q50" s="903"/>
      <c r="R50" s="903"/>
      <c r="S50" s="903"/>
      <c r="T50" s="903"/>
      <c r="V50" s="917"/>
      <c r="W50" s="37"/>
      <c r="X50" s="505"/>
      <c r="AB50" s="28"/>
      <c r="AC50" s="28"/>
      <c r="AE50" s="37"/>
    </row>
    <row r="51">
      <c r="A51" s="237"/>
      <c r="B51" s="237"/>
      <c r="C51" s="916"/>
      <c r="D51" s="26"/>
      <c r="E51" s="69"/>
      <c r="F51" s="914"/>
      <c r="G51" s="497"/>
      <c r="H51" s="793"/>
      <c r="I51" s="907"/>
      <c r="J51" s="907"/>
      <c r="K51" s="28"/>
      <c r="L51" s="28"/>
      <c r="M51" s="913"/>
      <c r="P51" s="903"/>
      <c r="Q51" s="903"/>
      <c r="R51" s="903"/>
      <c r="S51" s="903"/>
      <c r="T51" s="903"/>
      <c r="V51" s="917"/>
      <c r="W51" s="37"/>
      <c r="X51" s="505"/>
      <c r="AB51" s="28"/>
      <c r="AC51" s="28"/>
      <c r="AE51" s="37"/>
    </row>
    <row r="52">
      <c r="A52" s="237"/>
      <c r="B52" s="237"/>
      <c r="C52" s="916"/>
      <c r="D52" s="918"/>
      <c r="E52" s="69"/>
      <c r="F52" s="914"/>
      <c r="G52" s="497"/>
      <c r="H52" s="793"/>
      <c r="I52" s="803"/>
      <c r="J52" s="907"/>
      <c r="K52" s="28"/>
      <c r="L52" s="28"/>
      <c r="M52" s="913"/>
      <c r="P52" s="903"/>
      <c r="Q52" s="903"/>
      <c r="R52" s="903"/>
      <c r="S52" s="903"/>
      <c r="T52" s="903"/>
      <c r="V52" s="917"/>
      <c r="W52" s="37"/>
      <c r="X52" s="505"/>
      <c r="AB52" s="28"/>
      <c r="AC52" s="28"/>
      <c r="AE52" s="37"/>
    </row>
    <row r="53">
      <c r="A53" s="237"/>
      <c r="B53" s="237"/>
      <c r="C53" s="916"/>
      <c r="D53" s="69"/>
      <c r="E53" s="69"/>
      <c r="F53" s="914"/>
      <c r="G53" s="497"/>
      <c r="H53" s="793"/>
      <c r="I53" s="915"/>
      <c r="J53" s="907"/>
      <c r="K53" s="499"/>
      <c r="L53" s="499"/>
      <c r="M53" s="919"/>
      <c r="N53" s="28"/>
      <c r="O53" s="913"/>
      <c r="P53" s="903"/>
      <c r="Q53" s="903"/>
      <c r="R53" s="903"/>
      <c r="S53" s="903"/>
      <c r="T53" s="903"/>
      <c r="V53" s="917"/>
      <c r="W53" s="37"/>
      <c r="X53" s="505"/>
      <c r="AB53" s="28"/>
      <c r="AC53" s="28"/>
      <c r="AE53" s="37"/>
    </row>
    <row r="54">
      <c r="A54" s="237"/>
      <c r="B54" s="237"/>
      <c r="C54" s="28"/>
      <c r="D54" s="128"/>
      <c r="E54" s="28"/>
      <c r="F54" s="914"/>
      <c r="N54" s="28"/>
      <c r="O54" s="913"/>
      <c r="P54" s="242"/>
      <c r="Q54" s="242"/>
      <c r="R54" s="242"/>
      <c r="S54" s="242"/>
      <c r="T54" s="242"/>
      <c r="V54" s="85"/>
      <c r="X54" s="505"/>
      <c r="AB54" s="28"/>
      <c r="AC54" s="28"/>
      <c r="AE54" s="37"/>
    </row>
    <row r="55">
      <c r="A55" s="237"/>
      <c r="B55" s="237"/>
      <c r="C55" s="902"/>
      <c r="D55" s="920"/>
      <c r="E55" s="22"/>
      <c r="F55" s="237"/>
      <c r="G55" s="37"/>
      <c r="H55" s="37"/>
      <c r="I55" s="237"/>
      <c r="J55" s="817"/>
      <c r="K55" s="817"/>
      <c r="L55" s="817"/>
      <c r="M55" s="817"/>
      <c r="N55" s="37"/>
      <c r="O55" s="37"/>
      <c r="P55" s="912"/>
      <c r="Q55" s="912"/>
      <c r="R55" s="912"/>
      <c r="S55" s="912"/>
      <c r="T55" s="912"/>
      <c r="V55" s="504"/>
      <c r="W55" s="237"/>
      <c r="X55" s="505"/>
      <c r="AB55" s="28"/>
      <c r="AC55" s="28"/>
      <c r="AE55" s="37"/>
    </row>
    <row r="56">
      <c r="A56" s="237"/>
      <c r="B56" s="237"/>
      <c r="C56" s="37"/>
      <c r="D56" s="37"/>
      <c r="E56" s="22"/>
      <c r="F56" s="237"/>
      <c r="G56" s="37"/>
      <c r="H56" s="37"/>
      <c r="I56" s="37"/>
      <c r="J56" s="817"/>
      <c r="K56" s="460"/>
      <c r="L56" s="460"/>
      <c r="M56" s="817"/>
      <c r="N56" s="37"/>
      <c r="O56" s="37"/>
      <c r="P56" s="903"/>
      <c r="Q56" s="903"/>
      <c r="R56" s="903"/>
      <c r="S56" s="903"/>
      <c r="T56" s="903"/>
      <c r="V56" s="917"/>
      <c r="W56" s="237"/>
      <c r="X56" s="505"/>
      <c r="AB56" s="28"/>
      <c r="AC56" s="28"/>
      <c r="AE56" s="37"/>
    </row>
    <row r="57">
      <c r="A57" s="237"/>
      <c r="B57" s="237"/>
      <c r="C57" s="37"/>
      <c r="D57" s="22"/>
      <c r="E57" s="22"/>
      <c r="F57" s="237"/>
      <c r="G57" s="37"/>
      <c r="H57" s="37"/>
      <c r="I57" s="37"/>
      <c r="J57" s="817"/>
      <c r="K57" s="460"/>
      <c r="L57" s="460"/>
      <c r="M57" s="817"/>
      <c r="N57" s="37"/>
      <c r="O57" s="905"/>
      <c r="P57" s="903"/>
      <c r="Q57" s="903"/>
      <c r="R57" s="903"/>
      <c r="S57" s="903"/>
      <c r="T57" s="903"/>
      <c r="V57" s="917"/>
      <c r="W57" s="237"/>
      <c r="X57" s="505"/>
      <c r="AB57" s="28"/>
      <c r="AC57" s="28"/>
      <c r="AE57" s="37"/>
    </row>
    <row r="58">
      <c r="A58" s="237"/>
      <c r="B58" s="237"/>
      <c r="C58" s="37"/>
      <c r="D58" s="37"/>
      <c r="E58" s="22"/>
      <c r="F58" s="237"/>
      <c r="G58" s="37"/>
      <c r="H58" s="37"/>
      <c r="I58" s="37"/>
      <c r="J58" s="817"/>
      <c r="K58" s="460"/>
      <c r="L58" s="460"/>
      <c r="M58" s="817"/>
      <c r="N58" s="37"/>
      <c r="O58" s="37"/>
      <c r="P58" s="903"/>
      <c r="Q58" s="903"/>
      <c r="R58" s="903"/>
      <c r="S58" s="903"/>
      <c r="T58" s="903"/>
      <c r="V58" s="917"/>
      <c r="W58" s="237"/>
      <c r="X58" s="505"/>
      <c r="AB58" s="28"/>
      <c r="AC58" s="28"/>
      <c r="AE58" s="37"/>
    </row>
    <row r="59">
      <c r="A59" s="237"/>
      <c r="B59" s="237"/>
      <c r="C59" s="921"/>
      <c r="D59" s="37"/>
      <c r="E59" s="22"/>
      <c r="F59" s="237"/>
      <c r="G59" s="37"/>
      <c r="H59" s="37"/>
      <c r="I59" s="37"/>
      <c r="J59" s="817"/>
      <c r="K59" s="460"/>
      <c r="L59" s="460"/>
      <c r="M59" s="817"/>
      <c r="N59" s="37"/>
      <c r="O59" s="922"/>
      <c r="P59" s="903"/>
      <c r="Q59" s="903"/>
      <c r="R59" s="903"/>
      <c r="S59" s="903"/>
      <c r="T59" s="903"/>
      <c r="V59" s="917"/>
      <c r="W59" s="237"/>
      <c r="X59" s="505"/>
      <c r="AB59" s="28"/>
      <c r="AC59" s="28"/>
      <c r="AE59" s="37"/>
    </row>
    <row r="60">
      <c r="A60" s="237"/>
      <c r="B60" s="237"/>
      <c r="C60" s="37"/>
      <c r="D60" s="22"/>
      <c r="E60" s="22"/>
      <c r="F60" s="237"/>
      <c r="G60" s="37"/>
      <c r="H60" s="37"/>
      <c r="I60" s="37"/>
      <c r="J60" s="817"/>
      <c r="K60" s="460"/>
      <c r="L60" s="460"/>
      <c r="M60" s="817"/>
      <c r="N60" s="37"/>
      <c r="O60" s="37"/>
      <c r="P60" s="903"/>
      <c r="Q60" s="903"/>
      <c r="R60" s="903"/>
      <c r="S60" s="903"/>
      <c r="T60" s="903"/>
      <c r="V60" s="917"/>
      <c r="W60" s="237"/>
      <c r="X60" s="505"/>
      <c r="AB60" s="28"/>
      <c r="AC60" s="28"/>
      <c r="AE60" s="37"/>
    </row>
    <row r="61">
      <c r="A61" s="237"/>
      <c r="B61" s="237"/>
      <c r="C61" s="37"/>
      <c r="D61" s="466"/>
      <c r="E61" s="22"/>
      <c r="F61" s="237"/>
      <c r="G61" s="37"/>
      <c r="H61" s="37"/>
      <c r="I61" s="37"/>
      <c r="J61" s="817"/>
      <c r="K61" s="460"/>
      <c r="L61" s="460"/>
      <c r="M61" s="817"/>
      <c r="N61" s="37"/>
      <c r="O61" s="37"/>
      <c r="P61" s="903"/>
      <c r="Q61" s="903"/>
      <c r="R61" s="903"/>
      <c r="S61" s="903"/>
      <c r="T61" s="903"/>
      <c r="V61" s="917"/>
      <c r="W61" s="237"/>
      <c r="X61" s="505"/>
      <c r="AB61" s="28"/>
      <c r="AC61" s="28"/>
      <c r="AE61" s="37"/>
    </row>
    <row r="62">
      <c r="A62" s="237"/>
      <c r="B62" s="237"/>
      <c r="C62" s="902"/>
      <c r="D62" s="37"/>
      <c r="E62" s="22"/>
      <c r="F62" s="237"/>
      <c r="G62" s="37"/>
      <c r="H62" s="37"/>
      <c r="I62" s="37"/>
      <c r="J62" s="817"/>
      <c r="K62" s="460"/>
      <c r="L62" s="460"/>
      <c r="M62" s="817"/>
      <c r="N62" s="37"/>
      <c r="O62" s="902"/>
      <c r="P62" s="903"/>
      <c r="Q62" s="903"/>
      <c r="R62" s="903"/>
      <c r="S62" s="903"/>
      <c r="T62" s="903"/>
      <c r="V62" s="917"/>
      <c r="W62" s="237"/>
      <c r="X62" s="505"/>
      <c r="AB62" s="28"/>
      <c r="AC62" s="28"/>
      <c r="AE62" s="37"/>
    </row>
    <row r="63">
      <c r="A63" s="923"/>
      <c r="B63" s="237"/>
      <c r="C63" s="924"/>
      <c r="D63" s="149"/>
      <c r="E63" s="924"/>
      <c r="F63" s="237"/>
      <c r="G63" s="497"/>
      <c r="H63" s="497"/>
      <c r="I63" s="925"/>
      <c r="J63" s="507"/>
      <c r="K63" s="507"/>
      <c r="L63" s="507"/>
      <c r="M63" s="500"/>
      <c r="N63" s="926"/>
      <c r="O63" s="28"/>
      <c r="P63" s="69"/>
      <c r="Q63" s="69"/>
      <c r="R63" s="69"/>
      <c r="S63" s="69"/>
      <c r="T63" s="69"/>
      <c r="U63" s="69"/>
      <c r="V63" s="927"/>
      <c r="W63" s="69"/>
      <c r="X63" s="928"/>
      <c r="Y63" s="28"/>
      <c r="Z63" s="28"/>
      <c r="AA63" s="28"/>
      <c r="AB63" s="28"/>
      <c r="AC63" s="28"/>
      <c r="AD63" s="28"/>
      <c r="AE63" s="28"/>
    </row>
    <row r="64">
      <c r="A64" s="923"/>
      <c r="B64" s="237"/>
      <c r="C64" s="924"/>
      <c r="D64" s="149"/>
      <c r="E64" s="924"/>
      <c r="F64" s="237"/>
      <c r="G64" s="497"/>
      <c r="H64" s="497"/>
      <c r="I64" s="925"/>
      <c r="J64" s="507"/>
      <c r="K64" s="507"/>
      <c r="L64" s="507"/>
      <c r="M64" s="500"/>
      <c r="N64" s="926"/>
      <c r="O64" s="28"/>
      <c r="P64" s="69"/>
      <c r="Q64" s="69"/>
      <c r="R64" s="69"/>
      <c r="S64" s="69"/>
      <c r="T64" s="69"/>
      <c r="U64" s="69"/>
      <c r="V64" s="927"/>
      <c r="W64" s="69"/>
      <c r="X64" s="928"/>
      <c r="Y64" s="28"/>
      <c r="Z64" s="28"/>
      <c r="AA64" s="28"/>
      <c r="AB64" s="28"/>
      <c r="AC64" s="28"/>
      <c r="AD64" s="28"/>
      <c r="AE64" s="28"/>
    </row>
    <row r="65">
      <c r="B65" s="237"/>
      <c r="D65" s="149"/>
      <c r="E65" s="1"/>
      <c r="J65" s="460"/>
      <c r="K65" s="460"/>
      <c r="L65" s="460"/>
      <c r="M65" s="460"/>
      <c r="V65" s="85"/>
      <c r="X65" s="84"/>
      <c r="AB65" s="28"/>
      <c r="AC65" s="28"/>
    </row>
    <row r="66">
      <c r="B66" s="237"/>
      <c r="E66" s="1"/>
      <c r="J66" s="460"/>
      <c r="K66" s="460"/>
      <c r="L66" s="460"/>
      <c r="M66" s="460"/>
      <c r="V66" s="85"/>
      <c r="X66" s="84"/>
      <c r="AB66" s="28"/>
      <c r="AC66" s="28"/>
    </row>
    <row r="67">
      <c r="B67" s="237"/>
      <c r="E67" s="1"/>
      <c r="J67" s="460"/>
      <c r="K67" s="460"/>
      <c r="L67" s="460"/>
      <c r="M67" s="460"/>
      <c r="V67" s="85"/>
      <c r="X67" s="84"/>
      <c r="AB67" s="28"/>
      <c r="AC67" s="28"/>
    </row>
    <row r="68">
      <c r="B68" s="237"/>
      <c r="E68" s="1"/>
      <c r="J68" s="460"/>
      <c r="K68" s="460"/>
      <c r="L68" s="460"/>
      <c r="M68" s="460"/>
      <c r="V68" s="85"/>
      <c r="X68" s="84"/>
      <c r="AB68" s="28"/>
      <c r="AC68" s="28"/>
    </row>
    <row r="69">
      <c r="B69" s="237"/>
      <c r="E69" s="1"/>
      <c r="J69" s="460"/>
      <c r="K69" s="460"/>
      <c r="L69" s="460"/>
      <c r="M69" s="460"/>
      <c r="V69" s="85"/>
      <c r="X69" s="84"/>
      <c r="AB69" s="28"/>
      <c r="AC69" s="28"/>
    </row>
    <row r="70">
      <c r="B70" s="237"/>
      <c r="E70" s="1"/>
      <c r="J70" s="460"/>
      <c r="K70" s="460"/>
      <c r="L70" s="460"/>
      <c r="M70" s="460"/>
      <c r="V70" s="85"/>
      <c r="X70" s="84"/>
      <c r="AB70" s="28"/>
      <c r="AC70" s="28"/>
    </row>
    <row r="71">
      <c r="B71" s="237"/>
      <c r="E71" s="1"/>
      <c r="J71" s="460"/>
      <c r="K71" s="460"/>
      <c r="L71" s="460"/>
      <c r="M71" s="460"/>
      <c r="V71" s="85"/>
      <c r="X71" s="84"/>
      <c r="AB71" s="28"/>
      <c r="AC71" s="28"/>
    </row>
    <row r="72">
      <c r="B72" s="237"/>
      <c r="E72" s="1"/>
      <c r="J72" s="460"/>
      <c r="K72" s="460"/>
      <c r="L72" s="460"/>
      <c r="M72" s="460"/>
      <c r="V72" s="85"/>
      <c r="X72" s="84"/>
      <c r="AB72" s="28"/>
      <c r="AC72" s="28"/>
    </row>
    <row r="73">
      <c r="B73" s="237"/>
      <c r="E73" s="1"/>
      <c r="J73" s="460"/>
      <c r="K73" s="460"/>
      <c r="L73" s="460"/>
      <c r="M73" s="460"/>
      <c r="V73" s="85"/>
      <c r="X73" s="84"/>
      <c r="AB73" s="28"/>
      <c r="AC73" s="28"/>
    </row>
    <row r="74">
      <c r="B74" s="237"/>
      <c r="E74" s="1"/>
      <c r="J74" s="460"/>
      <c r="K74" s="460"/>
      <c r="L74" s="460"/>
      <c r="M74" s="460"/>
      <c r="V74" s="85"/>
      <c r="X74" s="84"/>
      <c r="AB74" s="28"/>
      <c r="AC74" s="28"/>
    </row>
    <row r="75">
      <c r="B75" s="237"/>
      <c r="E75" s="1"/>
      <c r="J75" s="460"/>
      <c r="K75" s="460"/>
      <c r="L75" s="460"/>
      <c r="M75" s="460"/>
      <c r="V75" s="85"/>
      <c r="X75" s="84"/>
      <c r="AB75" s="28"/>
      <c r="AC75" s="28"/>
    </row>
    <row r="76">
      <c r="B76" s="237"/>
      <c r="E76" s="1"/>
      <c r="J76" s="460"/>
      <c r="K76" s="460"/>
      <c r="L76" s="460"/>
      <c r="M76" s="460"/>
      <c r="V76" s="85"/>
      <c r="X76" s="84"/>
      <c r="AB76" s="28"/>
      <c r="AC76" s="28"/>
    </row>
    <row r="77">
      <c r="B77" s="237"/>
      <c r="E77" s="1"/>
      <c r="J77" s="460"/>
      <c r="K77" s="460"/>
      <c r="L77" s="460"/>
      <c r="M77" s="460"/>
      <c r="V77" s="85"/>
      <c r="X77" s="84"/>
      <c r="AB77" s="28"/>
      <c r="AC77" s="28"/>
    </row>
    <row r="78">
      <c r="B78" s="237"/>
      <c r="E78" s="1"/>
      <c r="J78" s="460"/>
      <c r="K78" s="460"/>
      <c r="L78" s="460"/>
      <c r="M78" s="460"/>
      <c r="V78" s="85"/>
      <c r="X78" s="84"/>
      <c r="AB78" s="28"/>
      <c r="AC78" s="28"/>
    </row>
    <row r="79">
      <c r="B79" s="237"/>
      <c r="E79" s="1"/>
      <c r="J79" s="460"/>
      <c r="K79" s="460"/>
      <c r="L79" s="460"/>
      <c r="M79" s="460"/>
      <c r="V79" s="85"/>
      <c r="X79" s="84"/>
      <c r="AB79" s="28"/>
      <c r="AC79" s="28"/>
    </row>
    <row r="80">
      <c r="B80" s="237"/>
      <c r="E80" s="1"/>
      <c r="J80" s="460"/>
      <c r="K80" s="460"/>
      <c r="L80" s="460"/>
      <c r="M80" s="460"/>
      <c r="V80" s="85"/>
      <c r="X80" s="84"/>
      <c r="AB80" s="28"/>
      <c r="AC80" s="28"/>
    </row>
    <row r="81">
      <c r="B81" s="237"/>
      <c r="E81" s="1"/>
      <c r="J81" s="460"/>
      <c r="K81" s="460"/>
      <c r="L81" s="460"/>
      <c r="M81" s="460"/>
      <c r="V81" s="85"/>
      <c r="X81" s="84"/>
      <c r="AB81" s="28"/>
      <c r="AC81" s="28"/>
    </row>
    <row r="82">
      <c r="B82" s="237"/>
      <c r="E82" s="1"/>
      <c r="J82" s="460"/>
      <c r="K82" s="460"/>
      <c r="L82" s="460"/>
      <c r="M82" s="460"/>
      <c r="V82" s="85"/>
      <c r="X82" s="84"/>
      <c r="AB82" s="28"/>
      <c r="AC82" s="28"/>
    </row>
    <row r="83">
      <c r="B83" s="237"/>
      <c r="E83" s="1"/>
      <c r="J83" s="460"/>
      <c r="K83" s="460"/>
      <c r="L83" s="460"/>
      <c r="M83" s="460"/>
      <c r="V83" s="85"/>
      <c r="X83" s="84"/>
      <c r="AB83" s="28"/>
      <c r="AC83" s="28"/>
    </row>
    <row r="84">
      <c r="B84" s="237"/>
      <c r="E84" s="1"/>
      <c r="J84" s="460"/>
      <c r="K84" s="460"/>
      <c r="L84" s="460"/>
      <c r="M84" s="460"/>
      <c r="V84" s="85"/>
      <c r="X84" s="84"/>
      <c r="AB84" s="28"/>
      <c r="AC84" s="28"/>
    </row>
    <row r="85">
      <c r="B85" s="237"/>
      <c r="E85" s="1"/>
      <c r="J85" s="460"/>
      <c r="K85" s="460"/>
      <c r="L85" s="460"/>
      <c r="M85" s="460"/>
      <c r="V85" s="85"/>
      <c r="X85" s="84"/>
      <c r="AB85" s="28"/>
      <c r="AC85" s="28"/>
    </row>
    <row r="86">
      <c r="B86" s="237"/>
      <c r="E86" s="1"/>
      <c r="J86" s="460"/>
      <c r="K86" s="460"/>
      <c r="L86" s="460"/>
      <c r="M86" s="460"/>
      <c r="V86" s="85"/>
      <c r="X86" s="84"/>
      <c r="AB86" s="28"/>
      <c r="AC86" s="28"/>
    </row>
    <row r="87">
      <c r="B87" s="237"/>
      <c r="E87" s="1"/>
      <c r="J87" s="460"/>
      <c r="K87" s="460"/>
      <c r="L87" s="460"/>
      <c r="M87" s="460"/>
      <c r="V87" s="85"/>
      <c r="X87" s="84"/>
      <c r="AB87" s="28"/>
      <c r="AC87" s="28"/>
    </row>
    <row r="88">
      <c r="B88" s="237"/>
      <c r="E88" s="1"/>
      <c r="J88" s="460"/>
      <c r="K88" s="460"/>
      <c r="L88" s="460"/>
      <c r="M88" s="460"/>
      <c r="V88" s="85"/>
      <c r="X88" s="84"/>
      <c r="AB88" s="28"/>
      <c r="AC88" s="28"/>
    </row>
    <row r="89">
      <c r="B89" s="237"/>
      <c r="E89" s="1"/>
      <c r="J89" s="460"/>
      <c r="K89" s="460"/>
      <c r="L89" s="460"/>
      <c r="M89" s="460"/>
      <c r="V89" s="85"/>
      <c r="X89" s="84"/>
      <c r="AB89" s="28"/>
      <c r="AC89" s="28"/>
    </row>
    <row r="90">
      <c r="B90" s="237"/>
      <c r="E90" s="1"/>
      <c r="J90" s="460"/>
      <c r="K90" s="460"/>
      <c r="L90" s="460"/>
      <c r="M90" s="460"/>
      <c r="V90" s="85"/>
      <c r="X90" s="84"/>
      <c r="AB90" s="28"/>
      <c r="AC90" s="28"/>
    </row>
    <row r="91">
      <c r="B91" s="237"/>
      <c r="E91" s="1"/>
      <c r="J91" s="460"/>
      <c r="K91" s="460"/>
      <c r="L91" s="460"/>
      <c r="M91" s="460"/>
      <c r="V91" s="85"/>
      <c r="X91" s="84"/>
      <c r="AB91" s="28"/>
      <c r="AC91" s="28"/>
    </row>
    <row r="92">
      <c r="B92" s="237"/>
      <c r="E92" s="1"/>
      <c r="J92" s="460"/>
      <c r="K92" s="460"/>
      <c r="L92" s="460"/>
      <c r="M92" s="460"/>
      <c r="V92" s="85"/>
      <c r="X92" s="84"/>
      <c r="AB92" s="28"/>
      <c r="AC92" s="28"/>
    </row>
    <row r="93">
      <c r="B93" s="237"/>
      <c r="E93" s="1"/>
      <c r="J93" s="460"/>
      <c r="K93" s="460"/>
      <c r="L93" s="460"/>
      <c r="M93" s="460"/>
      <c r="V93" s="85"/>
      <c r="X93" s="84"/>
      <c r="AB93" s="28"/>
      <c r="AC93" s="28"/>
    </row>
    <row r="94">
      <c r="B94" s="237"/>
      <c r="E94" s="1"/>
      <c r="J94" s="460"/>
      <c r="K94" s="460"/>
      <c r="L94" s="460"/>
      <c r="M94" s="460"/>
      <c r="V94" s="85"/>
      <c r="X94" s="84"/>
      <c r="AB94" s="28"/>
      <c r="AC94" s="28"/>
    </row>
    <row r="95">
      <c r="B95" s="237"/>
      <c r="E95" s="1"/>
      <c r="J95" s="460"/>
      <c r="K95" s="460"/>
      <c r="L95" s="460"/>
      <c r="M95" s="460"/>
      <c r="V95" s="85"/>
      <c r="X95" s="84"/>
      <c r="AB95" s="28"/>
      <c r="AC95" s="28"/>
    </row>
    <row r="96">
      <c r="B96" s="237"/>
      <c r="E96" s="1"/>
      <c r="J96" s="460"/>
      <c r="K96" s="460"/>
      <c r="L96" s="460"/>
      <c r="M96" s="460"/>
      <c r="V96" s="85"/>
      <c r="X96" s="84"/>
      <c r="AB96" s="28"/>
      <c r="AC96" s="28"/>
    </row>
    <row r="97">
      <c r="B97" s="237"/>
      <c r="E97" s="1"/>
      <c r="J97" s="460"/>
      <c r="K97" s="460"/>
      <c r="L97" s="460"/>
      <c r="M97" s="460"/>
      <c r="V97" s="85"/>
      <c r="X97" s="84"/>
      <c r="AB97" s="28"/>
      <c r="AC97" s="28"/>
    </row>
    <row r="98">
      <c r="B98" s="237"/>
      <c r="E98" s="1"/>
      <c r="J98" s="460"/>
      <c r="K98" s="460"/>
      <c r="L98" s="460"/>
      <c r="M98" s="460"/>
      <c r="V98" s="85"/>
      <c r="X98" s="84"/>
      <c r="AB98" s="28"/>
      <c r="AC98" s="28"/>
    </row>
    <row r="99">
      <c r="B99" s="237"/>
      <c r="E99" s="1"/>
      <c r="J99" s="460"/>
      <c r="K99" s="460"/>
      <c r="L99" s="460"/>
      <c r="M99" s="460"/>
      <c r="V99" s="85"/>
      <c r="X99" s="84"/>
      <c r="AB99" s="28"/>
      <c r="AC99" s="28"/>
    </row>
    <row r="100">
      <c r="B100" s="237"/>
      <c r="E100" s="1"/>
      <c r="J100" s="460"/>
      <c r="K100" s="460"/>
      <c r="L100" s="460"/>
      <c r="M100" s="460"/>
      <c r="V100" s="85"/>
      <c r="X100" s="84"/>
      <c r="AB100" s="28"/>
      <c r="AC100" s="28"/>
    </row>
    <row r="101">
      <c r="B101" s="237"/>
      <c r="E101" s="1"/>
      <c r="J101" s="460"/>
      <c r="K101" s="460"/>
      <c r="L101" s="460"/>
      <c r="M101" s="460"/>
      <c r="V101" s="85"/>
      <c r="X101" s="84"/>
      <c r="AB101" s="28"/>
      <c r="AC101" s="28"/>
    </row>
    <row r="102">
      <c r="B102" s="237"/>
      <c r="E102" s="1"/>
      <c r="J102" s="460"/>
      <c r="K102" s="460"/>
      <c r="L102" s="460"/>
      <c r="M102" s="460"/>
      <c r="V102" s="85"/>
      <c r="X102" s="84"/>
      <c r="AB102" s="28"/>
      <c r="AC102" s="28"/>
    </row>
    <row r="103">
      <c r="B103" s="237"/>
      <c r="E103" s="1"/>
      <c r="J103" s="460"/>
      <c r="K103" s="460"/>
      <c r="L103" s="460"/>
      <c r="M103" s="460"/>
      <c r="V103" s="85"/>
      <c r="X103" s="84"/>
      <c r="AB103" s="28"/>
      <c r="AC103" s="28"/>
    </row>
    <row r="104">
      <c r="E104" s="1"/>
      <c r="J104" s="460"/>
      <c r="K104" s="460"/>
      <c r="L104" s="460"/>
      <c r="M104" s="460"/>
      <c r="V104" s="85"/>
      <c r="X104" s="84"/>
      <c r="AB104" s="28"/>
      <c r="AC104" s="28"/>
    </row>
    <row r="105">
      <c r="E105" s="1"/>
      <c r="J105" s="460"/>
      <c r="K105" s="460"/>
      <c r="L105" s="460"/>
      <c r="M105" s="460"/>
      <c r="V105" s="85"/>
      <c r="X105" s="84"/>
      <c r="AB105" s="28"/>
      <c r="AC105" s="28"/>
    </row>
    <row r="106">
      <c r="E106" s="1"/>
      <c r="J106" s="460"/>
      <c r="K106" s="460"/>
      <c r="L106" s="460"/>
      <c r="M106" s="460"/>
      <c r="V106" s="85"/>
      <c r="X106" s="84"/>
      <c r="AB106" s="28"/>
      <c r="AC106" s="28"/>
    </row>
    <row r="107">
      <c r="E107" s="1"/>
      <c r="J107" s="460"/>
      <c r="K107" s="460"/>
      <c r="L107" s="460"/>
      <c r="M107" s="460"/>
      <c r="V107" s="85"/>
      <c r="X107" s="84"/>
      <c r="AB107" s="28"/>
      <c r="AC107" s="28"/>
    </row>
    <row r="108">
      <c r="E108" s="1"/>
      <c r="J108" s="460"/>
      <c r="K108" s="460"/>
      <c r="L108" s="460"/>
      <c r="M108" s="460"/>
      <c r="V108" s="85"/>
      <c r="X108" s="84"/>
      <c r="AB108" s="28"/>
      <c r="AC108" s="28"/>
    </row>
    <row r="109">
      <c r="E109" s="1"/>
      <c r="J109" s="460"/>
      <c r="K109" s="460"/>
      <c r="L109" s="460"/>
      <c r="M109" s="460"/>
      <c r="V109" s="85"/>
      <c r="X109" s="84"/>
      <c r="AB109" s="28"/>
      <c r="AC109" s="28"/>
    </row>
    <row r="110">
      <c r="E110" s="1"/>
      <c r="J110" s="460"/>
      <c r="K110" s="460"/>
      <c r="L110" s="460"/>
      <c r="M110" s="460"/>
      <c r="V110" s="85"/>
      <c r="X110" s="84"/>
      <c r="AB110" s="28"/>
      <c r="AC110" s="28"/>
    </row>
    <row r="111">
      <c r="E111" s="1"/>
      <c r="J111" s="460"/>
      <c r="K111" s="460"/>
      <c r="L111" s="460"/>
      <c r="M111" s="460"/>
      <c r="V111" s="85"/>
      <c r="X111" s="84"/>
      <c r="AB111" s="28"/>
      <c r="AC111" s="28"/>
    </row>
    <row r="112">
      <c r="E112" s="1"/>
      <c r="J112" s="460"/>
      <c r="K112" s="460"/>
      <c r="L112" s="460"/>
      <c r="M112" s="460"/>
      <c r="V112" s="85"/>
      <c r="X112" s="84"/>
      <c r="AB112" s="28"/>
      <c r="AC112" s="28"/>
    </row>
    <row r="113">
      <c r="E113" s="1"/>
      <c r="J113" s="460"/>
      <c r="K113" s="460"/>
      <c r="L113" s="460"/>
      <c r="M113" s="460"/>
      <c r="V113" s="85"/>
      <c r="X113" s="84"/>
      <c r="AB113" s="28"/>
      <c r="AC113" s="28"/>
    </row>
    <row r="114">
      <c r="E114" s="1"/>
      <c r="J114" s="460"/>
      <c r="K114" s="460"/>
      <c r="L114" s="460"/>
      <c r="M114" s="460"/>
      <c r="V114" s="85"/>
      <c r="X114" s="84"/>
      <c r="AB114" s="28"/>
      <c r="AC114" s="28"/>
    </row>
    <row r="115">
      <c r="E115" s="1"/>
      <c r="J115" s="460"/>
      <c r="K115" s="460"/>
      <c r="L115" s="460"/>
      <c r="M115" s="460"/>
      <c r="V115" s="85"/>
      <c r="X115" s="84"/>
      <c r="AB115" s="28"/>
      <c r="AC115" s="28"/>
    </row>
    <row r="116">
      <c r="E116" s="1"/>
      <c r="J116" s="460"/>
      <c r="K116" s="460"/>
      <c r="L116" s="460"/>
      <c r="M116" s="460"/>
      <c r="V116" s="85"/>
      <c r="X116" s="84"/>
      <c r="AB116" s="28"/>
      <c r="AC116" s="28"/>
    </row>
    <row r="117">
      <c r="E117" s="1"/>
      <c r="J117" s="460"/>
      <c r="K117" s="460"/>
      <c r="L117" s="460"/>
      <c r="M117" s="460"/>
      <c r="V117" s="85"/>
      <c r="X117" s="84"/>
      <c r="AB117" s="28"/>
      <c r="AC117" s="28"/>
    </row>
    <row r="118">
      <c r="E118" s="1"/>
      <c r="J118" s="460"/>
      <c r="K118" s="460"/>
      <c r="L118" s="460"/>
      <c r="M118" s="460"/>
      <c r="V118" s="85"/>
      <c r="X118" s="84"/>
      <c r="AB118" s="28"/>
      <c r="AC118" s="28"/>
    </row>
    <row r="119">
      <c r="E119" s="1"/>
      <c r="J119" s="460"/>
      <c r="K119" s="460"/>
      <c r="L119" s="460"/>
      <c r="M119" s="460"/>
      <c r="V119" s="85"/>
      <c r="X119" s="84"/>
      <c r="AB119" s="28"/>
      <c r="AC119" s="28"/>
    </row>
    <row r="120">
      <c r="E120" s="1"/>
      <c r="J120" s="460"/>
      <c r="K120" s="460"/>
      <c r="L120" s="460"/>
      <c r="M120" s="460"/>
      <c r="V120" s="85"/>
      <c r="X120" s="84"/>
      <c r="AB120" s="28"/>
      <c r="AC120" s="28"/>
    </row>
    <row r="121">
      <c r="E121" s="1"/>
      <c r="J121" s="460"/>
      <c r="K121" s="460"/>
      <c r="L121" s="460"/>
      <c r="M121" s="460"/>
      <c r="V121" s="85"/>
      <c r="X121" s="84"/>
      <c r="AB121" s="28"/>
      <c r="AC121" s="28"/>
    </row>
    <row r="122">
      <c r="E122" s="1"/>
      <c r="J122" s="460"/>
      <c r="K122" s="460"/>
      <c r="L122" s="460"/>
      <c r="M122" s="460"/>
      <c r="V122" s="85"/>
      <c r="X122" s="84"/>
      <c r="AB122" s="28"/>
      <c r="AC122" s="28"/>
    </row>
    <row r="123">
      <c r="E123" s="1"/>
      <c r="J123" s="460"/>
      <c r="K123" s="460"/>
      <c r="L123" s="460"/>
      <c r="M123" s="460"/>
      <c r="V123" s="85"/>
      <c r="X123" s="84"/>
      <c r="AB123" s="28"/>
      <c r="AC123" s="28"/>
    </row>
    <row r="124">
      <c r="E124" s="1"/>
      <c r="J124" s="460"/>
      <c r="K124" s="460"/>
      <c r="L124" s="460"/>
      <c r="M124" s="460"/>
      <c r="V124" s="85"/>
      <c r="X124" s="84"/>
      <c r="AB124" s="28"/>
      <c r="AC124" s="28"/>
    </row>
    <row r="125">
      <c r="E125" s="1"/>
      <c r="J125" s="460"/>
      <c r="K125" s="460"/>
      <c r="L125" s="460"/>
      <c r="M125" s="460"/>
      <c r="V125" s="85"/>
      <c r="X125" s="84"/>
      <c r="AB125" s="28"/>
      <c r="AC125" s="28"/>
    </row>
    <row r="126">
      <c r="E126" s="1"/>
      <c r="J126" s="460"/>
      <c r="K126" s="460"/>
      <c r="L126" s="460"/>
      <c r="M126" s="460"/>
      <c r="V126" s="85"/>
      <c r="X126" s="84"/>
      <c r="AB126" s="28"/>
      <c r="AC126" s="28"/>
    </row>
    <row r="127">
      <c r="E127" s="1"/>
      <c r="J127" s="460"/>
      <c r="K127" s="460"/>
      <c r="L127" s="460"/>
      <c r="M127" s="460"/>
      <c r="V127" s="85"/>
      <c r="X127" s="84"/>
      <c r="AB127" s="28"/>
      <c r="AC127" s="28"/>
    </row>
    <row r="128">
      <c r="E128" s="1"/>
      <c r="J128" s="460"/>
      <c r="K128" s="460"/>
      <c r="L128" s="460"/>
      <c r="M128" s="460"/>
      <c r="V128" s="85" t="b">
        <v>0</v>
      </c>
      <c r="W128" s="122" t="b">
        <v>0</v>
      </c>
      <c r="X128" s="84"/>
      <c r="AB128" s="28"/>
      <c r="AC128" s="28"/>
    </row>
    <row r="129">
      <c r="E129" s="1"/>
      <c r="J129" s="460"/>
      <c r="K129" s="460"/>
      <c r="L129" s="460"/>
      <c r="M129" s="460"/>
      <c r="V129" s="85" t="b">
        <v>0</v>
      </c>
      <c r="W129" s="122" t="b">
        <v>0</v>
      </c>
      <c r="X129" s="84"/>
      <c r="AB129" s="28"/>
      <c r="AC129" s="28"/>
    </row>
    <row r="130">
      <c r="E130" s="1"/>
      <c r="J130" s="460"/>
      <c r="K130" s="460"/>
      <c r="L130" s="460"/>
      <c r="M130" s="460"/>
      <c r="V130" s="85" t="b">
        <v>0</v>
      </c>
      <c r="W130" s="122" t="b">
        <v>0</v>
      </c>
      <c r="X130" s="84"/>
      <c r="AB130" s="28"/>
      <c r="AC130" s="28"/>
    </row>
    <row r="131">
      <c r="E131" s="1"/>
      <c r="J131" s="460"/>
      <c r="K131" s="460"/>
      <c r="L131" s="460"/>
      <c r="M131" s="460"/>
      <c r="V131" s="85" t="b">
        <v>0</v>
      </c>
      <c r="W131" s="122" t="b">
        <v>0</v>
      </c>
      <c r="X131" s="84"/>
      <c r="AB131" s="28"/>
      <c r="AC131" s="28"/>
    </row>
    <row r="132">
      <c r="E132" s="1"/>
      <c r="J132" s="460"/>
      <c r="K132" s="460"/>
      <c r="L132" s="460"/>
      <c r="M132" s="460"/>
      <c r="V132" s="85" t="b">
        <v>0</v>
      </c>
      <c r="W132" s="122" t="b">
        <v>0</v>
      </c>
      <c r="X132" s="84"/>
      <c r="AB132" s="28"/>
      <c r="AC132" s="28"/>
    </row>
    <row r="133">
      <c r="E133" s="1"/>
      <c r="J133" s="460"/>
      <c r="K133" s="460"/>
      <c r="L133" s="460"/>
      <c r="M133" s="460"/>
      <c r="V133" s="85" t="b">
        <v>0</v>
      </c>
      <c r="W133" s="122" t="b">
        <v>0</v>
      </c>
      <c r="X133" s="84"/>
      <c r="AB133" s="28"/>
      <c r="AC133" s="28"/>
    </row>
    <row r="134">
      <c r="E134" s="1"/>
      <c r="J134" s="460"/>
      <c r="K134" s="460"/>
      <c r="L134" s="460"/>
      <c r="M134" s="460"/>
      <c r="V134" s="85" t="b">
        <v>0</v>
      </c>
      <c r="W134" s="122" t="b">
        <v>0</v>
      </c>
      <c r="X134" s="84"/>
      <c r="AB134" s="28"/>
      <c r="AC134" s="28"/>
    </row>
    <row r="135">
      <c r="E135" s="1"/>
      <c r="J135" s="460"/>
      <c r="K135" s="460"/>
      <c r="L135" s="460"/>
      <c r="M135" s="460"/>
      <c r="V135" s="85" t="b">
        <v>0</v>
      </c>
      <c r="W135" s="122" t="b">
        <v>0</v>
      </c>
      <c r="X135" s="84"/>
      <c r="AB135" s="28"/>
      <c r="AC135" s="28"/>
    </row>
    <row r="136">
      <c r="E136" s="1"/>
      <c r="J136" s="460"/>
      <c r="K136" s="460"/>
      <c r="L136" s="460"/>
      <c r="M136" s="460"/>
      <c r="V136" s="85" t="b">
        <v>0</v>
      </c>
      <c r="W136" s="122" t="b">
        <v>0</v>
      </c>
      <c r="X136" s="84"/>
      <c r="AB136" s="28"/>
      <c r="AC136" s="28"/>
    </row>
    <row r="137">
      <c r="E137" s="1"/>
      <c r="J137" s="460"/>
      <c r="K137" s="460"/>
      <c r="L137" s="460"/>
      <c r="M137" s="460"/>
      <c r="V137" s="85" t="b">
        <v>0</v>
      </c>
      <c r="W137" s="122" t="b">
        <v>0</v>
      </c>
      <c r="X137" s="84"/>
      <c r="AB137" s="28"/>
      <c r="AC137" s="28"/>
    </row>
    <row r="138">
      <c r="E138" s="1"/>
      <c r="J138" s="460"/>
      <c r="K138" s="460"/>
      <c r="L138" s="460"/>
      <c r="M138" s="460"/>
      <c r="V138" s="85"/>
      <c r="X138" s="84"/>
      <c r="AB138" s="28"/>
      <c r="AC138" s="28"/>
    </row>
    <row r="139">
      <c r="E139" s="1"/>
      <c r="J139" s="460"/>
      <c r="K139" s="460"/>
      <c r="L139" s="460"/>
      <c r="M139" s="460"/>
      <c r="V139" s="85"/>
      <c r="X139" s="84"/>
      <c r="AB139" s="28"/>
      <c r="AC139" s="28"/>
    </row>
    <row r="140">
      <c r="E140" s="1"/>
      <c r="J140" s="460"/>
      <c r="K140" s="460"/>
      <c r="L140" s="460"/>
      <c r="M140" s="460"/>
      <c r="V140" s="85"/>
      <c r="X140" s="84"/>
      <c r="AB140" s="28"/>
      <c r="AC140" s="28"/>
    </row>
    <row r="141">
      <c r="E141" s="1"/>
      <c r="J141" s="460"/>
      <c r="K141" s="460"/>
      <c r="L141" s="460"/>
      <c r="M141" s="460"/>
      <c r="V141" s="85"/>
      <c r="X141" s="84"/>
      <c r="AB141" s="28"/>
      <c r="AC141" s="28"/>
    </row>
    <row r="142">
      <c r="E142" s="1"/>
      <c r="J142" s="460"/>
      <c r="K142" s="460"/>
      <c r="L142" s="460"/>
      <c r="M142" s="460"/>
      <c r="V142" s="85"/>
      <c r="X142" s="84"/>
      <c r="AB142" s="28"/>
      <c r="AC142" s="28"/>
    </row>
    <row r="143">
      <c r="E143" s="1"/>
      <c r="J143" s="460"/>
      <c r="K143" s="460"/>
      <c r="L143" s="460"/>
      <c r="M143" s="460"/>
      <c r="V143" s="85"/>
      <c r="X143" s="84"/>
      <c r="AB143" s="28"/>
      <c r="AC143" s="28"/>
    </row>
    <row r="144">
      <c r="E144" s="1"/>
      <c r="J144" s="460"/>
      <c r="K144" s="460"/>
      <c r="L144" s="460"/>
      <c r="M144" s="460"/>
      <c r="V144" s="85"/>
      <c r="X144" s="84"/>
      <c r="AB144" s="28"/>
      <c r="AC144" s="28"/>
    </row>
    <row r="145">
      <c r="E145" s="1"/>
      <c r="J145" s="460"/>
      <c r="K145" s="460"/>
      <c r="L145" s="460"/>
      <c r="M145" s="460"/>
      <c r="V145" s="85"/>
      <c r="X145" s="84"/>
      <c r="AB145" s="28"/>
      <c r="AC145" s="28"/>
    </row>
    <row r="146">
      <c r="E146" s="1"/>
      <c r="J146" s="460"/>
      <c r="K146" s="460"/>
      <c r="L146" s="460"/>
      <c r="M146" s="460"/>
      <c r="V146" s="85"/>
      <c r="X146" s="84"/>
      <c r="AB146" s="28"/>
      <c r="AC146" s="28"/>
    </row>
    <row r="147">
      <c r="E147" s="1"/>
      <c r="J147" s="460"/>
      <c r="K147" s="460"/>
      <c r="L147" s="460"/>
      <c r="M147" s="460"/>
      <c r="V147" s="85"/>
      <c r="X147" s="84"/>
      <c r="AB147" s="28"/>
      <c r="AC147" s="28"/>
    </row>
    <row r="148">
      <c r="E148" s="1"/>
      <c r="J148" s="460"/>
      <c r="K148" s="460"/>
      <c r="L148" s="460"/>
      <c r="M148" s="460"/>
      <c r="V148" s="85"/>
      <c r="X148" s="84"/>
      <c r="AB148" s="28"/>
      <c r="AC148" s="28"/>
    </row>
    <row r="149">
      <c r="E149" s="1"/>
      <c r="J149" s="460"/>
      <c r="K149" s="460"/>
      <c r="L149" s="460"/>
      <c r="M149" s="460"/>
      <c r="V149" s="85"/>
      <c r="X149" s="84"/>
      <c r="AB149" s="28"/>
      <c r="AC149" s="28"/>
    </row>
    <row r="150">
      <c r="E150" s="1"/>
      <c r="J150" s="460"/>
      <c r="K150" s="460"/>
      <c r="L150" s="460"/>
      <c r="M150" s="460"/>
      <c r="V150" s="85"/>
      <c r="X150" s="84"/>
      <c r="AB150" s="28"/>
      <c r="AC150" s="28"/>
    </row>
    <row r="151">
      <c r="E151" s="1"/>
      <c r="J151" s="460"/>
      <c r="K151" s="460"/>
      <c r="L151" s="460"/>
      <c r="M151" s="460"/>
      <c r="V151" s="85"/>
      <c r="X151" s="84"/>
      <c r="AB151" s="28"/>
      <c r="AC151" s="28"/>
    </row>
    <row r="152">
      <c r="E152" s="1"/>
      <c r="J152" s="460"/>
      <c r="K152" s="460"/>
      <c r="L152" s="460"/>
      <c r="M152" s="460"/>
      <c r="V152" s="85"/>
      <c r="X152" s="84"/>
      <c r="AB152" s="28"/>
      <c r="AC152" s="28"/>
    </row>
    <row r="153">
      <c r="E153" s="1"/>
      <c r="J153" s="460"/>
      <c r="K153" s="460"/>
      <c r="L153" s="460"/>
      <c r="M153" s="460"/>
      <c r="V153" s="85"/>
      <c r="X153" s="84"/>
      <c r="AB153" s="28"/>
      <c r="AC153" s="28"/>
    </row>
    <row r="154">
      <c r="E154" s="1"/>
      <c r="J154" s="460"/>
      <c r="K154" s="460"/>
      <c r="L154" s="460"/>
      <c r="M154" s="460"/>
      <c r="V154" s="85"/>
      <c r="X154" s="84"/>
      <c r="AB154" s="28"/>
      <c r="AC154" s="28"/>
    </row>
    <row r="155">
      <c r="E155" s="1"/>
      <c r="J155" s="460"/>
      <c r="K155" s="460"/>
      <c r="L155" s="460"/>
      <c r="M155" s="460"/>
      <c r="V155" s="85"/>
      <c r="X155" s="84"/>
      <c r="AB155" s="28"/>
      <c r="AC155" s="28"/>
    </row>
    <row r="156">
      <c r="E156" s="1"/>
      <c r="J156" s="460"/>
      <c r="K156" s="460"/>
      <c r="L156" s="460"/>
      <c r="M156" s="460"/>
      <c r="V156" s="85"/>
      <c r="X156" s="84"/>
      <c r="AB156" s="28"/>
      <c r="AC156" s="28"/>
    </row>
    <row r="157">
      <c r="E157" s="1"/>
      <c r="J157" s="460"/>
      <c r="K157" s="460"/>
      <c r="L157" s="460"/>
      <c r="M157" s="460"/>
      <c r="V157" s="85"/>
      <c r="X157" s="84"/>
      <c r="AB157" s="28"/>
      <c r="AC157" s="28"/>
    </row>
    <row r="158">
      <c r="E158" s="1"/>
      <c r="J158" s="460"/>
      <c r="K158" s="460"/>
      <c r="L158" s="460"/>
      <c r="M158" s="460"/>
      <c r="V158" s="85"/>
      <c r="X158" s="84"/>
      <c r="AB158" s="28"/>
      <c r="AC158" s="28"/>
    </row>
    <row r="159">
      <c r="E159" s="1"/>
      <c r="J159" s="460"/>
      <c r="K159" s="460"/>
      <c r="L159" s="460"/>
      <c r="M159" s="460"/>
      <c r="V159" s="85"/>
      <c r="X159" s="84"/>
      <c r="AB159" s="28"/>
      <c r="AC159" s="28"/>
    </row>
    <row r="160">
      <c r="E160" s="1"/>
      <c r="J160" s="460"/>
      <c r="K160" s="460"/>
      <c r="L160" s="460"/>
      <c r="M160" s="460"/>
      <c r="V160" s="85"/>
      <c r="X160" s="84"/>
      <c r="AB160" s="28"/>
      <c r="AC160" s="28"/>
    </row>
    <row r="161">
      <c r="E161" s="1"/>
      <c r="J161" s="460"/>
      <c r="K161" s="460"/>
      <c r="L161" s="460"/>
      <c r="M161" s="460"/>
      <c r="V161" s="85"/>
      <c r="X161" s="84"/>
      <c r="AB161" s="28"/>
      <c r="AC161" s="28"/>
    </row>
    <row r="162">
      <c r="E162" s="1"/>
      <c r="J162" s="460"/>
      <c r="K162" s="460"/>
      <c r="L162" s="460"/>
      <c r="M162" s="460"/>
      <c r="V162" s="85"/>
      <c r="X162" s="84"/>
      <c r="AB162" s="28"/>
      <c r="AC162" s="28"/>
    </row>
    <row r="163">
      <c r="E163" s="1"/>
      <c r="J163" s="460"/>
      <c r="K163" s="460"/>
      <c r="L163" s="460"/>
      <c r="M163" s="460"/>
      <c r="V163" s="85"/>
      <c r="X163" s="84"/>
      <c r="AB163" s="28"/>
      <c r="AC163" s="28"/>
    </row>
    <row r="164">
      <c r="E164" s="1"/>
      <c r="J164" s="460"/>
      <c r="K164" s="460"/>
      <c r="L164" s="460"/>
      <c r="M164" s="460"/>
      <c r="V164" s="85"/>
      <c r="X164" s="84"/>
      <c r="AB164" s="28"/>
      <c r="AC164" s="28"/>
    </row>
    <row r="165">
      <c r="E165" s="1"/>
      <c r="J165" s="460"/>
      <c r="K165" s="460"/>
      <c r="L165" s="460"/>
      <c r="M165" s="460"/>
      <c r="V165" s="85"/>
      <c r="X165" s="84"/>
      <c r="AB165" s="28"/>
      <c r="AC165" s="28"/>
    </row>
    <row r="166">
      <c r="E166" s="1"/>
      <c r="J166" s="460"/>
      <c r="K166" s="460"/>
      <c r="L166" s="460"/>
      <c r="M166" s="460"/>
      <c r="V166" s="85"/>
      <c r="X166" s="84"/>
      <c r="AB166" s="28"/>
      <c r="AC166" s="28"/>
    </row>
    <row r="167">
      <c r="E167" s="1"/>
      <c r="J167" s="460"/>
      <c r="K167" s="460"/>
      <c r="L167" s="460"/>
      <c r="M167" s="460"/>
      <c r="V167" s="85"/>
      <c r="X167" s="84"/>
      <c r="AB167" s="28"/>
      <c r="AC167" s="28"/>
    </row>
    <row r="168">
      <c r="E168" s="1"/>
      <c r="J168" s="460"/>
      <c r="K168" s="460"/>
      <c r="L168" s="460"/>
      <c r="M168" s="460"/>
      <c r="V168" s="85"/>
      <c r="X168" s="84"/>
      <c r="AB168" s="28"/>
      <c r="AC168" s="28"/>
    </row>
    <row r="169">
      <c r="E169" s="1"/>
      <c r="J169" s="460"/>
      <c r="K169" s="460"/>
      <c r="L169" s="460"/>
      <c r="M169" s="460"/>
      <c r="V169" s="85"/>
      <c r="X169" s="84"/>
      <c r="AB169" s="28"/>
      <c r="AC169" s="28"/>
    </row>
    <row r="170">
      <c r="E170" s="1"/>
      <c r="J170" s="460"/>
      <c r="K170" s="460"/>
      <c r="L170" s="460"/>
      <c r="M170" s="460"/>
      <c r="V170" s="85"/>
      <c r="X170" s="84"/>
      <c r="AB170" s="28"/>
      <c r="AC170" s="28"/>
    </row>
    <row r="171">
      <c r="E171" s="1"/>
      <c r="J171" s="460"/>
      <c r="K171" s="460"/>
      <c r="L171" s="460"/>
      <c r="M171" s="460"/>
      <c r="V171" s="85"/>
      <c r="X171" s="84"/>
      <c r="AB171" s="28"/>
      <c r="AC171" s="28"/>
    </row>
    <row r="172">
      <c r="E172" s="1"/>
      <c r="J172" s="460"/>
      <c r="K172" s="460"/>
      <c r="L172" s="460"/>
      <c r="M172" s="460"/>
      <c r="V172" s="85"/>
      <c r="X172" s="84"/>
      <c r="AB172" s="28"/>
      <c r="AC172" s="28"/>
    </row>
    <row r="173">
      <c r="E173" s="1"/>
      <c r="J173" s="460"/>
      <c r="K173" s="460"/>
      <c r="L173" s="460"/>
      <c r="M173" s="460"/>
      <c r="V173" s="85"/>
      <c r="X173" s="84"/>
      <c r="AB173" s="28"/>
      <c r="AC173" s="28"/>
    </row>
    <row r="174">
      <c r="E174" s="1"/>
      <c r="J174" s="460"/>
      <c r="K174" s="460"/>
      <c r="L174" s="460"/>
      <c r="M174" s="460"/>
      <c r="V174" s="85"/>
      <c r="X174" s="84"/>
      <c r="AB174" s="28"/>
      <c r="AC174" s="28"/>
    </row>
    <row r="175">
      <c r="E175" s="1"/>
      <c r="J175" s="460"/>
      <c r="K175" s="460"/>
      <c r="L175" s="460"/>
      <c r="M175" s="460"/>
      <c r="V175" s="85"/>
      <c r="X175" s="84"/>
      <c r="AB175" s="28"/>
      <c r="AC175" s="28"/>
    </row>
    <row r="176">
      <c r="E176" s="1"/>
      <c r="J176" s="460"/>
      <c r="K176" s="460"/>
      <c r="L176" s="460"/>
      <c r="M176" s="460"/>
      <c r="V176" s="85"/>
      <c r="X176" s="84"/>
      <c r="AB176" s="28"/>
      <c r="AC176" s="28"/>
    </row>
    <row r="177">
      <c r="E177" s="1"/>
      <c r="J177" s="460"/>
      <c r="K177" s="460"/>
      <c r="L177" s="460"/>
      <c r="M177" s="460"/>
      <c r="V177" s="85"/>
      <c r="X177" s="84"/>
      <c r="AB177" s="28"/>
      <c r="AC177" s="28"/>
    </row>
    <row r="178">
      <c r="E178" s="1"/>
      <c r="J178" s="460"/>
      <c r="K178" s="460"/>
      <c r="L178" s="460"/>
      <c r="M178" s="460"/>
      <c r="V178" s="85"/>
      <c r="X178" s="84"/>
      <c r="AB178" s="28"/>
      <c r="AC178" s="28"/>
    </row>
    <row r="179">
      <c r="E179" s="1"/>
      <c r="J179" s="460"/>
      <c r="K179" s="460"/>
      <c r="L179" s="460"/>
      <c r="M179" s="460"/>
      <c r="V179" s="85"/>
      <c r="X179" s="84"/>
      <c r="AB179" s="28"/>
      <c r="AC179" s="28"/>
    </row>
    <row r="180">
      <c r="E180" s="1"/>
      <c r="J180" s="460"/>
      <c r="K180" s="460"/>
      <c r="L180" s="460"/>
      <c r="M180" s="460"/>
      <c r="V180" s="85"/>
      <c r="X180" s="84"/>
      <c r="AB180" s="28"/>
      <c r="AC180" s="28"/>
    </row>
    <row r="181">
      <c r="E181" s="1"/>
      <c r="J181" s="460"/>
      <c r="K181" s="460"/>
      <c r="L181" s="460"/>
      <c r="M181" s="460"/>
      <c r="V181" s="85"/>
      <c r="X181" s="84"/>
      <c r="AB181" s="28"/>
      <c r="AC181" s="28"/>
    </row>
    <row r="182">
      <c r="E182" s="1"/>
      <c r="J182" s="460"/>
      <c r="K182" s="460"/>
      <c r="L182" s="460"/>
      <c r="M182" s="460"/>
      <c r="V182" s="85"/>
      <c r="X182" s="84"/>
      <c r="AB182" s="28"/>
      <c r="AC182" s="28"/>
    </row>
    <row r="183">
      <c r="E183" s="1"/>
      <c r="J183" s="460"/>
      <c r="K183" s="460"/>
      <c r="L183" s="460"/>
      <c r="M183" s="460"/>
      <c r="V183" s="85"/>
      <c r="X183" s="84"/>
      <c r="AB183" s="28"/>
      <c r="AC183" s="28"/>
    </row>
    <row r="184">
      <c r="E184" s="1"/>
      <c r="J184" s="460"/>
      <c r="K184" s="460"/>
      <c r="L184" s="460"/>
      <c r="M184" s="460"/>
      <c r="V184" s="85"/>
      <c r="X184" s="84"/>
      <c r="AB184" s="28"/>
      <c r="AC184" s="28"/>
    </row>
    <row r="185">
      <c r="E185" s="1"/>
      <c r="J185" s="460"/>
      <c r="K185" s="460"/>
      <c r="L185" s="460"/>
      <c r="M185" s="460"/>
      <c r="V185" s="85"/>
      <c r="X185" s="84"/>
      <c r="AB185" s="28"/>
      <c r="AC185" s="28"/>
    </row>
    <row r="186">
      <c r="E186" s="1"/>
      <c r="J186" s="460"/>
      <c r="K186" s="460"/>
      <c r="L186" s="460"/>
      <c r="M186" s="460"/>
      <c r="V186" s="85"/>
      <c r="X186" s="84"/>
      <c r="AB186" s="28"/>
      <c r="AC186" s="28"/>
    </row>
    <row r="187">
      <c r="E187" s="1"/>
      <c r="J187" s="460"/>
      <c r="K187" s="460"/>
      <c r="L187" s="460"/>
      <c r="M187" s="460"/>
      <c r="V187" s="85"/>
      <c r="X187" s="84"/>
      <c r="AB187" s="28"/>
      <c r="AC187" s="28"/>
    </row>
    <row r="188">
      <c r="E188" s="1"/>
      <c r="J188" s="460"/>
      <c r="K188" s="460"/>
      <c r="L188" s="460"/>
      <c r="M188" s="460"/>
      <c r="V188" s="85"/>
      <c r="X188" s="84"/>
      <c r="AB188" s="28"/>
      <c r="AC188" s="28"/>
    </row>
    <row r="189">
      <c r="E189" s="1"/>
      <c r="J189" s="460"/>
      <c r="K189" s="460"/>
      <c r="L189" s="460"/>
      <c r="M189" s="460"/>
      <c r="V189" s="85"/>
      <c r="X189" s="84"/>
      <c r="AB189" s="28"/>
      <c r="AC189" s="28"/>
    </row>
    <row r="190">
      <c r="E190" s="1"/>
      <c r="J190" s="460"/>
      <c r="K190" s="460"/>
      <c r="L190" s="460"/>
      <c r="M190" s="460"/>
      <c r="V190" s="85"/>
      <c r="X190" s="84"/>
      <c r="AB190" s="28"/>
      <c r="AC190" s="28"/>
    </row>
    <row r="191">
      <c r="E191" s="1"/>
      <c r="J191" s="460"/>
      <c r="K191" s="460"/>
      <c r="L191" s="460"/>
      <c r="M191" s="460"/>
      <c r="V191" s="85"/>
      <c r="X191" s="84"/>
      <c r="AB191" s="28"/>
      <c r="AC191" s="28"/>
    </row>
    <row r="192">
      <c r="E192" s="1"/>
      <c r="J192" s="460"/>
      <c r="K192" s="460"/>
      <c r="L192" s="460"/>
      <c r="M192" s="460"/>
      <c r="V192" s="85"/>
      <c r="X192" s="84"/>
      <c r="AB192" s="28"/>
      <c r="AC192" s="28"/>
    </row>
    <row r="193">
      <c r="E193" s="1"/>
      <c r="J193" s="460"/>
      <c r="K193" s="460"/>
      <c r="L193" s="460"/>
      <c r="M193" s="460"/>
      <c r="V193" s="85"/>
      <c r="X193" s="84"/>
      <c r="AB193" s="28"/>
      <c r="AC193" s="28"/>
    </row>
    <row r="194">
      <c r="E194" s="1"/>
      <c r="J194" s="460"/>
      <c r="K194" s="460"/>
      <c r="L194" s="460"/>
      <c r="M194" s="460"/>
      <c r="V194" s="85"/>
      <c r="X194" s="84"/>
      <c r="AB194" s="28"/>
      <c r="AC194" s="28"/>
    </row>
    <row r="195">
      <c r="E195" s="1"/>
      <c r="J195" s="460"/>
      <c r="K195" s="460"/>
      <c r="L195" s="460"/>
      <c r="M195" s="460"/>
      <c r="V195" s="85"/>
      <c r="X195" s="84"/>
      <c r="AB195" s="28"/>
      <c r="AC195" s="28"/>
    </row>
    <row r="196">
      <c r="E196" s="1"/>
      <c r="J196" s="460"/>
      <c r="K196" s="460"/>
      <c r="L196" s="460"/>
      <c r="M196" s="460"/>
      <c r="V196" s="85"/>
      <c r="X196" s="84"/>
      <c r="AB196" s="28"/>
      <c r="AC196" s="28"/>
    </row>
    <row r="197">
      <c r="E197" s="1"/>
      <c r="J197" s="460"/>
      <c r="K197" s="460"/>
      <c r="L197" s="460"/>
      <c r="M197" s="460"/>
      <c r="V197" s="85"/>
      <c r="X197" s="84"/>
      <c r="AB197" s="28"/>
      <c r="AC197" s="28"/>
    </row>
    <row r="198">
      <c r="E198" s="1"/>
      <c r="J198" s="460"/>
      <c r="K198" s="460"/>
      <c r="L198" s="460"/>
      <c r="M198" s="460"/>
      <c r="V198" s="85"/>
      <c r="X198" s="84"/>
      <c r="AB198" s="28"/>
      <c r="AC198" s="28"/>
    </row>
    <row r="199">
      <c r="E199" s="1"/>
      <c r="J199" s="460"/>
      <c r="K199" s="460"/>
      <c r="L199" s="460"/>
      <c r="M199" s="460"/>
      <c r="V199" s="85"/>
      <c r="X199" s="84"/>
      <c r="AB199" s="28"/>
      <c r="AC199" s="28"/>
    </row>
    <row r="200">
      <c r="E200" s="1"/>
      <c r="J200" s="460"/>
      <c r="K200" s="460"/>
      <c r="L200" s="460"/>
      <c r="M200" s="460"/>
      <c r="V200" s="85"/>
      <c r="X200" s="84"/>
      <c r="AB200" s="28"/>
      <c r="AC200" s="28"/>
    </row>
    <row r="201">
      <c r="E201" s="1"/>
      <c r="J201" s="460"/>
      <c r="K201" s="460"/>
      <c r="L201" s="460"/>
      <c r="M201" s="460"/>
      <c r="V201" s="85"/>
      <c r="X201" s="84"/>
      <c r="AB201" s="28"/>
      <c r="AC201" s="28"/>
    </row>
    <row r="202">
      <c r="E202" s="1"/>
      <c r="J202" s="460"/>
      <c r="K202" s="460"/>
      <c r="L202" s="460"/>
      <c r="M202" s="460"/>
      <c r="V202" s="85"/>
      <c r="X202" s="84"/>
      <c r="AB202" s="28"/>
      <c r="AC202" s="28"/>
    </row>
    <row r="203">
      <c r="E203" s="1"/>
      <c r="J203" s="460"/>
      <c r="K203" s="460"/>
      <c r="L203" s="460"/>
      <c r="M203" s="460"/>
      <c r="V203" s="85"/>
      <c r="X203" s="84"/>
      <c r="AB203" s="28"/>
      <c r="AC203" s="28"/>
    </row>
    <row r="204">
      <c r="E204" s="1"/>
      <c r="J204" s="460"/>
      <c r="K204" s="460"/>
      <c r="L204" s="460"/>
      <c r="M204" s="460"/>
      <c r="V204" s="85"/>
      <c r="X204" s="84"/>
      <c r="AB204" s="28"/>
      <c r="AC204" s="28"/>
    </row>
    <row r="205">
      <c r="E205" s="1"/>
      <c r="J205" s="460"/>
      <c r="K205" s="460"/>
      <c r="L205" s="460"/>
      <c r="M205" s="460"/>
      <c r="V205" s="85"/>
      <c r="X205" s="84"/>
      <c r="AB205" s="28"/>
      <c r="AC205" s="28"/>
    </row>
    <row r="206">
      <c r="E206" s="1"/>
      <c r="J206" s="460"/>
      <c r="K206" s="460"/>
      <c r="L206" s="460"/>
      <c r="M206" s="460"/>
      <c r="V206" s="85"/>
      <c r="X206" s="84"/>
      <c r="AB206" s="28"/>
      <c r="AC206" s="28"/>
    </row>
    <row r="207">
      <c r="E207" s="1"/>
      <c r="J207" s="460"/>
      <c r="K207" s="460"/>
      <c r="L207" s="460"/>
      <c r="M207" s="460"/>
      <c r="V207" s="85"/>
      <c r="X207" s="84"/>
      <c r="AB207" s="28"/>
      <c r="AC207" s="28"/>
    </row>
    <row r="208">
      <c r="E208" s="1"/>
      <c r="J208" s="460"/>
      <c r="K208" s="460"/>
      <c r="L208" s="460"/>
      <c r="M208" s="460"/>
      <c r="V208" s="85"/>
      <c r="X208" s="84"/>
      <c r="AB208" s="28"/>
      <c r="AC208" s="28"/>
    </row>
    <row r="209">
      <c r="E209" s="1"/>
      <c r="J209" s="460"/>
      <c r="K209" s="460"/>
      <c r="L209" s="460"/>
      <c r="M209" s="460"/>
      <c r="V209" s="85"/>
      <c r="X209" s="84"/>
      <c r="AB209" s="28"/>
      <c r="AC209" s="28"/>
    </row>
    <row r="210">
      <c r="E210" s="1"/>
      <c r="J210" s="460"/>
      <c r="K210" s="460"/>
      <c r="L210" s="460"/>
      <c r="M210" s="460"/>
      <c r="V210" s="85"/>
      <c r="X210" s="84"/>
      <c r="AB210" s="28"/>
      <c r="AC210" s="28"/>
    </row>
    <row r="211">
      <c r="E211" s="1"/>
      <c r="J211" s="460"/>
      <c r="K211" s="460"/>
      <c r="L211" s="460"/>
      <c r="M211" s="460"/>
      <c r="V211" s="85"/>
      <c r="X211" s="84"/>
      <c r="AB211" s="28"/>
      <c r="AC211" s="28"/>
    </row>
    <row r="212">
      <c r="E212" s="1"/>
      <c r="J212" s="460"/>
      <c r="K212" s="460"/>
      <c r="L212" s="460"/>
      <c r="M212" s="460"/>
      <c r="V212" s="85"/>
      <c r="X212" s="84"/>
      <c r="AB212" s="28"/>
      <c r="AC212" s="28"/>
    </row>
    <row r="213">
      <c r="E213" s="1"/>
      <c r="J213" s="460"/>
      <c r="K213" s="460"/>
      <c r="L213" s="460"/>
      <c r="M213" s="460"/>
      <c r="V213" s="85"/>
      <c r="X213" s="84"/>
      <c r="AB213" s="28"/>
      <c r="AC213" s="28"/>
    </row>
    <row r="214">
      <c r="E214" s="1"/>
      <c r="J214" s="460"/>
      <c r="K214" s="460"/>
      <c r="L214" s="460"/>
      <c r="M214" s="460"/>
      <c r="V214" s="85"/>
      <c r="X214" s="84"/>
      <c r="AB214" s="28"/>
      <c r="AC214" s="28"/>
    </row>
    <row r="215">
      <c r="E215" s="1"/>
      <c r="J215" s="460"/>
      <c r="K215" s="460"/>
      <c r="L215" s="460"/>
      <c r="M215" s="460"/>
      <c r="V215" s="85"/>
      <c r="X215" s="84"/>
      <c r="AB215" s="28"/>
      <c r="AC215" s="28"/>
    </row>
    <row r="216">
      <c r="E216" s="1"/>
      <c r="J216" s="460"/>
      <c r="K216" s="460"/>
      <c r="L216" s="460"/>
      <c r="M216" s="460"/>
      <c r="V216" s="85"/>
      <c r="X216" s="84"/>
      <c r="AB216" s="28"/>
      <c r="AC216" s="28"/>
    </row>
    <row r="217">
      <c r="E217" s="1"/>
      <c r="J217" s="460"/>
      <c r="K217" s="460"/>
      <c r="L217" s="460"/>
      <c r="M217" s="460"/>
      <c r="V217" s="85"/>
      <c r="X217" s="84"/>
      <c r="AB217" s="28"/>
      <c r="AC217" s="28"/>
    </row>
    <row r="218">
      <c r="E218" s="1"/>
      <c r="J218" s="460"/>
      <c r="K218" s="460"/>
      <c r="L218" s="460"/>
      <c r="M218" s="460"/>
      <c r="V218" s="85"/>
      <c r="X218" s="84"/>
      <c r="AB218" s="28"/>
      <c r="AC218" s="28"/>
    </row>
    <row r="219">
      <c r="E219" s="1"/>
      <c r="J219" s="460"/>
      <c r="K219" s="460"/>
      <c r="L219" s="460"/>
      <c r="M219" s="460"/>
      <c r="V219" s="85"/>
      <c r="X219" s="84"/>
      <c r="AB219" s="28"/>
      <c r="AC219" s="28"/>
    </row>
    <row r="220">
      <c r="E220" s="1"/>
      <c r="J220" s="460"/>
      <c r="K220" s="460"/>
      <c r="L220" s="460"/>
      <c r="M220" s="460"/>
      <c r="V220" s="85"/>
      <c r="X220" s="84"/>
      <c r="AB220" s="28"/>
      <c r="AC220" s="28"/>
    </row>
    <row r="221">
      <c r="E221" s="1"/>
      <c r="J221" s="460"/>
      <c r="K221" s="460"/>
      <c r="L221" s="460"/>
      <c r="M221" s="460"/>
      <c r="V221" s="85"/>
      <c r="X221" s="84"/>
      <c r="AB221" s="28"/>
      <c r="AC221" s="28"/>
    </row>
    <row r="222">
      <c r="E222" s="1"/>
      <c r="J222" s="460"/>
      <c r="K222" s="460"/>
      <c r="L222" s="460"/>
      <c r="M222" s="460"/>
      <c r="V222" s="85"/>
      <c r="X222" s="84"/>
      <c r="AB222" s="28"/>
      <c r="AC222" s="28"/>
    </row>
    <row r="223">
      <c r="E223" s="1"/>
      <c r="J223" s="460"/>
      <c r="K223" s="460"/>
      <c r="L223" s="460"/>
      <c r="M223" s="460"/>
      <c r="V223" s="85"/>
      <c r="X223" s="84"/>
      <c r="AB223" s="28"/>
      <c r="AC223" s="28"/>
    </row>
    <row r="224">
      <c r="E224" s="1"/>
      <c r="J224" s="460"/>
      <c r="K224" s="460"/>
      <c r="L224" s="460"/>
      <c r="M224" s="460"/>
      <c r="V224" s="85"/>
      <c r="X224" s="84"/>
      <c r="AB224" s="28"/>
      <c r="AC224" s="28"/>
    </row>
    <row r="225">
      <c r="E225" s="1"/>
      <c r="J225" s="460"/>
      <c r="K225" s="460"/>
      <c r="L225" s="460"/>
      <c r="M225" s="460"/>
      <c r="V225" s="85"/>
      <c r="X225" s="84"/>
      <c r="AB225" s="28"/>
      <c r="AC225" s="28"/>
    </row>
    <row r="226">
      <c r="E226" s="1"/>
      <c r="J226" s="460"/>
      <c r="K226" s="460"/>
      <c r="L226" s="460"/>
      <c r="M226" s="460"/>
      <c r="V226" s="85"/>
      <c r="X226" s="84"/>
      <c r="AB226" s="28"/>
      <c r="AC226" s="28"/>
    </row>
    <row r="227">
      <c r="E227" s="1"/>
      <c r="J227" s="460"/>
      <c r="K227" s="460"/>
      <c r="L227" s="460"/>
      <c r="M227" s="460"/>
      <c r="V227" s="85"/>
      <c r="X227" s="84"/>
      <c r="AB227" s="28"/>
      <c r="AC227" s="28"/>
    </row>
    <row r="228">
      <c r="E228" s="1"/>
      <c r="J228" s="460"/>
      <c r="K228" s="460"/>
      <c r="L228" s="460"/>
      <c r="M228" s="460"/>
      <c r="V228" s="85"/>
      <c r="X228" s="84"/>
      <c r="AB228" s="28"/>
      <c r="AC228" s="28"/>
    </row>
    <row r="229">
      <c r="E229" s="1"/>
      <c r="J229" s="460"/>
      <c r="K229" s="460"/>
      <c r="L229" s="460"/>
      <c r="M229" s="460"/>
      <c r="V229" s="85"/>
      <c r="X229" s="84"/>
      <c r="AB229" s="28"/>
      <c r="AC229" s="28"/>
    </row>
    <row r="230">
      <c r="E230" s="1"/>
      <c r="J230" s="460"/>
      <c r="K230" s="460"/>
      <c r="L230" s="460"/>
      <c r="M230" s="460"/>
      <c r="V230" s="85"/>
      <c r="X230" s="84"/>
      <c r="AB230" s="28"/>
      <c r="AC230" s="28"/>
    </row>
    <row r="231">
      <c r="E231" s="1"/>
      <c r="J231" s="460"/>
      <c r="K231" s="460"/>
      <c r="L231" s="460"/>
      <c r="M231" s="460"/>
      <c r="V231" s="85"/>
      <c r="X231" s="84"/>
      <c r="AB231" s="28"/>
      <c r="AC231" s="28"/>
    </row>
    <row r="232">
      <c r="E232" s="1"/>
      <c r="J232" s="460"/>
      <c r="K232" s="460"/>
      <c r="L232" s="460"/>
      <c r="M232" s="460"/>
      <c r="V232" s="85"/>
      <c r="X232" s="84"/>
      <c r="AB232" s="28"/>
      <c r="AC232" s="28"/>
    </row>
    <row r="233">
      <c r="E233" s="1"/>
      <c r="J233" s="460"/>
      <c r="K233" s="460"/>
      <c r="L233" s="460"/>
      <c r="M233" s="460"/>
      <c r="V233" s="85"/>
      <c r="X233" s="84"/>
      <c r="AB233" s="28"/>
      <c r="AC233" s="28"/>
    </row>
    <row r="234">
      <c r="E234" s="1"/>
      <c r="J234" s="460"/>
      <c r="K234" s="460"/>
      <c r="L234" s="460"/>
      <c r="M234" s="460"/>
      <c r="V234" s="85"/>
      <c r="X234" s="84"/>
      <c r="AB234" s="28"/>
      <c r="AC234" s="28"/>
    </row>
    <row r="235">
      <c r="E235" s="1"/>
      <c r="J235" s="460"/>
      <c r="K235" s="460"/>
      <c r="L235" s="460"/>
      <c r="M235" s="460"/>
      <c r="V235" s="85"/>
      <c r="X235" s="84"/>
      <c r="AB235" s="28"/>
      <c r="AC235" s="28"/>
    </row>
    <row r="236">
      <c r="E236" s="1"/>
      <c r="J236" s="460"/>
      <c r="K236" s="460"/>
      <c r="L236" s="460"/>
      <c r="M236" s="460"/>
      <c r="V236" s="85"/>
      <c r="X236" s="84"/>
      <c r="AB236" s="28"/>
      <c r="AC236" s="28"/>
    </row>
    <row r="237">
      <c r="E237" s="1"/>
      <c r="J237" s="460"/>
      <c r="K237" s="460"/>
      <c r="L237" s="460"/>
      <c r="M237" s="460"/>
      <c r="V237" s="85"/>
      <c r="X237" s="84"/>
      <c r="AB237" s="28"/>
      <c r="AC237" s="28"/>
    </row>
    <row r="238">
      <c r="E238" s="1"/>
      <c r="J238" s="460"/>
      <c r="K238" s="460"/>
      <c r="L238" s="460"/>
      <c r="M238" s="460"/>
      <c r="V238" s="85"/>
      <c r="X238" s="84"/>
      <c r="AB238" s="28"/>
      <c r="AC238" s="28"/>
    </row>
    <row r="239">
      <c r="E239" s="1"/>
      <c r="J239" s="460"/>
      <c r="K239" s="460"/>
      <c r="L239" s="460"/>
      <c r="M239" s="460"/>
      <c r="V239" s="85"/>
      <c r="X239" s="84"/>
      <c r="AB239" s="28"/>
      <c r="AC239" s="28"/>
    </row>
    <row r="240">
      <c r="E240" s="1"/>
      <c r="J240" s="460"/>
      <c r="K240" s="460"/>
      <c r="L240" s="460"/>
      <c r="M240" s="460"/>
      <c r="V240" s="85"/>
      <c r="X240" s="84"/>
      <c r="AB240" s="28"/>
      <c r="AC240" s="28"/>
    </row>
    <row r="241">
      <c r="E241" s="1"/>
      <c r="J241" s="460"/>
      <c r="K241" s="460"/>
      <c r="L241" s="460"/>
      <c r="M241" s="460"/>
      <c r="V241" s="85"/>
      <c r="X241" s="84"/>
      <c r="AB241" s="28"/>
      <c r="AC241" s="28"/>
    </row>
    <row r="242">
      <c r="E242" s="1"/>
      <c r="J242" s="460"/>
      <c r="K242" s="460"/>
      <c r="L242" s="460"/>
      <c r="M242" s="460"/>
      <c r="V242" s="85"/>
      <c r="X242" s="84"/>
      <c r="AB242" s="28"/>
      <c r="AC242" s="28"/>
    </row>
    <row r="243">
      <c r="E243" s="1"/>
      <c r="J243" s="460"/>
      <c r="K243" s="460"/>
      <c r="L243" s="460"/>
      <c r="M243" s="460"/>
      <c r="V243" s="85"/>
      <c r="X243" s="84"/>
      <c r="AB243" s="28"/>
      <c r="AC243" s="28"/>
    </row>
    <row r="244">
      <c r="E244" s="1"/>
      <c r="J244" s="460"/>
      <c r="K244" s="460"/>
      <c r="L244" s="460"/>
      <c r="M244" s="460"/>
      <c r="V244" s="85"/>
      <c r="X244" s="84"/>
      <c r="AB244" s="28"/>
      <c r="AC244" s="28"/>
    </row>
    <row r="245">
      <c r="E245" s="1"/>
      <c r="J245" s="460"/>
      <c r="K245" s="460"/>
      <c r="L245" s="460"/>
      <c r="M245" s="460"/>
      <c r="V245" s="85"/>
      <c r="X245" s="84"/>
      <c r="AB245" s="28"/>
      <c r="AC245" s="28"/>
    </row>
    <row r="246">
      <c r="E246" s="1"/>
      <c r="J246" s="460"/>
      <c r="K246" s="460"/>
      <c r="L246" s="460"/>
      <c r="M246" s="460"/>
      <c r="V246" s="85"/>
      <c r="X246" s="84"/>
      <c r="AB246" s="28"/>
      <c r="AC246" s="28"/>
    </row>
    <row r="247">
      <c r="E247" s="1"/>
      <c r="J247" s="460"/>
      <c r="K247" s="460"/>
      <c r="L247" s="460"/>
      <c r="M247" s="460"/>
      <c r="V247" s="85"/>
      <c r="X247" s="84"/>
      <c r="AB247" s="28"/>
      <c r="AC247" s="28"/>
    </row>
    <row r="248">
      <c r="E248" s="1"/>
      <c r="J248" s="460"/>
      <c r="K248" s="460"/>
      <c r="L248" s="460"/>
      <c r="M248" s="460"/>
      <c r="V248" s="85"/>
      <c r="X248" s="84"/>
      <c r="AB248" s="28"/>
      <c r="AC248" s="28"/>
    </row>
    <row r="249">
      <c r="E249" s="1"/>
      <c r="J249" s="460"/>
      <c r="K249" s="460"/>
      <c r="L249" s="460"/>
      <c r="M249" s="460"/>
      <c r="V249" s="85"/>
      <c r="X249" s="84"/>
      <c r="AB249" s="28"/>
      <c r="AC249" s="28"/>
    </row>
    <row r="250">
      <c r="E250" s="1"/>
      <c r="J250" s="460"/>
      <c r="K250" s="460"/>
      <c r="L250" s="460"/>
      <c r="M250" s="460"/>
      <c r="V250" s="85"/>
      <c r="X250" s="84"/>
      <c r="AB250" s="28"/>
      <c r="AC250" s="28"/>
    </row>
    <row r="251">
      <c r="E251" s="1"/>
      <c r="J251" s="460"/>
      <c r="K251" s="460"/>
      <c r="L251" s="460"/>
      <c r="M251" s="460"/>
      <c r="V251" s="85"/>
      <c r="X251" s="84"/>
      <c r="AB251" s="28"/>
      <c r="AC251" s="28"/>
    </row>
    <row r="252">
      <c r="E252" s="1"/>
      <c r="J252" s="460"/>
      <c r="K252" s="460"/>
      <c r="L252" s="460"/>
      <c r="M252" s="460"/>
      <c r="V252" s="85"/>
      <c r="X252" s="84"/>
      <c r="AB252" s="28"/>
      <c r="AC252" s="28"/>
    </row>
    <row r="253">
      <c r="E253" s="1"/>
      <c r="J253" s="460"/>
      <c r="K253" s="460"/>
      <c r="L253" s="460"/>
      <c r="M253" s="460"/>
      <c r="V253" s="85"/>
      <c r="X253" s="84"/>
      <c r="AB253" s="28"/>
      <c r="AC253" s="28"/>
    </row>
    <row r="254">
      <c r="E254" s="1"/>
      <c r="J254" s="460"/>
      <c r="K254" s="460"/>
      <c r="L254" s="460"/>
      <c r="M254" s="460"/>
      <c r="V254" s="85"/>
      <c r="X254" s="84"/>
      <c r="AB254" s="28"/>
      <c r="AC254" s="28"/>
    </row>
    <row r="255">
      <c r="E255" s="1"/>
      <c r="J255" s="460"/>
      <c r="K255" s="460"/>
      <c r="L255" s="460"/>
      <c r="M255" s="460"/>
      <c r="V255" s="85"/>
      <c r="X255" s="84"/>
      <c r="AB255" s="28"/>
      <c r="AC255" s="28"/>
    </row>
    <row r="256">
      <c r="E256" s="1"/>
      <c r="J256" s="460"/>
      <c r="K256" s="460"/>
      <c r="L256" s="460"/>
      <c r="M256" s="460"/>
      <c r="V256" s="85"/>
      <c r="X256" s="84"/>
      <c r="AB256" s="28"/>
      <c r="AC256" s="28"/>
    </row>
    <row r="257">
      <c r="E257" s="1"/>
      <c r="J257" s="460"/>
      <c r="K257" s="460"/>
      <c r="L257" s="460"/>
      <c r="M257" s="460"/>
      <c r="V257" s="85"/>
      <c r="X257" s="84"/>
      <c r="AB257" s="28"/>
      <c r="AC257" s="28"/>
    </row>
    <row r="258">
      <c r="E258" s="1"/>
      <c r="J258" s="460"/>
      <c r="K258" s="460"/>
      <c r="L258" s="460"/>
      <c r="M258" s="460"/>
      <c r="V258" s="85"/>
      <c r="X258" s="84"/>
      <c r="AB258" s="28"/>
      <c r="AC258" s="28"/>
    </row>
    <row r="259">
      <c r="E259" s="1"/>
      <c r="J259" s="460"/>
      <c r="K259" s="460"/>
      <c r="L259" s="460"/>
      <c r="M259" s="460"/>
      <c r="V259" s="85"/>
      <c r="X259" s="84"/>
      <c r="AB259" s="28"/>
      <c r="AC259" s="28"/>
    </row>
    <row r="260">
      <c r="E260" s="1"/>
      <c r="J260" s="460"/>
      <c r="K260" s="460"/>
      <c r="L260" s="460"/>
      <c r="M260" s="460"/>
      <c r="V260" s="85"/>
      <c r="X260" s="84"/>
      <c r="AB260" s="28"/>
      <c r="AC260" s="28"/>
    </row>
    <row r="261">
      <c r="E261" s="1"/>
      <c r="J261" s="460"/>
      <c r="K261" s="460"/>
      <c r="L261" s="460"/>
      <c r="M261" s="460"/>
      <c r="V261" s="85"/>
      <c r="X261" s="84"/>
      <c r="AB261" s="28"/>
      <c r="AC261" s="28"/>
    </row>
    <row r="262">
      <c r="E262" s="1"/>
      <c r="J262" s="460"/>
      <c r="K262" s="460"/>
      <c r="L262" s="460"/>
      <c r="M262" s="460"/>
      <c r="V262" s="85"/>
      <c r="X262" s="84"/>
      <c r="AB262" s="28"/>
      <c r="AC262" s="28"/>
    </row>
    <row r="263">
      <c r="E263" s="1"/>
      <c r="J263" s="460"/>
      <c r="K263" s="460"/>
      <c r="L263" s="460"/>
      <c r="M263" s="460"/>
      <c r="V263" s="85"/>
      <c r="X263" s="84"/>
      <c r="AB263" s="28"/>
      <c r="AC263" s="28"/>
    </row>
    <row r="264">
      <c r="E264" s="1"/>
      <c r="J264" s="460"/>
      <c r="K264" s="460"/>
      <c r="L264" s="460"/>
      <c r="M264" s="460"/>
      <c r="V264" s="85"/>
      <c r="X264" s="84"/>
      <c r="AB264" s="28"/>
      <c r="AC264" s="28"/>
    </row>
    <row r="265">
      <c r="E265" s="1"/>
      <c r="J265" s="460"/>
      <c r="K265" s="460"/>
      <c r="L265" s="460"/>
      <c r="M265" s="460"/>
      <c r="V265" s="85"/>
      <c r="X265" s="84"/>
      <c r="AB265" s="28"/>
      <c r="AC265" s="28"/>
    </row>
    <row r="266">
      <c r="E266" s="1"/>
      <c r="J266" s="460"/>
      <c r="K266" s="460"/>
      <c r="L266" s="460"/>
      <c r="M266" s="460"/>
      <c r="V266" s="85"/>
      <c r="X266" s="84"/>
      <c r="AB266" s="28"/>
      <c r="AC266" s="28"/>
    </row>
    <row r="267">
      <c r="E267" s="1"/>
      <c r="J267" s="460"/>
      <c r="K267" s="460"/>
      <c r="L267" s="460"/>
      <c r="M267" s="460"/>
      <c r="V267" s="85"/>
      <c r="X267" s="84"/>
      <c r="AB267" s="28"/>
      <c r="AC267" s="28"/>
    </row>
    <row r="268">
      <c r="E268" s="1"/>
      <c r="J268" s="460"/>
      <c r="K268" s="460"/>
      <c r="L268" s="460"/>
      <c r="M268" s="460"/>
      <c r="V268" s="85"/>
      <c r="X268" s="84"/>
      <c r="AB268" s="28"/>
      <c r="AC268" s="28"/>
    </row>
    <row r="269">
      <c r="E269" s="1"/>
      <c r="J269" s="460"/>
      <c r="K269" s="460"/>
      <c r="L269" s="460"/>
      <c r="M269" s="460"/>
      <c r="V269" s="85"/>
      <c r="X269" s="84"/>
      <c r="AB269" s="28"/>
      <c r="AC269" s="28"/>
    </row>
    <row r="270">
      <c r="E270" s="1"/>
      <c r="J270" s="460"/>
      <c r="K270" s="460"/>
      <c r="L270" s="460"/>
      <c r="M270" s="460"/>
      <c r="V270" s="85"/>
      <c r="X270" s="84"/>
      <c r="AB270" s="28"/>
      <c r="AC270" s="28"/>
    </row>
    <row r="271">
      <c r="E271" s="1"/>
      <c r="J271" s="460"/>
      <c r="K271" s="460"/>
      <c r="L271" s="460"/>
      <c r="M271" s="460"/>
      <c r="V271" s="85"/>
      <c r="X271" s="84"/>
      <c r="AB271" s="28"/>
      <c r="AC271" s="28"/>
    </row>
    <row r="272">
      <c r="E272" s="1"/>
      <c r="J272" s="460"/>
      <c r="K272" s="460"/>
      <c r="L272" s="460"/>
      <c r="M272" s="460"/>
      <c r="V272" s="85"/>
      <c r="X272" s="84"/>
      <c r="AB272" s="28"/>
      <c r="AC272" s="28"/>
    </row>
    <row r="273">
      <c r="E273" s="1"/>
      <c r="J273" s="460"/>
      <c r="K273" s="460"/>
      <c r="L273" s="460"/>
      <c r="M273" s="460"/>
      <c r="V273" s="85"/>
      <c r="X273" s="84"/>
      <c r="AB273" s="28"/>
      <c r="AC273" s="28"/>
    </row>
    <row r="274">
      <c r="E274" s="1"/>
      <c r="J274" s="460"/>
      <c r="K274" s="460"/>
      <c r="L274" s="460"/>
      <c r="M274" s="460"/>
      <c r="V274" s="85"/>
      <c r="X274" s="84"/>
      <c r="AB274" s="28"/>
      <c r="AC274" s="28"/>
    </row>
    <row r="275">
      <c r="E275" s="1"/>
      <c r="J275" s="460"/>
      <c r="K275" s="460"/>
      <c r="L275" s="460"/>
      <c r="M275" s="460"/>
      <c r="V275" s="85"/>
      <c r="X275" s="84"/>
      <c r="AB275" s="28"/>
      <c r="AC275" s="28"/>
    </row>
    <row r="276">
      <c r="E276" s="1"/>
      <c r="J276" s="460"/>
      <c r="K276" s="460"/>
      <c r="L276" s="460"/>
      <c r="M276" s="460"/>
      <c r="V276" s="85"/>
      <c r="X276" s="84"/>
      <c r="AB276" s="28"/>
      <c r="AC276" s="28"/>
    </row>
    <row r="277">
      <c r="E277" s="1"/>
      <c r="J277" s="460"/>
      <c r="K277" s="460"/>
      <c r="L277" s="460"/>
      <c r="M277" s="460"/>
      <c r="V277" s="85"/>
      <c r="X277" s="84"/>
      <c r="AB277" s="28"/>
      <c r="AC277" s="28"/>
    </row>
    <row r="278">
      <c r="E278" s="1"/>
      <c r="J278" s="460"/>
      <c r="K278" s="460"/>
      <c r="L278" s="460"/>
      <c r="M278" s="460"/>
      <c r="V278" s="85"/>
      <c r="X278" s="84"/>
      <c r="AB278" s="28"/>
      <c r="AC278" s="28"/>
    </row>
    <row r="279">
      <c r="E279" s="1"/>
      <c r="J279" s="460"/>
      <c r="K279" s="460"/>
      <c r="L279" s="460"/>
      <c r="M279" s="460"/>
      <c r="V279" s="85"/>
      <c r="X279" s="84"/>
      <c r="AB279" s="28"/>
      <c r="AC279" s="28"/>
    </row>
    <row r="280">
      <c r="E280" s="1"/>
      <c r="J280" s="460"/>
      <c r="K280" s="460"/>
      <c r="L280" s="460"/>
      <c r="M280" s="460"/>
      <c r="V280" s="85"/>
      <c r="X280" s="84"/>
      <c r="AB280" s="28"/>
      <c r="AC280" s="28"/>
    </row>
    <row r="281">
      <c r="E281" s="1"/>
      <c r="J281" s="460"/>
      <c r="K281" s="460"/>
      <c r="L281" s="460"/>
      <c r="M281" s="460"/>
      <c r="V281" s="85"/>
      <c r="X281" s="84"/>
      <c r="AB281" s="28"/>
      <c r="AC281" s="28"/>
    </row>
    <row r="282">
      <c r="E282" s="1"/>
      <c r="J282" s="460"/>
      <c r="K282" s="460"/>
      <c r="L282" s="460"/>
      <c r="M282" s="460"/>
      <c r="V282" s="85"/>
      <c r="X282" s="84"/>
      <c r="AB282" s="28"/>
      <c r="AC282" s="28"/>
    </row>
    <row r="283">
      <c r="E283" s="1"/>
      <c r="J283" s="460"/>
      <c r="K283" s="460"/>
      <c r="L283" s="460"/>
      <c r="M283" s="460"/>
      <c r="V283" s="85"/>
      <c r="X283" s="84"/>
      <c r="AB283" s="28"/>
      <c r="AC283" s="28"/>
    </row>
    <row r="284">
      <c r="E284" s="1"/>
      <c r="J284" s="460"/>
      <c r="K284" s="460"/>
      <c r="L284" s="460"/>
      <c r="M284" s="460"/>
      <c r="V284" s="85"/>
      <c r="X284" s="84"/>
      <c r="AB284" s="28"/>
      <c r="AC284" s="28"/>
    </row>
    <row r="285">
      <c r="E285" s="1"/>
      <c r="J285" s="460"/>
      <c r="K285" s="460"/>
      <c r="L285" s="460"/>
      <c r="M285" s="460"/>
      <c r="V285" s="85"/>
      <c r="X285" s="84"/>
      <c r="AB285" s="28"/>
      <c r="AC285" s="28"/>
    </row>
    <row r="286">
      <c r="E286" s="1"/>
      <c r="J286" s="460"/>
      <c r="K286" s="460"/>
      <c r="L286" s="460"/>
      <c r="M286" s="460"/>
      <c r="V286" s="85"/>
      <c r="X286" s="84"/>
      <c r="AB286" s="28"/>
      <c r="AC286" s="28"/>
    </row>
    <row r="287">
      <c r="E287" s="1"/>
      <c r="J287" s="460"/>
      <c r="K287" s="460"/>
      <c r="L287" s="460"/>
      <c r="M287" s="460"/>
      <c r="V287" s="85"/>
      <c r="X287" s="84"/>
      <c r="AB287" s="28"/>
      <c r="AC287" s="28"/>
    </row>
    <row r="288">
      <c r="E288" s="1"/>
      <c r="J288" s="460"/>
      <c r="K288" s="460"/>
      <c r="L288" s="460"/>
      <c r="M288" s="460"/>
      <c r="V288" s="85"/>
      <c r="X288" s="84"/>
      <c r="AB288" s="28"/>
      <c r="AC288" s="28"/>
    </row>
    <row r="289">
      <c r="E289" s="1"/>
      <c r="J289" s="460"/>
      <c r="K289" s="460"/>
      <c r="L289" s="460"/>
      <c r="M289" s="460"/>
      <c r="V289" s="85"/>
      <c r="X289" s="84"/>
      <c r="AB289" s="28"/>
      <c r="AC289" s="28"/>
    </row>
    <row r="290">
      <c r="E290" s="1"/>
      <c r="J290" s="460"/>
      <c r="K290" s="460"/>
      <c r="L290" s="460"/>
      <c r="M290" s="460"/>
      <c r="V290" s="85"/>
      <c r="X290" s="84"/>
      <c r="AB290" s="28"/>
      <c r="AC290" s="28"/>
    </row>
    <row r="291">
      <c r="E291" s="1"/>
      <c r="J291" s="460"/>
      <c r="K291" s="460"/>
      <c r="L291" s="460"/>
      <c r="M291" s="460"/>
      <c r="V291" s="85"/>
      <c r="X291" s="84"/>
      <c r="AB291" s="28"/>
      <c r="AC291" s="28"/>
    </row>
    <row r="292">
      <c r="E292" s="1"/>
      <c r="J292" s="460"/>
      <c r="K292" s="460"/>
      <c r="L292" s="460"/>
      <c r="M292" s="460"/>
      <c r="V292" s="85"/>
      <c r="X292" s="84"/>
      <c r="AB292" s="28"/>
      <c r="AC292" s="28"/>
    </row>
    <row r="293">
      <c r="E293" s="1"/>
      <c r="J293" s="460"/>
      <c r="K293" s="460"/>
      <c r="L293" s="460"/>
      <c r="M293" s="460"/>
      <c r="V293" s="85"/>
      <c r="X293" s="84"/>
      <c r="AB293" s="28"/>
      <c r="AC293" s="28"/>
    </row>
    <row r="294">
      <c r="E294" s="1"/>
      <c r="J294" s="460"/>
      <c r="K294" s="460"/>
      <c r="L294" s="460"/>
      <c r="M294" s="460"/>
      <c r="V294" s="85"/>
      <c r="X294" s="84"/>
      <c r="AB294" s="28"/>
      <c r="AC294" s="28"/>
    </row>
    <row r="295">
      <c r="E295" s="1"/>
      <c r="J295" s="460"/>
      <c r="K295" s="460"/>
      <c r="L295" s="460"/>
      <c r="M295" s="460"/>
      <c r="V295" s="85"/>
      <c r="X295" s="84"/>
      <c r="AB295" s="28"/>
      <c r="AC295" s="28"/>
    </row>
    <row r="296">
      <c r="E296" s="1"/>
      <c r="J296" s="460"/>
      <c r="K296" s="460"/>
      <c r="L296" s="460"/>
      <c r="M296" s="460"/>
      <c r="V296" s="85"/>
      <c r="X296" s="84"/>
      <c r="AB296" s="28"/>
      <c r="AC296" s="28"/>
    </row>
    <row r="297">
      <c r="E297" s="1"/>
      <c r="J297" s="460"/>
      <c r="K297" s="460"/>
      <c r="L297" s="460"/>
      <c r="M297" s="460"/>
      <c r="V297" s="85"/>
      <c r="X297" s="84"/>
      <c r="AB297" s="28"/>
      <c r="AC297" s="28"/>
    </row>
    <row r="298">
      <c r="E298" s="1"/>
      <c r="J298" s="460"/>
      <c r="K298" s="460"/>
      <c r="L298" s="460"/>
      <c r="M298" s="460"/>
      <c r="V298" s="85"/>
      <c r="X298" s="84"/>
      <c r="AB298" s="28"/>
      <c r="AC298" s="28"/>
    </row>
    <row r="299">
      <c r="E299" s="1"/>
      <c r="J299" s="460"/>
      <c r="K299" s="460"/>
      <c r="L299" s="460"/>
      <c r="M299" s="460"/>
      <c r="V299" s="85"/>
      <c r="X299" s="84"/>
      <c r="AB299" s="28"/>
      <c r="AC299" s="28"/>
    </row>
    <row r="300">
      <c r="E300" s="1"/>
      <c r="J300" s="460"/>
      <c r="K300" s="460"/>
      <c r="L300" s="460"/>
      <c r="M300" s="460"/>
      <c r="V300" s="85"/>
      <c r="X300" s="84"/>
      <c r="AB300" s="28"/>
      <c r="AC300" s="28"/>
    </row>
    <row r="301">
      <c r="E301" s="1"/>
      <c r="J301" s="460"/>
      <c r="K301" s="460"/>
      <c r="L301" s="460"/>
      <c r="M301" s="460"/>
      <c r="V301" s="85"/>
      <c r="X301" s="84"/>
      <c r="AB301" s="28"/>
      <c r="AC301" s="28"/>
    </row>
    <row r="302">
      <c r="E302" s="1"/>
      <c r="J302" s="460"/>
      <c r="K302" s="460"/>
      <c r="L302" s="460"/>
      <c r="M302" s="460"/>
      <c r="V302" s="85"/>
      <c r="X302" s="84"/>
      <c r="AB302" s="28"/>
      <c r="AC302" s="28"/>
    </row>
    <row r="303">
      <c r="E303" s="1"/>
      <c r="J303" s="460"/>
      <c r="K303" s="460"/>
      <c r="L303" s="460"/>
      <c r="M303" s="460"/>
      <c r="V303" s="85"/>
      <c r="X303" s="84"/>
      <c r="AB303" s="28"/>
      <c r="AC303" s="28"/>
    </row>
    <row r="304">
      <c r="E304" s="1"/>
      <c r="J304" s="460"/>
      <c r="K304" s="460"/>
      <c r="L304" s="460"/>
      <c r="M304" s="460"/>
      <c r="V304" s="85"/>
      <c r="X304" s="84"/>
      <c r="AB304" s="28"/>
      <c r="AC304" s="28"/>
    </row>
    <row r="305">
      <c r="E305" s="1"/>
      <c r="J305" s="460"/>
      <c r="K305" s="460"/>
      <c r="L305" s="460"/>
      <c r="M305" s="460"/>
      <c r="V305" s="85"/>
      <c r="X305" s="84"/>
      <c r="AB305" s="28"/>
      <c r="AC305" s="28"/>
    </row>
    <row r="306">
      <c r="E306" s="1"/>
      <c r="J306" s="460"/>
      <c r="K306" s="460"/>
      <c r="L306" s="460"/>
      <c r="M306" s="460"/>
      <c r="V306" s="85"/>
      <c r="X306" s="84"/>
      <c r="AB306" s="28"/>
      <c r="AC306" s="28"/>
    </row>
    <row r="307">
      <c r="E307" s="1"/>
      <c r="J307" s="460"/>
      <c r="K307" s="460"/>
      <c r="L307" s="460"/>
      <c r="M307" s="460"/>
      <c r="V307" s="85"/>
      <c r="X307" s="84"/>
      <c r="AB307" s="28"/>
      <c r="AC307" s="28"/>
    </row>
    <row r="308">
      <c r="E308" s="1"/>
      <c r="J308" s="460"/>
      <c r="K308" s="460"/>
      <c r="L308" s="460"/>
      <c r="M308" s="460"/>
      <c r="V308" s="85"/>
      <c r="X308" s="84"/>
      <c r="AB308" s="28"/>
      <c r="AC308" s="28"/>
    </row>
    <row r="309">
      <c r="E309" s="1"/>
      <c r="J309" s="460"/>
      <c r="K309" s="460"/>
      <c r="L309" s="460"/>
      <c r="M309" s="460"/>
      <c r="V309" s="85"/>
      <c r="X309" s="84"/>
      <c r="AB309" s="28"/>
      <c r="AC309" s="28"/>
    </row>
    <row r="310">
      <c r="E310" s="1"/>
      <c r="J310" s="460"/>
      <c r="K310" s="460"/>
      <c r="L310" s="460"/>
      <c r="M310" s="460"/>
      <c r="V310" s="85"/>
      <c r="X310" s="84"/>
      <c r="AB310" s="28"/>
      <c r="AC310" s="28"/>
    </row>
    <row r="311">
      <c r="E311" s="1"/>
      <c r="J311" s="460"/>
      <c r="K311" s="460"/>
      <c r="L311" s="460"/>
      <c r="M311" s="460"/>
      <c r="V311" s="85"/>
      <c r="X311" s="84"/>
      <c r="AB311" s="28"/>
      <c r="AC311" s="28"/>
    </row>
    <row r="312">
      <c r="E312" s="1"/>
      <c r="J312" s="460"/>
      <c r="K312" s="460"/>
      <c r="L312" s="460"/>
      <c r="M312" s="460"/>
      <c r="V312" s="85"/>
      <c r="X312" s="84"/>
      <c r="AB312" s="28"/>
      <c r="AC312" s="28"/>
    </row>
    <row r="313">
      <c r="E313" s="1"/>
      <c r="J313" s="460"/>
      <c r="K313" s="460"/>
      <c r="L313" s="460"/>
      <c r="M313" s="460"/>
      <c r="V313" s="85"/>
      <c r="X313" s="84"/>
      <c r="AB313" s="28"/>
      <c r="AC313" s="28"/>
    </row>
    <row r="314">
      <c r="E314" s="1"/>
      <c r="J314" s="460"/>
      <c r="K314" s="460"/>
      <c r="L314" s="460"/>
      <c r="M314" s="460"/>
      <c r="V314" s="85"/>
      <c r="X314" s="84"/>
      <c r="AB314" s="28"/>
      <c r="AC314" s="28"/>
    </row>
    <row r="315">
      <c r="E315" s="1"/>
      <c r="J315" s="460"/>
      <c r="K315" s="460"/>
      <c r="L315" s="460"/>
      <c r="M315" s="460"/>
      <c r="V315" s="85"/>
      <c r="X315" s="84"/>
      <c r="AB315" s="28"/>
      <c r="AC315" s="28"/>
    </row>
    <row r="316">
      <c r="E316" s="1"/>
      <c r="J316" s="460"/>
      <c r="K316" s="460"/>
      <c r="L316" s="460"/>
      <c r="M316" s="460"/>
      <c r="V316" s="85"/>
      <c r="X316" s="84"/>
      <c r="AB316" s="28"/>
      <c r="AC316" s="28"/>
    </row>
    <row r="317">
      <c r="E317" s="1"/>
      <c r="J317" s="460"/>
      <c r="K317" s="460"/>
      <c r="L317" s="460"/>
      <c r="M317" s="460"/>
      <c r="V317" s="85"/>
      <c r="X317" s="84"/>
      <c r="AB317" s="28"/>
      <c r="AC317" s="28"/>
    </row>
    <row r="318">
      <c r="E318" s="1"/>
      <c r="J318" s="460"/>
      <c r="K318" s="460"/>
      <c r="L318" s="460"/>
      <c r="M318" s="460"/>
      <c r="V318" s="85"/>
      <c r="X318" s="84"/>
      <c r="AB318" s="28"/>
      <c r="AC318" s="28"/>
    </row>
    <row r="319">
      <c r="E319" s="1"/>
      <c r="J319" s="460"/>
      <c r="K319" s="460"/>
      <c r="L319" s="460"/>
      <c r="M319" s="460"/>
      <c r="V319" s="85"/>
      <c r="X319" s="84"/>
      <c r="AB319" s="28"/>
      <c r="AC319" s="28"/>
    </row>
    <row r="320">
      <c r="E320" s="1"/>
      <c r="J320" s="460"/>
      <c r="K320" s="460"/>
      <c r="L320" s="460"/>
      <c r="M320" s="460"/>
      <c r="V320" s="85"/>
      <c r="X320" s="84"/>
      <c r="AB320" s="28"/>
      <c r="AC320" s="28"/>
    </row>
    <row r="321">
      <c r="E321" s="1"/>
      <c r="J321" s="460"/>
      <c r="K321" s="460"/>
      <c r="L321" s="460"/>
      <c r="M321" s="460"/>
      <c r="V321" s="85"/>
      <c r="X321" s="84"/>
      <c r="AB321" s="28"/>
      <c r="AC321" s="28"/>
    </row>
    <row r="322">
      <c r="E322" s="1"/>
      <c r="J322" s="460"/>
      <c r="K322" s="460"/>
      <c r="L322" s="460"/>
      <c r="M322" s="460"/>
      <c r="V322" s="85"/>
      <c r="X322" s="84"/>
      <c r="AB322" s="28"/>
      <c r="AC322" s="28"/>
    </row>
    <row r="323">
      <c r="E323" s="1"/>
      <c r="J323" s="460"/>
      <c r="K323" s="460"/>
      <c r="L323" s="460"/>
      <c r="M323" s="460"/>
      <c r="V323" s="85"/>
      <c r="X323" s="84"/>
      <c r="AB323" s="28"/>
      <c r="AC323" s="28"/>
    </row>
    <row r="324">
      <c r="E324" s="1"/>
      <c r="J324" s="460"/>
      <c r="K324" s="460"/>
      <c r="L324" s="460"/>
      <c r="M324" s="460"/>
      <c r="V324" s="85"/>
      <c r="X324" s="84"/>
      <c r="AB324" s="28"/>
      <c r="AC324" s="28"/>
    </row>
    <row r="325">
      <c r="E325" s="1"/>
      <c r="J325" s="460"/>
      <c r="K325" s="460"/>
      <c r="L325" s="460"/>
      <c r="M325" s="460"/>
      <c r="V325" s="85"/>
      <c r="X325" s="84"/>
      <c r="AB325" s="28"/>
      <c r="AC325" s="28"/>
    </row>
    <row r="326">
      <c r="E326" s="1"/>
      <c r="J326" s="460"/>
      <c r="K326" s="460"/>
      <c r="L326" s="460"/>
      <c r="M326" s="460"/>
      <c r="V326" s="85"/>
      <c r="X326" s="84"/>
      <c r="AB326" s="28"/>
      <c r="AC326" s="28"/>
    </row>
    <row r="327">
      <c r="E327" s="1"/>
      <c r="J327" s="460"/>
      <c r="K327" s="460"/>
      <c r="L327" s="460"/>
      <c r="M327" s="460"/>
      <c r="V327" s="85"/>
      <c r="X327" s="84"/>
      <c r="AB327" s="28"/>
      <c r="AC327" s="28"/>
    </row>
    <row r="328">
      <c r="E328" s="1"/>
      <c r="J328" s="460"/>
      <c r="K328" s="460"/>
      <c r="L328" s="460"/>
      <c r="M328" s="460"/>
      <c r="V328" s="85"/>
      <c r="X328" s="84"/>
      <c r="AB328" s="28"/>
      <c r="AC328" s="28"/>
    </row>
    <row r="329">
      <c r="E329" s="1"/>
      <c r="J329" s="460"/>
      <c r="K329" s="460"/>
      <c r="L329" s="460"/>
      <c r="M329" s="460"/>
      <c r="V329" s="85"/>
      <c r="X329" s="84"/>
      <c r="AB329" s="28"/>
      <c r="AC329" s="28"/>
    </row>
    <row r="330">
      <c r="E330" s="1"/>
      <c r="J330" s="460"/>
      <c r="K330" s="460"/>
      <c r="L330" s="460"/>
      <c r="M330" s="460"/>
      <c r="V330" s="85"/>
      <c r="X330" s="84"/>
      <c r="AB330" s="28"/>
      <c r="AC330" s="28"/>
    </row>
    <row r="331">
      <c r="E331" s="1"/>
      <c r="J331" s="460"/>
      <c r="K331" s="460"/>
      <c r="L331" s="460"/>
      <c r="M331" s="460"/>
      <c r="V331" s="85"/>
      <c r="X331" s="84"/>
      <c r="AB331" s="28"/>
      <c r="AC331" s="28"/>
    </row>
    <row r="332">
      <c r="E332" s="1"/>
      <c r="J332" s="460"/>
      <c r="K332" s="460"/>
      <c r="L332" s="460"/>
      <c r="M332" s="460"/>
      <c r="V332" s="85"/>
      <c r="X332" s="84"/>
      <c r="AB332" s="28"/>
      <c r="AC332" s="28"/>
    </row>
    <row r="333">
      <c r="E333" s="1"/>
      <c r="J333" s="460"/>
      <c r="K333" s="460"/>
      <c r="L333" s="460"/>
      <c r="M333" s="460"/>
      <c r="V333" s="85"/>
      <c r="X333" s="84"/>
      <c r="AB333" s="28"/>
      <c r="AC333" s="28"/>
    </row>
    <row r="334">
      <c r="E334" s="1"/>
      <c r="J334" s="460"/>
      <c r="K334" s="460"/>
      <c r="L334" s="460"/>
      <c r="M334" s="460"/>
      <c r="V334" s="85"/>
      <c r="X334" s="84"/>
      <c r="AB334" s="28"/>
      <c r="AC334" s="28"/>
    </row>
    <row r="335">
      <c r="E335" s="1"/>
      <c r="J335" s="460"/>
      <c r="K335" s="460"/>
      <c r="L335" s="460"/>
      <c r="M335" s="460"/>
      <c r="V335" s="85"/>
      <c r="X335" s="84"/>
      <c r="AB335" s="28"/>
      <c r="AC335" s="28"/>
    </row>
    <row r="336">
      <c r="E336" s="1"/>
      <c r="J336" s="460"/>
      <c r="K336" s="460"/>
      <c r="L336" s="460"/>
      <c r="M336" s="460"/>
      <c r="V336" s="85"/>
      <c r="X336" s="84"/>
      <c r="AB336" s="28"/>
      <c r="AC336" s="28"/>
    </row>
    <row r="337">
      <c r="E337" s="1"/>
      <c r="J337" s="460"/>
      <c r="K337" s="460"/>
      <c r="L337" s="460"/>
      <c r="M337" s="460"/>
      <c r="V337" s="85"/>
      <c r="X337" s="84"/>
      <c r="AB337" s="28"/>
      <c r="AC337" s="28"/>
    </row>
    <row r="338">
      <c r="E338" s="1"/>
      <c r="J338" s="460"/>
      <c r="K338" s="460"/>
      <c r="L338" s="460"/>
      <c r="M338" s="460"/>
      <c r="V338" s="85"/>
      <c r="X338" s="84"/>
      <c r="AB338" s="28"/>
      <c r="AC338" s="28"/>
    </row>
    <row r="339">
      <c r="E339" s="1"/>
      <c r="J339" s="460"/>
      <c r="K339" s="460"/>
      <c r="L339" s="460"/>
      <c r="M339" s="460"/>
      <c r="V339" s="85"/>
      <c r="X339" s="84"/>
      <c r="AB339" s="28"/>
      <c r="AC339" s="28"/>
    </row>
    <row r="340">
      <c r="E340" s="1"/>
      <c r="J340" s="460"/>
      <c r="K340" s="460"/>
      <c r="L340" s="460"/>
      <c r="M340" s="460"/>
      <c r="V340" s="85"/>
      <c r="X340" s="84"/>
      <c r="AB340" s="28"/>
      <c r="AC340" s="28"/>
    </row>
    <row r="341">
      <c r="E341" s="1"/>
      <c r="J341" s="460"/>
      <c r="K341" s="460"/>
      <c r="L341" s="460"/>
      <c r="M341" s="460"/>
      <c r="V341" s="85"/>
      <c r="X341" s="84"/>
      <c r="AB341" s="28"/>
      <c r="AC341" s="28"/>
    </row>
    <row r="342">
      <c r="E342" s="1"/>
      <c r="J342" s="460"/>
      <c r="K342" s="460"/>
      <c r="L342" s="460"/>
      <c r="M342" s="460"/>
      <c r="V342" s="85"/>
      <c r="X342" s="84"/>
      <c r="AB342" s="28"/>
      <c r="AC342" s="28"/>
    </row>
    <row r="343">
      <c r="E343" s="1"/>
      <c r="J343" s="460"/>
      <c r="K343" s="460"/>
      <c r="L343" s="460"/>
      <c r="M343" s="460"/>
      <c r="V343" s="85"/>
      <c r="X343" s="84"/>
      <c r="AB343" s="28"/>
      <c r="AC343" s="28"/>
    </row>
    <row r="344">
      <c r="E344" s="1"/>
      <c r="J344" s="460"/>
      <c r="K344" s="460"/>
      <c r="L344" s="460"/>
      <c r="M344" s="460"/>
      <c r="V344" s="85"/>
      <c r="X344" s="84"/>
      <c r="AB344" s="28"/>
      <c r="AC344" s="28"/>
    </row>
    <row r="345">
      <c r="E345" s="1"/>
      <c r="J345" s="460"/>
      <c r="K345" s="460"/>
      <c r="L345" s="460"/>
      <c r="M345" s="460"/>
      <c r="V345" s="85"/>
      <c r="X345" s="84"/>
      <c r="AB345" s="28"/>
      <c r="AC345" s="28"/>
    </row>
    <row r="346">
      <c r="E346" s="1"/>
      <c r="J346" s="460"/>
      <c r="K346" s="460"/>
      <c r="L346" s="460"/>
      <c r="M346" s="460"/>
      <c r="V346" s="85"/>
      <c r="X346" s="84"/>
      <c r="AB346" s="28"/>
      <c r="AC346" s="28"/>
    </row>
    <row r="347">
      <c r="E347" s="1"/>
      <c r="J347" s="460"/>
      <c r="K347" s="460"/>
      <c r="L347" s="460"/>
      <c r="M347" s="460"/>
      <c r="V347" s="85"/>
      <c r="X347" s="84"/>
      <c r="AB347" s="28"/>
      <c r="AC347" s="28"/>
    </row>
    <row r="348">
      <c r="E348" s="1"/>
      <c r="J348" s="460"/>
      <c r="K348" s="460"/>
      <c r="L348" s="460"/>
      <c r="M348" s="460"/>
      <c r="V348" s="85"/>
      <c r="X348" s="84"/>
      <c r="AB348" s="28"/>
      <c r="AC348" s="28"/>
    </row>
    <row r="349">
      <c r="E349" s="1"/>
      <c r="J349" s="460"/>
      <c r="K349" s="460"/>
      <c r="L349" s="460"/>
      <c r="M349" s="460"/>
      <c r="V349" s="85"/>
      <c r="X349" s="84"/>
      <c r="AB349" s="28"/>
      <c r="AC349" s="28"/>
    </row>
    <row r="350">
      <c r="E350" s="1"/>
      <c r="J350" s="460"/>
      <c r="K350" s="460"/>
      <c r="L350" s="460"/>
      <c r="M350" s="460"/>
      <c r="V350" s="85"/>
      <c r="X350" s="84"/>
      <c r="AB350" s="28"/>
      <c r="AC350" s="28"/>
    </row>
    <row r="351">
      <c r="E351" s="1"/>
      <c r="J351" s="460"/>
      <c r="K351" s="460"/>
      <c r="L351" s="460"/>
      <c r="M351" s="460"/>
      <c r="V351" s="85"/>
      <c r="X351" s="84"/>
      <c r="AB351" s="28"/>
      <c r="AC351" s="28"/>
    </row>
    <row r="352">
      <c r="E352" s="1"/>
      <c r="J352" s="460"/>
      <c r="K352" s="460"/>
      <c r="L352" s="460"/>
      <c r="M352" s="460"/>
      <c r="V352" s="85"/>
      <c r="X352" s="84"/>
      <c r="AB352" s="28"/>
      <c r="AC352" s="28"/>
    </row>
    <row r="353">
      <c r="E353" s="1"/>
      <c r="J353" s="460"/>
      <c r="K353" s="460"/>
      <c r="L353" s="460"/>
      <c r="M353" s="460"/>
      <c r="V353" s="85"/>
      <c r="X353" s="84"/>
      <c r="AB353" s="28"/>
      <c r="AC353" s="28"/>
    </row>
    <row r="354">
      <c r="E354" s="1"/>
      <c r="J354" s="460"/>
      <c r="K354" s="460"/>
      <c r="L354" s="460"/>
      <c r="M354" s="460"/>
      <c r="V354" s="85"/>
      <c r="X354" s="84"/>
      <c r="AB354" s="28"/>
      <c r="AC354" s="28"/>
    </row>
    <row r="355">
      <c r="E355" s="1"/>
      <c r="J355" s="460"/>
      <c r="K355" s="460"/>
      <c r="L355" s="460"/>
      <c r="M355" s="460"/>
      <c r="V355" s="85"/>
      <c r="X355" s="84"/>
      <c r="AB355" s="28"/>
      <c r="AC355" s="28"/>
    </row>
    <row r="356">
      <c r="E356" s="1"/>
      <c r="J356" s="460"/>
      <c r="K356" s="460"/>
      <c r="L356" s="460"/>
      <c r="M356" s="460"/>
      <c r="V356" s="85"/>
      <c r="X356" s="84"/>
      <c r="AB356" s="28"/>
      <c r="AC356" s="28"/>
    </row>
    <row r="357">
      <c r="E357" s="1"/>
      <c r="J357" s="460"/>
      <c r="K357" s="460"/>
      <c r="L357" s="460"/>
      <c r="M357" s="460"/>
      <c r="V357" s="85"/>
      <c r="X357" s="84"/>
      <c r="AB357" s="28"/>
      <c r="AC357" s="28"/>
    </row>
    <row r="358">
      <c r="E358" s="1"/>
      <c r="J358" s="460"/>
      <c r="K358" s="460"/>
      <c r="L358" s="460"/>
      <c r="M358" s="460"/>
      <c r="V358" s="85"/>
      <c r="X358" s="84"/>
      <c r="AB358" s="28"/>
      <c r="AC358" s="28"/>
    </row>
    <row r="359">
      <c r="E359" s="1"/>
      <c r="J359" s="460"/>
      <c r="K359" s="460"/>
      <c r="L359" s="460"/>
      <c r="M359" s="460"/>
      <c r="V359" s="85"/>
      <c r="X359" s="84"/>
      <c r="AB359" s="28"/>
      <c r="AC359" s="28"/>
    </row>
    <row r="360">
      <c r="E360" s="1"/>
      <c r="J360" s="460"/>
      <c r="K360" s="460"/>
      <c r="L360" s="460"/>
      <c r="M360" s="460"/>
      <c r="V360" s="85"/>
      <c r="X360" s="84"/>
      <c r="AB360" s="28"/>
      <c r="AC360" s="28"/>
    </row>
    <row r="361">
      <c r="E361" s="1"/>
      <c r="J361" s="460"/>
      <c r="K361" s="460"/>
      <c r="L361" s="460"/>
      <c r="M361" s="460"/>
      <c r="V361" s="85"/>
      <c r="X361" s="84"/>
      <c r="AB361" s="28"/>
      <c r="AC361" s="28"/>
    </row>
    <row r="362">
      <c r="E362" s="1"/>
      <c r="J362" s="460"/>
      <c r="K362" s="460"/>
      <c r="L362" s="460"/>
      <c r="M362" s="460"/>
      <c r="V362" s="85"/>
      <c r="X362" s="84"/>
      <c r="AB362" s="28"/>
      <c r="AC362" s="28"/>
    </row>
    <row r="363">
      <c r="E363" s="1"/>
      <c r="J363" s="460"/>
      <c r="K363" s="460"/>
      <c r="L363" s="460"/>
      <c r="M363" s="460"/>
      <c r="V363" s="85"/>
      <c r="X363" s="84"/>
      <c r="AB363" s="28"/>
      <c r="AC363" s="28"/>
    </row>
    <row r="364">
      <c r="E364" s="1"/>
      <c r="J364" s="460"/>
      <c r="K364" s="460"/>
      <c r="L364" s="460"/>
      <c r="M364" s="460"/>
      <c r="V364" s="85"/>
      <c r="X364" s="84"/>
      <c r="AB364" s="28"/>
      <c r="AC364" s="28"/>
    </row>
    <row r="365">
      <c r="E365" s="1"/>
      <c r="J365" s="460"/>
      <c r="K365" s="460"/>
      <c r="L365" s="460"/>
      <c r="M365" s="460"/>
      <c r="V365" s="85"/>
      <c r="X365" s="84"/>
      <c r="AB365" s="28"/>
      <c r="AC365" s="28"/>
    </row>
    <row r="366">
      <c r="E366" s="1"/>
      <c r="J366" s="460"/>
      <c r="K366" s="460"/>
      <c r="L366" s="460"/>
      <c r="M366" s="460"/>
      <c r="V366" s="85"/>
      <c r="X366" s="84"/>
      <c r="AB366" s="28"/>
      <c r="AC366" s="28"/>
    </row>
    <row r="367">
      <c r="E367" s="1"/>
      <c r="J367" s="460"/>
      <c r="K367" s="460"/>
      <c r="L367" s="460"/>
      <c r="M367" s="460"/>
      <c r="V367" s="85"/>
      <c r="X367" s="84"/>
      <c r="AB367" s="28"/>
      <c r="AC367" s="28"/>
    </row>
    <row r="368">
      <c r="E368" s="1"/>
      <c r="J368" s="460"/>
      <c r="K368" s="460"/>
      <c r="L368" s="460"/>
      <c r="M368" s="460"/>
      <c r="V368" s="85"/>
      <c r="X368" s="84"/>
      <c r="AB368" s="28"/>
      <c r="AC368" s="28"/>
    </row>
    <row r="369">
      <c r="E369" s="1"/>
      <c r="J369" s="460"/>
      <c r="K369" s="460"/>
      <c r="L369" s="460"/>
      <c r="M369" s="460"/>
      <c r="V369" s="85"/>
      <c r="X369" s="84"/>
      <c r="AB369" s="28"/>
      <c r="AC369" s="28"/>
    </row>
    <row r="370">
      <c r="E370" s="1"/>
      <c r="J370" s="460"/>
      <c r="K370" s="460"/>
      <c r="L370" s="460"/>
      <c r="M370" s="460"/>
      <c r="V370" s="85"/>
      <c r="X370" s="84"/>
      <c r="AB370" s="28"/>
      <c r="AC370" s="28"/>
    </row>
    <row r="371">
      <c r="E371" s="1"/>
      <c r="J371" s="460"/>
      <c r="K371" s="460"/>
      <c r="L371" s="460"/>
      <c r="M371" s="460"/>
      <c r="V371" s="85"/>
      <c r="X371" s="84"/>
      <c r="AB371" s="28"/>
      <c r="AC371" s="28"/>
    </row>
    <row r="372">
      <c r="E372" s="1"/>
      <c r="J372" s="460"/>
      <c r="K372" s="460"/>
      <c r="L372" s="460"/>
      <c r="M372" s="460"/>
      <c r="V372" s="85"/>
      <c r="X372" s="84"/>
      <c r="AB372" s="28"/>
      <c r="AC372" s="28"/>
    </row>
    <row r="373">
      <c r="E373" s="1"/>
      <c r="J373" s="460"/>
      <c r="K373" s="460"/>
      <c r="L373" s="460"/>
      <c r="M373" s="460"/>
      <c r="V373" s="85"/>
      <c r="X373" s="84"/>
      <c r="AB373" s="28"/>
      <c r="AC373" s="28"/>
    </row>
    <row r="374">
      <c r="E374" s="1"/>
      <c r="J374" s="460"/>
      <c r="K374" s="460"/>
      <c r="L374" s="460"/>
      <c r="M374" s="460"/>
      <c r="V374" s="85"/>
      <c r="X374" s="84"/>
      <c r="AB374" s="28"/>
      <c r="AC374" s="28"/>
    </row>
    <row r="375">
      <c r="E375" s="1"/>
      <c r="J375" s="460"/>
      <c r="K375" s="460"/>
      <c r="L375" s="460"/>
      <c r="M375" s="460"/>
      <c r="V375" s="85"/>
      <c r="X375" s="84"/>
      <c r="AB375" s="28"/>
      <c r="AC375" s="28"/>
    </row>
    <row r="376">
      <c r="E376" s="1"/>
      <c r="J376" s="460"/>
      <c r="K376" s="460"/>
      <c r="L376" s="460"/>
      <c r="M376" s="460"/>
      <c r="V376" s="85"/>
      <c r="X376" s="84"/>
      <c r="AB376" s="28"/>
      <c r="AC376" s="28"/>
    </row>
    <row r="377">
      <c r="E377" s="1"/>
      <c r="J377" s="460"/>
      <c r="K377" s="460"/>
      <c r="L377" s="460"/>
      <c r="M377" s="460"/>
      <c r="V377" s="85"/>
      <c r="X377" s="84"/>
      <c r="AB377" s="28"/>
      <c r="AC377" s="28"/>
    </row>
    <row r="378">
      <c r="E378" s="1"/>
      <c r="J378" s="460"/>
      <c r="K378" s="460"/>
      <c r="L378" s="460"/>
      <c r="M378" s="460"/>
      <c r="V378" s="85"/>
      <c r="X378" s="84"/>
      <c r="AB378" s="28"/>
      <c r="AC378" s="28"/>
    </row>
    <row r="379">
      <c r="E379" s="1"/>
      <c r="J379" s="460"/>
      <c r="K379" s="460"/>
      <c r="L379" s="460"/>
      <c r="M379" s="460"/>
      <c r="V379" s="85"/>
      <c r="X379" s="84"/>
      <c r="AB379" s="28"/>
      <c r="AC379" s="28"/>
    </row>
    <row r="380">
      <c r="E380" s="1"/>
      <c r="J380" s="460"/>
      <c r="K380" s="460"/>
      <c r="L380" s="460"/>
      <c r="M380" s="460"/>
      <c r="V380" s="85"/>
      <c r="X380" s="84"/>
      <c r="AB380" s="28"/>
      <c r="AC380" s="28"/>
    </row>
    <row r="381">
      <c r="E381" s="1"/>
      <c r="J381" s="460"/>
      <c r="K381" s="460"/>
      <c r="L381" s="460"/>
      <c r="M381" s="460"/>
      <c r="V381" s="85"/>
      <c r="X381" s="84"/>
      <c r="AB381" s="28"/>
      <c r="AC381" s="28"/>
    </row>
    <row r="382">
      <c r="E382" s="1"/>
      <c r="J382" s="460"/>
      <c r="K382" s="460"/>
      <c r="L382" s="460"/>
      <c r="M382" s="460"/>
      <c r="V382" s="85"/>
      <c r="X382" s="84"/>
      <c r="AB382" s="28"/>
      <c r="AC382" s="28"/>
    </row>
    <row r="383">
      <c r="E383" s="1"/>
      <c r="J383" s="460"/>
      <c r="K383" s="460"/>
      <c r="L383" s="460"/>
      <c r="M383" s="460"/>
      <c r="V383" s="85"/>
      <c r="X383" s="84"/>
      <c r="AB383" s="28"/>
      <c r="AC383" s="28"/>
    </row>
    <row r="384">
      <c r="E384" s="1"/>
      <c r="J384" s="460"/>
      <c r="K384" s="460"/>
      <c r="L384" s="460"/>
      <c r="M384" s="460"/>
      <c r="V384" s="85"/>
      <c r="X384" s="84"/>
      <c r="AB384" s="28"/>
      <c r="AC384" s="28"/>
    </row>
    <row r="385">
      <c r="E385" s="1"/>
      <c r="J385" s="460"/>
      <c r="K385" s="460"/>
      <c r="L385" s="460"/>
      <c r="M385" s="460"/>
      <c r="V385" s="85"/>
      <c r="X385" s="84"/>
      <c r="AB385" s="28"/>
      <c r="AC385" s="28"/>
    </row>
    <row r="386">
      <c r="E386" s="1"/>
      <c r="J386" s="460"/>
      <c r="K386" s="460"/>
      <c r="L386" s="460"/>
      <c r="M386" s="460"/>
      <c r="V386" s="85"/>
      <c r="X386" s="84"/>
      <c r="AB386" s="28"/>
      <c r="AC386" s="28"/>
    </row>
    <row r="387">
      <c r="E387" s="1"/>
      <c r="J387" s="460"/>
      <c r="K387" s="460"/>
      <c r="L387" s="460"/>
      <c r="M387" s="460"/>
      <c r="V387" s="85"/>
      <c r="X387" s="84"/>
      <c r="AB387" s="28"/>
      <c r="AC387" s="28"/>
    </row>
    <row r="388">
      <c r="E388" s="1"/>
      <c r="J388" s="460"/>
      <c r="K388" s="460"/>
      <c r="L388" s="460"/>
      <c r="M388" s="460"/>
      <c r="V388" s="85"/>
      <c r="X388" s="84"/>
      <c r="AB388" s="28"/>
      <c r="AC388" s="28"/>
    </row>
    <row r="389">
      <c r="E389" s="1"/>
      <c r="J389" s="460"/>
      <c r="K389" s="460"/>
      <c r="L389" s="460"/>
      <c r="M389" s="460"/>
      <c r="V389" s="85"/>
      <c r="X389" s="84"/>
      <c r="AB389" s="28"/>
      <c r="AC389" s="28"/>
    </row>
    <row r="390">
      <c r="E390" s="1"/>
      <c r="J390" s="460"/>
      <c r="K390" s="460"/>
      <c r="L390" s="460"/>
      <c r="M390" s="460"/>
      <c r="V390" s="85"/>
      <c r="X390" s="84"/>
      <c r="AB390" s="28"/>
      <c r="AC390" s="28"/>
    </row>
    <row r="391">
      <c r="E391" s="1"/>
      <c r="J391" s="460"/>
      <c r="K391" s="460"/>
      <c r="L391" s="460"/>
      <c r="M391" s="460"/>
      <c r="V391" s="85"/>
      <c r="X391" s="84"/>
      <c r="AB391" s="28"/>
      <c r="AC391" s="28"/>
    </row>
    <row r="392">
      <c r="E392" s="1"/>
      <c r="J392" s="460"/>
      <c r="K392" s="460"/>
      <c r="L392" s="460"/>
      <c r="M392" s="460"/>
      <c r="V392" s="85"/>
      <c r="X392" s="84"/>
      <c r="AB392" s="28"/>
      <c r="AC392" s="28"/>
    </row>
    <row r="393">
      <c r="E393" s="1"/>
      <c r="J393" s="460"/>
      <c r="K393" s="460"/>
      <c r="L393" s="460"/>
      <c r="M393" s="460"/>
      <c r="V393" s="85"/>
      <c r="X393" s="84"/>
      <c r="AB393" s="28"/>
      <c r="AC393" s="28"/>
    </row>
    <row r="394">
      <c r="E394" s="1"/>
      <c r="J394" s="460"/>
      <c r="K394" s="460"/>
      <c r="L394" s="460"/>
      <c r="M394" s="460"/>
      <c r="V394" s="85"/>
      <c r="X394" s="84"/>
      <c r="AB394" s="28"/>
      <c r="AC394" s="28"/>
    </row>
    <row r="395">
      <c r="E395" s="1"/>
      <c r="J395" s="460"/>
      <c r="K395" s="460"/>
      <c r="L395" s="460"/>
      <c r="M395" s="460"/>
      <c r="V395" s="85"/>
      <c r="X395" s="84"/>
      <c r="AB395" s="28"/>
      <c r="AC395" s="28"/>
    </row>
    <row r="396">
      <c r="E396" s="1"/>
      <c r="J396" s="460"/>
      <c r="K396" s="460"/>
      <c r="L396" s="460"/>
      <c r="M396" s="460"/>
      <c r="V396" s="85"/>
      <c r="X396" s="84"/>
      <c r="AB396" s="28"/>
      <c r="AC396" s="28"/>
    </row>
    <row r="397">
      <c r="E397" s="1"/>
      <c r="J397" s="460"/>
      <c r="K397" s="460"/>
      <c r="L397" s="460"/>
      <c r="M397" s="460"/>
      <c r="V397" s="85"/>
      <c r="X397" s="84"/>
      <c r="AB397" s="28"/>
      <c r="AC397" s="28"/>
    </row>
    <row r="398">
      <c r="E398" s="1"/>
      <c r="J398" s="460"/>
      <c r="K398" s="460"/>
      <c r="L398" s="460"/>
      <c r="M398" s="460"/>
      <c r="V398" s="85"/>
      <c r="X398" s="84"/>
      <c r="AB398" s="28"/>
      <c r="AC398" s="28"/>
    </row>
    <row r="399">
      <c r="E399" s="1"/>
      <c r="J399" s="460"/>
      <c r="K399" s="460"/>
      <c r="L399" s="460"/>
      <c r="M399" s="460"/>
      <c r="V399" s="85"/>
      <c r="X399" s="84"/>
      <c r="AB399" s="28"/>
      <c r="AC399" s="28"/>
    </row>
    <row r="400">
      <c r="E400" s="1"/>
      <c r="J400" s="460"/>
      <c r="K400" s="460"/>
      <c r="L400" s="460"/>
      <c r="M400" s="460"/>
      <c r="V400" s="85"/>
      <c r="X400" s="84"/>
      <c r="AB400" s="28"/>
      <c r="AC400" s="28"/>
    </row>
    <row r="401">
      <c r="E401" s="1"/>
      <c r="J401" s="460"/>
      <c r="K401" s="460"/>
      <c r="L401" s="460"/>
      <c r="M401" s="460"/>
      <c r="V401" s="85"/>
      <c r="X401" s="84"/>
      <c r="AB401" s="28"/>
      <c r="AC401" s="28"/>
    </row>
    <row r="402">
      <c r="E402" s="1"/>
      <c r="J402" s="460"/>
      <c r="K402" s="460"/>
      <c r="L402" s="460"/>
      <c r="M402" s="460"/>
      <c r="V402" s="85"/>
      <c r="X402" s="84"/>
      <c r="AB402" s="28"/>
      <c r="AC402" s="28"/>
    </row>
    <row r="403">
      <c r="E403" s="1"/>
      <c r="J403" s="460"/>
      <c r="K403" s="460"/>
      <c r="L403" s="460"/>
      <c r="M403" s="460"/>
      <c r="V403" s="85"/>
      <c r="X403" s="84"/>
      <c r="AB403" s="28"/>
      <c r="AC403" s="28"/>
    </row>
    <row r="404">
      <c r="E404" s="1"/>
      <c r="J404" s="460"/>
      <c r="K404" s="460"/>
      <c r="L404" s="460"/>
      <c r="M404" s="460"/>
      <c r="V404" s="85"/>
      <c r="X404" s="84"/>
      <c r="AB404" s="28"/>
      <c r="AC404" s="28"/>
    </row>
    <row r="405">
      <c r="E405" s="1"/>
      <c r="J405" s="460"/>
      <c r="K405" s="460"/>
      <c r="L405" s="460"/>
      <c r="M405" s="460"/>
      <c r="V405" s="85"/>
      <c r="X405" s="84"/>
      <c r="AB405" s="28"/>
      <c r="AC405" s="28"/>
    </row>
    <row r="406">
      <c r="E406" s="1"/>
      <c r="J406" s="460"/>
      <c r="K406" s="460"/>
      <c r="L406" s="460"/>
      <c r="M406" s="460"/>
      <c r="V406" s="85"/>
      <c r="X406" s="84"/>
      <c r="AB406" s="28"/>
      <c r="AC406" s="28"/>
    </row>
    <row r="407">
      <c r="E407" s="1"/>
      <c r="J407" s="460"/>
      <c r="K407" s="460"/>
      <c r="L407" s="460"/>
      <c r="M407" s="460"/>
      <c r="V407" s="85"/>
      <c r="X407" s="84"/>
      <c r="AB407" s="28"/>
      <c r="AC407" s="28"/>
    </row>
    <row r="408">
      <c r="E408" s="1"/>
      <c r="J408" s="460"/>
      <c r="K408" s="460"/>
      <c r="L408" s="460"/>
      <c r="M408" s="460"/>
      <c r="V408" s="85"/>
      <c r="X408" s="84"/>
      <c r="AB408" s="28"/>
      <c r="AC408" s="28"/>
    </row>
    <row r="409">
      <c r="E409" s="1"/>
      <c r="J409" s="460"/>
      <c r="K409" s="460"/>
      <c r="L409" s="460"/>
      <c r="M409" s="460"/>
      <c r="V409" s="85"/>
      <c r="X409" s="84"/>
      <c r="AB409" s="28"/>
      <c r="AC409" s="28"/>
    </row>
    <row r="410">
      <c r="E410" s="1"/>
      <c r="J410" s="460"/>
      <c r="K410" s="460"/>
      <c r="L410" s="460"/>
      <c r="M410" s="460"/>
      <c r="V410" s="85"/>
      <c r="X410" s="84"/>
      <c r="AB410" s="28"/>
      <c r="AC410" s="28"/>
    </row>
    <row r="411">
      <c r="E411" s="1"/>
      <c r="J411" s="460"/>
      <c r="K411" s="460"/>
      <c r="L411" s="460"/>
      <c r="M411" s="460"/>
      <c r="V411" s="85"/>
      <c r="X411" s="84"/>
      <c r="AB411" s="28"/>
      <c r="AC411" s="28"/>
    </row>
    <row r="412">
      <c r="E412" s="1"/>
      <c r="J412" s="460"/>
      <c r="K412" s="460"/>
      <c r="L412" s="460"/>
      <c r="M412" s="460"/>
      <c r="V412" s="85"/>
      <c r="X412" s="84"/>
      <c r="AB412" s="28"/>
      <c r="AC412" s="28"/>
    </row>
    <row r="413">
      <c r="E413" s="1"/>
      <c r="J413" s="460"/>
      <c r="K413" s="460"/>
      <c r="L413" s="460"/>
      <c r="M413" s="460"/>
      <c r="V413" s="85"/>
      <c r="X413" s="84"/>
      <c r="AB413" s="28"/>
      <c r="AC413" s="28"/>
    </row>
    <row r="414">
      <c r="E414" s="1"/>
      <c r="J414" s="460"/>
      <c r="K414" s="460"/>
      <c r="L414" s="460"/>
      <c r="M414" s="460"/>
      <c r="V414" s="85"/>
      <c r="X414" s="84"/>
      <c r="AB414" s="28"/>
      <c r="AC414" s="28"/>
    </row>
    <row r="415">
      <c r="E415" s="1"/>
      <c r="J415" s="460"/>
      <c r="K415" s="460"/>
      <c r="L415" s="460"/>
      <c r="M415" s="460"/>
      <c r="V415" s="85"/>
      <c r="X415" s="84"/>
      <c r="AB415" s="28"/>
      <c r="AC415" s="28"/>
    </row>
    <row r="416">
      <c r="E416" s="1"/>
      <c r="J416" s="460"/>
      <c r="K416" s="460"/>
      <c r="L416" s="460"/>
      <c r="M416" s="460"/>
      <c r="V416" s="85"/>
      <c r="X416" s="84"/>
      <c r="AB416" s="28"/>
      <c r="AC416" s="28"/>
    </row>
    <row r="417">
      <c r="E417" s="1"/>
      <c r="J417" s="460"/>
      <c r="K417" s="460"/>
      <c r="L417" s="460"/>
      <c r="M417" s="460"/>
      <c r="V417" s="85"/>
      <c r="X417" s="84"/>
      <c r="AB417" s="28"/>
      <c r="AC417" s="28"/>
    </row>
    <row r="418">
      <c r="E418" s="1"/>
      <c r="J418" s="460"/>
      <c r="K418" s="460"/>
      <c r="L418" s="460"/>
      <c r="M418" s="460"/>
      <c r="V418" s="85"/>
      <c r="X418" s="84"/>
      <c r="AB418" s="28"/>
      <c r="AC418" s="28"/>
    </row>
    <row r="419">
      <c r="E419" s="1"/>
      <c r="J419" s="460"/>
      <c r="K419" s="460"/>
      <c r="L419" s="460"/>
      <c r="M419" s="460"/>
      <c r="V419" s="85"/>
      <c r="X419" s="84"/>
      <c r="AB419" s="28"/>
      <c r="AC419" s="28"/>
    </row>
    <row r="420">
      <c r="E420" s="1"/>
      <c r="J420" s="460"/>
      <c r="K420" s="460"/>
      <c r="L420" s="460"/>
      <c r="M420" s="460"/>
      <c r="V420" s="85"/>
      <c r="X420" s="84"/>
      <c r="AB420" s="28"/>
      <c r="AC420" s="28"/>
    </row>
    <row r="421">
      <c r="E421" s="1"/>
      <c r="J421" s="460"/>
      <c r="K421" s="460"/>
      <c r="L421" s="460"/>
      <c r="M421" s="460"/>
      <c r="V421" s="85"/>
      <c r="X421" s="84"/>
      <c r="AB421" s="28"/>
      <c r="AC421" s="28"/>
    </row>
    <row r="422">
      <c r="E422" s="1"/>
      <c r="J422" s="460"/>
      <c r="K422" s="460"/>
      <c r="L422" s="460"/>
      <c r="M422" s="460"/>
      <c r="V422" s="85"/>
      <c r="X422" s="84"/>
      <c r="AB422" s="28"/>
      <c r="AC422" s="28"/>
    </row>
    <row r="423">
      <c r="E423" s="1"/>
      <c r="J423" s="460"/>
      <c r="K423" s="460"/>
      <c r="L423" s="460"/>
      <c r="M423" s="460"/>
      <c r="V423" s="85"/>
      <c r="X423" s="84"/>
      <c r="AB423" s="28"/>
      <c r="AC423" s="28"/>
    </row>
    <row r="424">
      <c r="E424" s="1"/>
      <c r="J424" s="460"/>
      <c r="K424" s="460"/>
      <c r="L424" s="460"/>
      <c r="M424" s="460"/>
      <c r="V424" s="85"/>
      <c r="X424" s="84"/>
      <c r="AB424" s="28"/>
      <c r="AC424" s="28"/>
    </row>
    <row r="425">
      <c r="E425" s="1"/>
      <c r="J425" s="460"/>
      <c r="K425" s="460"/>
      <c r="L425" s="460"/>
      <c r="M425" s="460"/>
      <c r="V425" s="85"/>
      <c r="X425" s="84"/>
      <c r="AB425" s="28"/>
      <c r="AC425" s="28"/>
    </row>
    <row r="426">
      <c r="E426" s="1"/>
      <c r="J426" s="460"/>
      <c r="K426" s="460"/>
      <c r="L426" s="460"/>
      <c r="M426" s="460"/>
      <c r="V426" s="85"/>
      <c r="X426" s="84"/>
      <c r="AB426" s="28"/>
      <c r="AC426" s="28"/>
    </row>
    <row r="427">
      <c r="E427" s="1"/>
      <c r="J427" s="460"/>
      <c r="K427" s="460"/>
      <c r="L427" s="460"/>
      <c r="M427" s="460"/>
      <c r="V427" s="85"/>
      <c r="X427" s="84"/>
      <c r="AB427" s="28"/>
      <c r="AC427" s="28"/>
    </row>
    <row r="428">
      <c r="E428" s="1"/>
      <c r="J428" s="460"/>
      <c r="K428" s="460"/>
      <c r="L428" s="460"/>
      <c r="M428" s="460"/>
      <c r="V428" s="85"/>
      <c r="X428" s="84"/>
      <c r="AB428" s="28"/>
      <c r="AC428" s="28"/>
    </row>
    <row r="429">
      <c r="E429" s="1"/>
      <c r="J429" s="460"/>
      <c r="K429" s="460"/>
      <c r="L429" s="460"/>
      <c r="M429" s="460"/>
      <c r="V429" s="85"/>
      <c r="X429" s="84"/>
      <c r="AB429" s="28"/>
      <c r="AC429" s="28"/>
    </row>
    <row r="430">
      <c r="E430" s="1"/>
      <c r="J430" s="460"/>
      <c r="K430" s="460"/>
      <c r="L430" s="460"/>
      <c r="M430" s="460"/>
      <c r="V430" s="85"/>
      <c r="X430" s="84"/>
      <c r="AB430" s="28"/>
      <c r="AC430" s="28"/>
    </row>
    <row r="431">
      <c r="E431" s="1"/>
      <c r="J431" s="460"/>
      <c r="K431" s="460"/>
      <c r="L431" s="460"/>
      <c r="M431" s="460"/>
      <c r="V431" s="85"/>
      <c r="X431" s="84"/>
      <c r="AB431" s="28"/>
      <c r="AC431" s="28"/>
    </row>
    <row r="432">
      <c r="E432" s="1"/>
      <c r="J432" s="460"/>
      <c r="K432" s="460"/>
      <c r="L432" s="460"/>
      <c r="M432" s="460"/>
      <c r="V432" s="85"/>
      <c r="X432" s="84"/>
      <c r="AB432" s="28"/>
      <c r="AC432" s="28"/>
    </row>
    <row r="433">
      <c r="E433" s="1"/>
      <c r="J433" s="460"/>
      <c r="K433" s="460"/>
      <c r="L433" s="460"/>
      <c r="M433" s="460"/>
      <c r="V433" s="85"/>
      <c r="X433" s="84"/>
      <c r="AB433" s="28"/>
      <c r="AC433" s="28"/>
    </row>
    <row r="434">
      <c r="E434" s="1"/>
      <c r="J434" s="460"/>
      <c r="K434" s="460"/>
      <c r="L434" s="460"/>
      <c r="M434" s="460"/>
      <c r="V434" s="85"/>
      <c r="X434" s="84"/>
      <c r="AB434" s="28"/>
      <c r="AC434" s="28"/>
    </row>
    <row r="435">
      <c r="E435" s="1"/>
      <c r="J435" s="460"/>
      <c r="K435" s="460"/>
      <c r="L435" s="460"/>
      <c r="M435" s="460"/>
      <c r="V435" s="85"/>
      <c r="X435" s="84"/>
      <c r="AB435" s="28"/>
      <c r="AC435" s="28"/>
    </row>
    <row r="436">
      <c r="E436" s="1"/>
      <c r="J436" s="460"/>
      <c r="K436" s="460"/>
      <c r="L436" s="460"/>
      <c r="M436" s="460"/>
      <c r="V436" s="85"/>
      <c r="X436" s="84"/>
      <c r="AB436" s="28"/>
      <c r="AC436" s="28"/>
    </row>
    <row r="437">
      <c r="E437" s="1"/>
      <c r="J437" s="460"/>
      <c r="K437" s="460"/>
      <c r="L437" s="460"/>
      <c r="M437" s="460"/>
      <c r="V437" s="85"/>
      <c r="X437" s="84"/>
      <c r="AB437" s="28"/>
      <c r="AC437" s="28"/>
    </row>
    <row r="438">
      <c r="E438" s="1"/>
      <c r="J438" s="460"/>
      <c r="K438" s="460"/>
      <c r="L438" s="460"/>
      <c r="M438" s="460"/>
      <c r="V438" s="85"/>
      <c r="X438" s="84"/>
      <c r="AB438" s="28"/>
      <c r="AC438" s="28"/>
    </row>
    <row r="439">
      <c r="E439" s="1"/>
      <c r="J439" s="460"/>
      <c r="K439" s="460"/>
      <c r="L439" s="460"/>
      <c r="M439" s="460"/>
      <c r="V439" s="85"/>
      <c r="X439" s="84"/>
      <c r="AB439" s="28"/>
      <c r="AC439" s="28"/>
    </row>
    <row r="440">
      <c r="E440" s="1"/>
      <c r="J440" s="460"/>
      <c r="K440" s="460"/>
      <c r="L440" s="460"/>
      <c r="M440" s="460"/>
      <c r="V440" s="85"/>
      <c r="X440" s="84"/>
      <c r="AB440" s="28"/>
      <c r="AC440" s="28"/>
    </row>
    <row r="441">
      <c r="E441" s="1"/>
      <c r="J441" s="460"/>
      <c r="K441" s="460"/>
      <c r="L441" s="460"/>
      <c r="M441" s="460"/>
      <c r="V441" s="85"/>
      <c r="X441" s="84"/>
      <c r="AB441" s="28"/>
      <c r="AC441" s="28"/>
    </row>
    <row r="442">
      <c r="E442" s="1"/>
      <c r="J442" s="460"/>
      <c r="K442" s="460"/>
      <c r="L442" s="460"/>
      <c r="M442" s="460"/>
      <c r="V442" s="85"/>
      <c r="X442" s="84"/>
      <c r="AB442" s="28"/>
      <c r="AC442" s="28"/>
    </row>
    <row r="443">
      <c r="E443" s="1"/>
      <c r="J443" s="460"/>
      <c r="K443" s="460"/>
      <c r="L443" s="460"/>
      <c r="M443" s="460"/>
      <c r="V443" s="85"/>
      <c r="X443" s="84"/>
      <c r="AB443" s="28"/>
      <c r="AC443" s="28"/>
    </row>
    <row r="444">
      <c r="E444" s="1"/>
      <c r="J444" s="460"/>
      <c r="K444" s="460"/>
      <c r="L444" s="460"/>
      <c r="M444" s="460"/>
      <c r="V444" s="85"/>
      <c r="X444" s="84"/>
      <c r="AB444" s="28"/>
      <c r="AC444" s="28"/>
    </row>
    <row r="445">
      <c r="E445" s="1"/>
      <c r="J445" s="460"/>
      <c r="K445" s="460"/>
      <c r="L445" s="460"/>
      <c r="M445" s="460"/>
      <c r="V445" s="85"/>
      <c r="X445" s="84"/>
      <c r="AB445" s="28"/>
      <c r="AC445" s="28"/>
    </row>
    <row r="446">
      <c r="E446" s="1"/>
      <c r="J446" s="460"/>
      <c r="K446" s="460"/>
      <c r="L446" s="460"/>
      <c r="M446" s="460"/>
      <c r="V446" s="85"/>
      <c r="X446" s="84"/>
      <c r="AB446" s="28"/>
      <c r="AC446" s="28"/>
    </row>
    <row r="447">
      <c r="E447" s="1"/>
      <c r="J447" s="460"/>
      <c r="K447" s="460"/>
      <c r="L447" s="460"/>
      <c r="M447" s="460"/>
      <c r="V447" s="85"/>
      <c r="X447" s="84"/>
      <c r="AB447" s="28"/>
      <c r="AC447" s="28"/>
    </row>
    <row r="448">
      <c r="E448" s="1"/>
      <c r="J448" s="460"/>
      <c r="K448" s="460"/>
      <c r="L448" s="460"/>
      <c r="M448" s="460"/>
      <c r="V448" s="85"/>
      <c r="X448" s="84"/>
      <c r="AB448" s="28"/>
      <c r="AC448" s="28"/>
    </row>
    <row r="449">
      <c r="E449" s="1"/>
      <c r="J449" s="460"/>
      <c r="K449" s="460"/>
      <c r="L449" s="460"/>
      <c r="M449" s="460"/>
      <c r="V449" s="85"/>
      <c r="X449" s="84"/>
      <c r="AB449" s="28"/>
      <c r="AC449" s="28"/>
    </row>
    <row r="450">
      <c r="E450" s="1"/>
      <c r="J450" s="460"/>
      <c r="K450" s="460"/>
      <c r="L450" s="460"/>
      <c r="M450" s="460"/>
      <c r="V450" s="85"/>
      <c r="X450" s="84"/>
      <c r="AB450" s="28"/>
      <c r="AC450" s="28"/>
    </row>
    <row r="451">
      <c r="E451" s="1"/>
      <c r="J451" s="460"/>
      <c r="K451" s="460"/>
      <c r="L451" s="460"/>
      <c r="M451" s="460"/>
      <c r="V451" s="85"/>
      <c r="X451" s="84"/>
      <c r="AB451" s="28"/>
      <c r="AC451" s="28"/>
    </row>
    <row r="452">
      <c r="E452" s="1"/>
      <c r="J452" s="460"/>
      <c r="K452" s="460"/>
      <c r="L452" s="460"/>
      <c r="M452" s="460"/>
      <c r="V452" s="85"/>
      <c r="X452" s="84"/>
      <c r="AB452" s="28"/>
      <c r="AC452" s="28"/>
    </row>
    <row r="453">
      <c r="E453" s="1"/>
      <c r="J453" s="460"/>
      <c r="K453" s="460"/>
      <c r="L453" s="460"/>
      <c r="M453" s="460"/>
      <c r="V453" s="85"/>
      <c r="X453" s="84"/>
      <c r="AB453" s="28"/>
      <c r="AC453" s="28"/>
    </row>
    <row r="454">
      <c r="E454" s="1"/>
      <c r="J454" s="460"/>
      <c r="K454" s="460"/>
      <c r="L454" s="460"/>
      <c r="M454" s="460"/>
      <c r="V454" s="85"/>
      <c r="X454" s="84"/>
      <c r="AB454" s="28"/>
      <c r="AC454" s="28"/>
    </row>
    <row r="455">
      <c r="E455" s="1"/>
      <c r="J455" s="460"/>
      <c r="K455" s="460"/>
      <c r="L455" s="460"/>
      <c r="M455" s="460"/>
      <c r="V455" s="85"/>
      <c r="X455" s="84"/>
      <c r="AB455" s="28"/>
      <c r="AC455" s="28"/>
    </row>
    <row r="456">
      <c r="E456" s="1"/>
      <c r="J456" s="460"/>
      <c r="K456" s="460"/>
      <c r="L456" s="460"/>
      <c r="M456" s="460"/>
      <c r="V456" s="85"/>
      <c r="X456" s="84"/>
      <c r="AB456" s="28"/>
      <c r="AC456" s="28"/>
    </row>
    <row r="457">
      <c r="E457" s="1"/>
      <c r="J457" s="460"/>
      <c r="K457" s="460"/>
      <c r="L457" s="460"/>
      <c r="M457" s="460"/>
      <c r="V457" s="85"/>
      <c r="X457" s="84"/>
      <c r="AB457" s="28"/>
      <c r="AC457" s="28"/>
    </row>
    <row r="458">
      <c r="E458" s="1"/>
      <c r="J458" s="460"/>
      <c r="K458" s="460"/>
      <c r="L458" s="460"/>
      <c r="M458" s="460"/>
      <c r="V458" s="85"/>
      <c r="X458" s="84"/>
      <c r="AB458" s="28"/>
      <c r="AC458" s="28"/>
    </row>
    <row r="459">
      <c r="E459" s="1"/>
      <c r="J459" s="460"/>
      <c r="K459" s="460"/>
      <c r="L459" s="460"/>
      <c r="M459" s="460"/>
      <c r="V459" s="85"/>
      <c r="X459" s="84"/>
      <c r="AB459" s="28"/>
      <c r="AC459" s="28"/>
    </row>
    <row r="460">
      <c r="E460" s="1"/>
      <c r="J460" s="460"/>
      <c r="K460" s="460"/>
      <c r="L460" s="460"/>
      <c r="M460" s="460"/>
      <c r="V460" s="85"/>
      <c r="X460" s="84"/>
      <c r="AB460" s="28"/>
      <c r="AC460" s="28"/>
    </row>
    <row r="461">
      <c r="E461" s="1"/>
      <c r="J461" s="460"/>
      <c r="K461" s="460"/>
      <c r="L461" s="460"/>
      <c r="M461" s="460"/>
      <c r="V461" s="85"/>
      <c r="X461" s="84"/>
      <c r="AB461" s="28"/>
      <c r="AC461" s="28"/>
    </row>
    <row r="462">
      <c r="E462" s="1"/>
      <c r="J462" s="460"/>
      <c r="K462" s="460"/>
      <c r="L462" s="460"/>
      <c r="M462" s="460"/>
      <c r="V462" s="85"/>
      <c r="X462" s="84"/>
      <c r="AB462" s="28"/>
      <c r="AC462" s="28"/>
    </row>
    <row r="463">
      <c r="E463" s="1"/>
      <c r="J463" s="460"/>
      <c r="K463" s="460"/>
      <c r="L463" s="460"/>
      <c r="M463" s="460"/>
      <c r="V463" s="85"/>
      <c r="X463" s="84"/>
      <c r="AB463" s="28"/>
      <c r="AC463" s="28"/>
    </row>
    <row r="464">
      <c r="E464" s="1"/>
      <c r="J464" s="460"/>
      <c r="K464" s="460"/>
      <c r="L464" s="460"/>
      <c r="M464" s="460"/>
      <c r="V464" s="85"/>
      <c r="X464" s="84"/>
      <c r="AB464" s="28"/>
      <c r="AC464" s="28"/>
    </row>
    <row r="465">
      <c r="E465" s="1"/>
      <c r="J465" s="460"/>
      <c r="K465" s="460"/>
      <c r="L465" s="460"/>
      <c r="M465" s="460"/>
      <c r="V465" s="85"/>
      <c r="X465" s="84"/>
      <c r="AB465" s="28"/>
      <c r="AC465" s="28"/>
    </row>
    <row r="466">
      <c r="E466" s="1"/>
      <c r="J466" s="460"/>
      <c r="K466" s="460"/>
      <c r="L466" s="460"/>
      <c r="M466" s="460"/>
      <c r="V466" s="85"/>
      <c r="X466" s="84"/>
      <c r="AB466" s="28"/>
      <c r="AC466" s="28"/>
    </row>
    <row r="467">
      <c r="E467" s="1"/>
      <c r="J467" s="460"/>
      <c r="K467" s="460"/>
      <c r="L467" s="460"/>
      <c r="M467" s="460"/>
      <c r="V467" s="85"/>
      <c r="X467" s="84"/>
      <c r="AB467" s="28"/>
      <c r="AC467" s="28"/>
    </row>
    <row r="468">
      <c r="E468" s="1"/>
      <c r="J468" s="460"/>
      <c r="K468" s="460"/>
      <c r="L468" s="460"/>
      <c r="M468" s="460"/>
      <c r="V468" s="85"/>
      <c r="X468" s="84"/>
      <c r="AB468" s="28"/>
      <c r="AC468" s="28"/>
    </row>
    <row r="469">
      <c r="E469" s="1"/>
      <c r="J469" s="460"/>
      <c r="K469" s="460"/>
      <c r="L469" s="460"/>
      <c r="M469" s="460"/>
      <c r="V469" s="85"/>
      <c r="X469" s="84"/>
      <c r="AB469" s="28"/>
      <c r="AC469" s="28"/>
    </row>
    <row r="470">
      <c r="E470" s="1"/>
      <c r="J470" s="460"/>
      <c r="K470" s="460"/>
      <c r="L470" s="460"/>
      <c r="M470" s="460"/>
      <c r="V470" s="85"/>
      <c r="X470" s="84"/>
      <c r="AB470" s="28"/>
      <c r="AC470" s="28"/>
    </row>
    <row r="471">
      <c r="E471" s="1"/>
      <c r="J471" s="460"/>
      <c r="K471" s="460"/>
      <c r="L471" s="460"/>
      <c r="M471" s="460"/>
      <c r="V471" s="85"/>
      <c r="X471" s="84"/>
      <c r="AB471" s="28"/>
      <c r="AC471" s="28"/>
    </row>
    <row r="472">
      <c r="E472" s="1"/>
      <c r="J472" s="460"/>
      <c r="K472" s="460"/>
      <c r="L472" s="460"/>
      <c r="M472" s="460"/>
      <c r="V472" s="85"/>
      <c r="X472" s="84"/>
      <c r="AB472" s="28"/>
      <c r="AC472" s="28"/>
    </row>
    <row r="473">
      <c r="E473" s="1"/>
      <c r="J473" s="460"/>
      <c r="K473" s="460"/>
      <c r="L473" s="460"/>
      <c r="M473" s="460"/>
      <c r="V473" s="85"/>
      <c r="X473" s="84"/>
      <c r="AB473" s="28"/>
      <c r="AC473" s="28"/>
    </row>
    <row r="474">
      <c r="E474" s="1"/>
      <c r="J474" s="460"/>
      <c r="K474" s="460"/>
      <c r="L474" s="460"/>
      <c r="M474" s="460"/>
      <c r="V474" s="85"/>
      <c r="X474" s="84"/>
      <c r="AB474" s="28"/>
      <c r="AC474" s="28"/>
    </row>
    <row r="475">
      <c r="E475" s="1"/>
      <c r="J475" s="460"/>
      <c r="K475" s="460"/>
      <c r="L475" s="460"/>
      <c r="M475" s="460"/>
      <c r="V475" s="85"/>
      <c r="X475" s="84"/>
      <c r="AB475" s="28"/>
      <c r="AC475" s="28"/>
    </row>
    <row r="476">
      <c r="E476" s="1"/>
      <c r="J476" s="460"/>
      <c r="K476" s="460"/>
      <c r="L476" s="460"/>
      <c r="M476" s="460"/>
      <c r="V476" s="85"/>
      <c r="X476" s="84"/>
      <c r="AB476" s="28"/>
      <c r="AC476" s="28"/>
    </row>
    <row r="477">
      <c r="E477" s="1"/>
      <c r="J477" s="460"/>
      <c r="K477" s="460"/>
      <c r="L477" s="460"/>
      <c r="M477" s="460"/>
      <c r="V477" s="85"/>
      <c r="X477" s="84"/>
      <c r="AB477" s="28"/>
      <c r="AC477" s="28"/>
    </row>
    <row r="478">
      <c r="E478" s="1"/>
      <c r="J478" s="460"/>
      <c r="K478" s="460"/>
      <c r="L478" s="460"/>
      <c r="M478" s="460"/>
      <c r="V478" s="85"/>
      <c r="X478" s="84"/>
      <c r="AB478" s="28"/>
      <c r="AC478" s="28"/>
    </row>
    <row r="479">
      <c r="E479" s="1"/>
      <c r="J479" s="460"/>
      <c r="K479" s="460"/>
      <c r="L479" s="460"/>
      <c r="M479" s="460"/>
      <c r="V479" s="85"/>
      <c r="X479" s="84"/>
      <c r="AB479" s="28"/>
      <c r="AC479" s="28"/>
    </row>
    <row r="480">
      <c r="E480" s="1"/>
      <c r="J480" s="460"/>
      <c r="K480" s="460"/>
      <c r="L480" s="460"/>
      <c r="M480" s="460"/>
      <c r="V480" s="85"/>
      <c r="X480" s="84"/>
      <c r="AB480" s="28"/>
      <c r="AC480" s="28"/>
    </row>
    <row r="481">
      <c r="E481" s="1"/>
      <c r="J481" s="460"/>
      <c r="K481" s="460"/>
      <c r="L481" s="460"/>
      <c r="M481" s="460"/>
      <c r="V481" s="85"/>
      <c r="X481" s="84"/>
      <c r="AB481" s="28"/>
      <c r="AC481" s="28"/>
    </row>
    <row r="482">
      <c r="E482" s="1"/>
      <c r="J482" s="460"/>
      <c r="K482" s="460"/>
      <c r="L482" s="460"/>
      <c r="M482" s="460"/>
      <c r="V482" s="85"/>
      <c r="X482" s="84"/>
      <c r="AB482" s="28"/>
      <c r="AC482" s="28"/>
    </row>
    <row r="483">
      <c r="E483" s="1"/>
      <c r="J483" s="460"/>
      <c r="K483" s="460"/>
      <c r="L483" s="460"/>
      <c r="M483" s="460"/>
      <c r="V483" s="85"/>
      <c r="X483" s="84"/>
      <c r="AB483" s="28"/>
      <c r="AC483" s="28"/>
    </row>
    <row r="484">
      <c r="E484" s="1"/>
      <c r="J484" s="460"/>
      <c r="K484" s="460"/>
      <c r="L484" s="460"/>
      <c r="M484" s="460"/>
      <c r="V484" s="85"/>
      <c r="X484" s="84"/>
      <c r="AB484" s="28"/>
      <c r="AC484" s="28"/>
    </row>
    <row r="485">
      <c r="E485" s="1"/>
      <c r="J485" s="460"/>
      <c r="K485" s="460"/>
      <c r="L485" s="460"/>
      <c r="M485" s="460"/>
      <c r="V485" s="85"/>
      <c r="X485" s="84"/>
      <c r="AB485" s="28"/>
      <c r="AC485" s="28"/>
    </row>
    <row r="486">
      <c r="E486" s="1"/>
      <c r="J486" s="460"/>
      <c r="K486" s="460"/>
      <c r="L486" s="460"/>
      <c r="M486" s="460"/>
      <c r="V486" s="85"/>
      <c r="X486" s="84"/>
      <c r="AB486" s="28"/>
      <c r="AC486" s="28"/>
    </row>
    <row r="487">
      <c r="E487" s="1"/>
      <c r="J487" s="460"/>
      <c r="K487" s="460"/>
      <c r="L487" s="460"/>
      <c r="M487" s="460"/>
      <c r="V487" s="85"/>
      <c r="X487" s="84"/>
      <c r="AB487" s="28"/>
      <c r="AC487" s="28"/>
    </row>
    <row r="488">
      <c r="E488" s="1"/>
      <c r="J488" s="460"/>
      <c r="K488" s="460"/>
      <c r="L488" s="460"/>
      <c r="M488" s="460"/>
      <c r="V488" s="85"/>
      <c r="X488" s="84"/>
      <c r="AB488" s="28"/>
      <c r="AC488" s="28"/>
    </row>
    <row r="489">
      <c r="E489" s="1"/>
      <c r="J489" s="460"/>
      <c r="K489" s="460"/>
      <c r="L489" s="460"/>
      <c r="M489" s="460"/>
      <c r="V489" s="85"/>
      <c r="X489" s="84"/>
      <c r="AB489" s="28"/>
      <c r="AC489" s="28"/>
    </row>
    <row r="490">
      <c r="E490" s="1"/>
      <c r="J490" s="460"/>
      <c r="K490" s="460"/>
      <c r="L490" s="460"/>
      <c r="M490" s="460"/>
      <c r="V490" s="85"/>
      <c r="X490" s="84"/>
      <c r="AB490" s="28"/>
      <c r="AC490" s="28"/>
    </row>
    <row r="491">
      <c r="E491" s="1"/>
      <c r="J491" s="460"/>
      <c r="K491" s="460"/>
      <c r="L491" s="460"/>
      <c r="M491" s="460"/>
      <c r="V491" s="85"/>
      <c r="X491" s="84"/>
      <c r="AB491" s="28"/>
      <c r="AC491" s="28"/>
    </row>
    <row r="492">
      <c r="E492" s="1"/>
      <c r="J492" s="460"/>
      <c r="K492" s="460"/>
      <c r="L492" s="460"/>
      <c r="M492" s="460"/>
      <c r="V492" s="85"/>
      <c r="X492" s="84"/>
      <c r="AB492" s="28"/>
      <c r="AC492" s="28"/>
    </row>
    <row r="493">
      <c r="E493" s="1"/>
      <c r="J493" s="460"/>
      <c r="K493" s="460"/>
      <c r="L493" s="460"/>
      <c r="M493" s="460"/>
      <c r="V493" s="85"/>
      <c r="X493" s="84"/>
      <c r="AB493" s="28"/>
      <c r="AC493" s="28"/>
    </row>
    <row r="494">
      <c r="E494" s="1"/>
      <c r="J494" s="460"/>
      <c r="K494" s="460"/>
      <c r="L494" s="460"/>
      <c r="M494" s="460"/>
      <c r="V494" s="85"/>
      <c r="X494" s="84"/>
      <c r="AB494" s="28"/>
      <c r="AC494" s="28"/>
    </row>
    <row r="495">
      <c r="E495" s="1"/>
      <c r="J495" s="460"/>
      <c r="K495" s="460"/>
      <c r="L495" s="460"/>
      <c r="M495" s="460"/>
      <c r="V495" s="85"/>
      <c r="X495" s="84"/>
      <c r="AB495" s="28"/>
      <c r="AC495" s="28"/>
    </row>
    <row r="496">
      <c r="E496" s="1"/>
      <c r="J496" s="460"/>
      <c r="K496" s="460"/>
      <c r="L496" s="460"/>
      <c r="M496" s="460"/>
      <c r="V496" s="85"/>
      <c r="X496" s="84"/>
      <c r="AB496" s="28"/>
      <c r="AC496" s="28"/>
    </row>
    <row r="497">
      <c r="E497" s="1"/>
      <c r="J497" s="460"/>
      <c r="K497" s="460"/>
      <c r="L497" s="460"/>
      <c r="M497" s="460"/>
      <c r="V497" s="85"/>
      <c r="X497" s="84"/>
      <c r="AB497" s="28"/>
      <c r="AC497" s="28"/>
    </row>
    <row r="498">
      <c r="E498" s="1"/>
      <c r="J498" s="460"/>
      <c r="K498" s="460"/>
      <c r="L498" s="460"/>
      <c r="M498" s="460"/>
      <c r="V498" s="85"/>
      <c r="X498" s="84"/>
      <c r="AB498" s="28"/>
      <c r="AC498" s="28"/>
    </row>
    <row r="499">
      <c r="E499" s="1"/>
      <c r="J499" s="460"/>
      <c r="K499" s="460"/>
      <c r="L499" s="460"/>
      <c r="M499" s="460"/>
      <c r="V499" s="85"/>
      <c r="X499" s="84"/>
      <c r="AB499" s="28"/>
      <c r="AC499" s="28"/>
    </row>
    <row r="500">
      <c r="E500" s="1"/>
      <c r="J500" s="460"/>
      <c r="K500" s="460"/>
      <c r="L500" s="460"/>
      <c r="M500" s="460"/>
      <c r="V500" s="85"/>
      <c r="X500" s="84"/>
      <c r="AB500" s="28"/>
      <c r="AC500" s="28"/>
    </row>
    <row r="501">
      <c r="E501" s="1"/>
      <c r="J501" s="460"/>
      <c r="K501" s="460"/>
      <c r="L501" s="460"/>
      <c r="M501" s="460"/>
      <c r="V501" s="85"/>
      <c r="X501" s="84"/>
      <c r="AB501" s="28"/>
      <c r="AC501" s="28"/>
    </row>
    <row r="502">
      <c r="E502" s="1"/>
      <c r="J502" s="460"/>
      <c r="K502" s="460"/>
      <c r="L502" s="460"/>
      <c r="M502" s="460"/>
      <c r="V502" s="85"/>
      <c r="X502" s="84"/>
      <c r="AB502" s="28"/>
      <c r="AC502" s="28"/>
    </row>
    <row r="503">
      <c r="E503" s="1"/>
      <c r="J503" s="460"/>
      <c r="K503" s="460"/>
      <c r="L503" s="460"/>
      <c r="M503" s="460"/>
      <c r="V503" s="85"/>
      <c r="X503" s="84"/>
      <c r="AB503" s="28"/>
      <c r="AC503" s="28"/>
    </row>
    <row r="504">
      <c r="E504" s="1"/>
      <c r="J504" s="460"/>
      <c r="K504" s="460"/>
      <c r="L504" s="460"/>
      <c r="M504" s="460"/>
      <c r="V504" s="85"/>
      <c r="X504" s="84"/>
      <c r="AB504" s="28"/>
      <c r="AC504" s="28"/>
    </row>
    <row r="505">
      <c r="E505" s="1"/>
      <c r="J505" s="460"/>
      <c r="K505" s="460"/>
      <c r="L505" s="460"/>
      <c r="M505" s="460"/>
      <c r="V505" s="85"/>
      <c r="X505" s="84"/>
      <c r="AB505" s="28"/>
      <c r="AC505" s="28"/>
    </row>
    <row r="506">
      <c r="E506" s="1"/>
      <c r="J506" s="460"/>
      <c r="K506" s="460"/>
      <c r="L506" s="460"/>
      <c r="M506" s="460"/>
      <c r="V506" s="85"/>
      <c r="X506" s="84"/>
      <c r="AB506" s="28"/>
      <c r="AC506" s="28"/>
    </row>
    <row r="507">
      <c r="E507" s="1"/>
      <c r="J507" s="460"/>
      <c r="K507" s="460"/>
      <c r="L507" s="460"/>
      <c r="M507" s="460"/>
      <c r="V507" s="85"/>
      <c r="X507" s="84"/>
      <c r="AB507" s="28"/>
      <c r="AC507" s="28"/>
    </row>
    <row r="508">
      <c r="E508" s="1"/>
      <c r="J508" s="460"/>
      <c r="K508" s="460"/>
      <c r="L508" s="460"/>
      <c r="M508" s="460"/>
      <c r="V508" s="85"/>
      <c r="X508" s="84"/>
      <c r="AB508" s="28"/>
      <c r="AC508" s="28"/>
    </row>
    <row r="509">
      <c r="E509" s="1"/>
      <c r="J509" s="460"/>
      <c r="K509" s="460"/>
      <c r="L509" s="460"/>
      <c r="M509" s="460"/>
      <c r="V509" s="85"/>
      <c r="X509" s="84"/>
      <c r="AB509" s="28"/>
      <c r="AC509" s="28"/>
    </row>
    <row r="510">
      <c r="E510" s="1"/>
      <c r="J510" s="460"/>
      <c r="K510" s="460"/>
      <c r="L510" s="460"/>
      <c r="M510" s="460"/>
      <c r="V510" s="85"/>
      <c r="X510" s="84"/>
      <c r="AB510" s="28"/>
      <c r="AC510" s="28"/>
    </row>
    <row r="511">
      <c r="E511" s="1"/>
      <c r="J511" s="460"/>
      <c r="K511" s="460"/>
      <c r="L511" s="460"/>
      <c r="M511" s="460"/>
      <c r="V511" s="85"/>
      <c r="X511" s="84"/>
      <c r="AB511" s="28"/>
      <c r="AC511" s="28"/>
    </row>
    <row r="512">
      <c r="E512" s="1"/>
      <c r="J512" s="460"/>
      <c r="K512" s="460"/>
      <c r="L512" s="460"/>
      <c r="M512" s="460"/>
      <c r="V512" s="85"/>
      <c r="X512" s="84"/>
      <c r="AB512" s="28"/>
      <c r="AC512" s="28"/>
    </row>
    <row r="513">
      <c r="E513" s="1"/>
      <c r="J513" s="460"/>
      <c r="K513" s="460"/>
      <c r="L513" s="460"/>
      <c r="M513" s="460"/>
      <c r="V513" s="85"/>
      <c r="X513" s="84"/>
      <c r="AB513" s="28"/>
      <c r="AC513" s="28"/>
    </row>
    <row r="514">
      <c r="E514" s="1"/>
      <c r="J514" s="460"/>
      <c r="K514" s="460"/>
      <c r="L514" s="460"/>
      <c r="M514" s="460"/>
      <c r="V514" s="85"/>
      <c r="X514" s="84"/>
      <c r="AB514" s="28"/>
      <c r="AC514" s="28"/>
    </row>
    <row r="515">
      <c r="E515" s="1"/>
      <c r="J515" s="460"/>
      <c r="K515" s="460"/>
      <c r="L515" s="460"/>
      <c r="M515" s="460"/>
      <c r="V515" s="85"/>
      <c r="X515" s="84"/>
      <c r="AB515" s="28"/>
      <c r="AC515" s="28"/>
    </row>
    <row r="516">
      <c r="E516" s="1"/>
      <c r="J516" s="460"/>
      <c r="K516" s="460"/>
      <c r="L516" s="460"/>
      <c r="M516" s="460"/>
      <c r="V516" s="85"/>
      <c r="X516" s="84"/>
      <c r="AB516" s="28"/>
      <c r="AC516" s="28"/>
    </row>
    <row r="517">
      <c r="E517" s="1"/>
      <c r="J517" s="460"/>
      <c r="K517" s="460"/>
      <c r="L517" s="460"/>
      <c r="M517" s="460"/>
      <c r="V517" s="85"/>
      <c r="X517" s="84"/>
      <c r="AB517" s="28"/>
      <c r="AC517" s="28"/>
    </row>
    <row r="518">
      <c r="E518" s="1"/>
      <c r="J518" s="460"/>
      <c r="K518" s="460"/>
      <c r="L518" s="460"/>
      <c r="M518" s="460"/>
      <c r="V518" s="85"/>
      <c r="X518" s="84"/>
      <c r="AB518" s="28"/>
      <c r="AC518" s="28"/>
    </row>
    <row r="519">
      <c r="E519" s="1"/>
      <c r="J519" s="460"/>
      <c r="K519" s="460"/>
      <c r="L519" s="460"/>
      <c r="M519" s="460"/>
      <c r="V519" s="85"/>
      <c r="X519" s="84"/>
      <c r="AB519" s="28"/>
      <c r="AC519" s="28"/>
    </row>
    <row r="520">
      <c r="E520" s="1"/>
      <c r="J520" s="460"/>
      <c r="K520" s="460"/>
      <c r="L520" s="460"/>
      <c r="M520" s="460"/>
      <c r="V520" s="85"/>
      <c r="X520" s="84"/>
      <c r="AB520" s="28"/>
      <c r="AC520" s="28"/>
    </row>
    <row r="521">
      <c r="E521" s="1"/>
      <c r="J521" s="460"/>
      <c r="K521" s="460"/>
      <c r="L521" s="460"/>
      <c r="M521" s="460"/>
      <c r="V521" s="85"/>
      <c r="X521" s="84"/>
      <c r="AB521" s="28"/>
      <c r="AC521" s="28"/>
    </row>
    <row r="522">
      <c r="E522" s="1"/>
      <c r="J522" s="460"/>
      <c r="K522" s="460"/>
      <c r="L522" s="460"/>
      <c r="M522" s="460"/>
      <c r="V522" s="85"/>
      <c r="X522" s="84"/>
      <c r="AB522" s="28"/>
      <c r="AC522" s="28"/>
    </row>
    <row r="523">
      <c r="E523" s="1"/>
      <c r="J523" s="460"/>
      <c r="K523" s="460"/>
      <c r="L523" s="460"/>
      <c r="M523" s="460"/>
      <c r="V523" s="85"/>
      <c r="X523" s="84"/>
      <c r="AB523" s="28"/>
      <c r="AC523" s="28"/>
    </row>
    <row r="524">
      <c r="E524" s="1"/>
      <c r="J524" s="460"/>
      <c r="K524" s="460"/>
      <c r="L524" s="460"/>
      <c r="M524" s="460"/>
      <c r="V524" s="85"/>
      <c r="X524" s="84"/>
      <c r="AB524" s="28"/>
      <c r="AC524" s="28"/>
    </row>
    <row r="525">
      <c r="E525" s="1"/>
      <c r="J525" s="460"/>
      <c r="K525" s="460"/>
      <c r="L525" s="460"/>
      <c r="M525" s="460"/>
      <c r="V525" s="85"/>
      <c r="X525" s="84"/>
      <c r="AB525" s="28"/>
      <c r="AC525" s="28"/>
    </row>
    <row r="526">
      <c r="E526" s="1"/>
      <c r="J526" s="460"/>
      <c r="K526" s="460"/>
      <c r="L526" s="460"/>
      <c r="M526" s="460"/>
      <c r="V526" s="85"/>
      <c r="X526" s="84"/>
      <c r="AB526" s="28"/>
      <c r="AC526" s="28"/>
    </row>
    <row r="527">
      <c r="E527" s="1"/>
      <c r="J527" s="460"/>
      <c r="K527" s="460"/>
      <c r="L527" s="460"/>
      <c r="M527" s="460"/>
      <c r="V527" s="85"/>
      <c r="X527" s="84"/>
      <c r="AB527" s="28"/>
      <c r="AC527" s="28"/>
    </row>
    <row r="528">
      <c r="E528" s="1"/>
      <c r="J528" s="460"/>
      <c r="K528" s="460"/>
      <c r="L528" s="460"/>
      <c r="M528" s="460"/>
      <c r="V528" s="85"/>
      <c r="X528" s="84"/>
      <c r="AB528" s="28"/>
      <c r="AC528" s="28"/>
    </row>
    <row r="529">
      <c r="E529" s="1"/>
      <c r="J529" s="460"/>
      <c r="K529" s="460"/>
      <c r="L529" s="460"/>
      <c r="M529" s="460"/>
      <c r="V529" s="85"/>
      <c r="X529" s="84"/>
      <c r="AB529" s="28"/>
      <c r="AC529" s="28"/>
    </row>
    <row r="530">
      <c r="E530" s="1"/>
      <c r="J530" s="460"/>
      <c r="K530" s="460"/>
      <c r="L530" s="460"/>
      <c r="M530" s="460"/>
      <c r="V530" s="85"/>
      <c r="X530" s="84"/>
      <c r="AB530" s="28"/>
      <c r="AC530" s="28"/>
    </row>
    <row r="531">
      <c r="E531" s="1"/>
      <c r="J531" s="460"/>
      <c r="K531" s="460"/>
      <c r="L531" s="460"/>
      <c r="M531" s="460"/>
      <c r="V531" s="85"/>
      <c r="X531" s="84"/>
      <c r="AB531" s="28"/>
      <c r="AC531" s="28"/>
    </row>
    <row r="532">
      <c r="E532" s="1"/>
      <c r="J532" s="460"/>
      <c r="K532" s="460"/>
      <c r="L532" s="460"/>
      <c r="M532" s="460"/>
      <c r="V532" s="85"/>
      <c r="X532" s="84"/>
      <c r="AB532" s="28"/>
      <c r="AC532" s="28"/>
    </row>
    <row r="533">
      <c r="E533" s="1"/>
      <c r="J533" s="460"/>
      <c r="K533" s="460"/>
      <c r="L533" s="460"/>
      <c r="M533" s="460"/>
      <c r="V533" s="85"/>
      <c r="X533" s="84"/>
      <c r="AB533" s="28"/>
      <c r="AC533" s="28"/>
    </row>
    <row r="534">
      <c r="E534" s="1"/>
      <c r="J534" s="460"/>
      <c r="K534" s="460"/>
      <c r="L534" s="460"/>
      <c r="M534" s="460"/>
      <c r="V534" s="85"/>
      <c r="X534" s="84"/>
      <c r="AB534" s="28"/>
      <c r="AC534" s="28"/>
    </row>
    <row r="535">
      <c r="E535" s="1"/>
      <c r="J535" s="460"/>
      <c r="K535" s="460"/>
      <c r="L535" s="460"/>
      <c r="M535" s="460"/>
      <c r="V535" s="85"/>
      <c r="X535" s="84"/>
      <c r="AB535" s="28"/>
      <c r="AC535" s="28"/>
    </row>
    <row r="536">
      <c r="E536" s="1"/>
      <c r="J536" s="460"/>
      <c r="K536" s="460"/>
      <c r="L536" s="460"/>
      <c r="M536" s="460"/>
      <c r="V536" s="85"/>
      <c r="X536" s="84"/>
      <c r="AB536" s="28"/>
      <c r="AC536" s="28"/>
    </row>
    <row r="537">
      <c r="E537" s="1"/>
      <c r="J537" s="460"/>
      <c r="K537" s="460"/>
      <c r="L537" s="460"/>
      <c r="M537" s="460"/>
      <c r="V537" s="85"/>
      <c r="X537" s="84"/>
      <c r="AB537" s="28"/>
      <c r="AC537" s="28"/>
    </row>
    <row r="538">
      <c r="E538" s="1"/>
      <c r="J538" s="460"/>
      <c r="K538" s="460"/>
      <c r="L538" s="460"/>
      <c r="M538" s="460"/>
      <c r="V538" s="85"/>
      <c r="X538" s="84"/>
      <c r="AB538" s="28"/>
      <c r="AC538" s="28"/>
    </row>
    <row r="539">
      <c r="E539" s="1"/>
      <c r="J539" s="460"/>
      <c r="K539" s="460"/>
      <c r="L539" s="460"/>
      <c r="M539" s="460"/>
      <c r="V539" s="85"/>
      <c r="X539" s="84"/>
      <c r="AB539" s="28"/>
      <c r="AC539" s="28"/>
    </row>
    <row r="540">
      <c r="E540" s="1"/>
      <c r="J540" s="460"/>
      <c r="K540" s="460"/>
      <c r="L540" s="460"/>
      <c r="M540" s="460"/>
      <c r="V540" s="85"/>
      <c r="X540" s="84"/>
      <c r="AB540" s="28"/>
      <c r="AC540" s="28"/>
    </row>
    <row r="541">
      <c r="E541" s="1"/>
      <c r="J541" s="460"/>
      <c r="K541" s="460"/>
      <c r="L541" s="460"/>
      <c r="M541" s="460"/>
      <c r="V541" s="85"/>
      <c r="X541" s="84"/>
      <c r="AB541" s="28"/>
      <c r="AC541" s="28"/>
    </row>
    <row r="542">
      <c r="E542" s="1"/>
      <c r="J542" s="460"/>
      <c r="K542" s="460"/>
      <c r="L542" s="460"/>
      <c r="M542" s="460"/>
      <c r="V542" s="85"/>
      <c r="X542" s="84"/>
      <c r="AB542" s="28"/>
      <c r="AC542" s="28"/>
    </row>
    <row r="543">
      <c r="E543" s="1"/>
      <c r="J543" s="460"/>
      <c r="K543" s="460"/>
      <c r="L543" s="460"/>
      <c r="M543" s="460"/>
      <c r="V543" s="85"/>
      <c r="X543" s="84"/>
      <c r="AB543" s="28"/>
      <c r="AC543" s="28"/>
    </row>
    <row r="544">
      <c r="E544" s="1"/>
      <c r="J544" s="460"/>
      <c r="K544" s="460"/>
      <c r="L544" s="460"/>
      <c r="M544" s="460"/>
      <c r="V544" s="85"/>
      <c r="X544" s="84"/>
      <c r="AB544" s="28"/>
      <c r="AC544" s="28"/>
    </row>
    <row r="545">
      <c r="E545" s="1"/>
      <c r="J545" s="460"/>
      <c r="K545" s="460"/>
      <c r="L545" s="460"/>
      <c r="M545" s="460"/>
      <c r="V545" s="85"/>
      <c r="X545" s="84"/>
      <c r="AB545" s="28"/>
      <c r="AC545" s="28"/>
    </row>
    <row r="546">
      <c r="E546" s="1"/>
      <c r="J546" s="460"/>
      <c r="K546" s="460"/>
      <c r="L546" s="460"/>
      <c r="M546" s="460"/>
      <c r="V546" s="85"/>
      <c r="X546" s="84"/>
      <c r="AB546" s="28"/>
      <c r="AC546" s="28"/>
    </row>
    <row r="547">
      <c r="E547" s="1"/>
      <c r="J547" s="460"/>
      <c r="K547" s="460"/>
      <c r="L547" s="460"/>
      <c r="M547" s="460"/>
      <c r="V547" s="85"/>
      <c r="X547" s="84"/>
      <c r="AB547" s="28"/>
      <c r="AC547" s="28"/>
    </row>
    <row r="548">
      <c r="E548" s="1"/>
      <c r="J548" s="460"/>
      <c r="K548" s="460"/>
      <c r="L548" s="460"/>
      <c r="M548" s="460"/>
      <c r="V548" s="85"/>
      <c r="X548" s="84"/>
      <c r="AB548" s="28"/>
      <c r="AC548" s="28"/>
    </row>
    <row r="549">
      <c r="E549" s="1"/>
      <c r="J549" s="460"/>
      <c r="K549" s="460"/>
      <c r="L549" s="460"/>
      <c r="M549" s="460"/>
      <c r="V549" s="85"/>
      <c r="X549" s="84"/>
      <c r="AB549" s="28"/>
      <c r="AC549" s="28"/>
    </row>
    <row r="550">
      <c r="E550" s="1"/>
      <c r="J550" s="460"/>
      <c r="K550" s="460"/>
      <c r="L550" s="460"/>
      <c r="M550" s="460"/>
      <c r="V550" s="85"/>
      <c r="X550" s="84"/>
      <c r="AB550" s="28"/>
      <c r="AC550" s="28"/>
    </row>
    <row r="551">
      <c r="E551" s="1"/>
      <c r="J551" s="460"/>
      <c r="K551" s="460"/>
      <c r="L551" s="460"/>
      <c r="M551" s="460"/>
      <c r="V551" s="85"/>
      <c r="X551" s="84"/>
      <c r="AB551" s="28"/>
      <c r="AC551" s="28"/>
    </row>
    <row r="552">
      <c r="E552" s="1"/>
      <c r="J552" s="460"/>
      <c r="K552" s="460"/>
      <c r="L552" s="460"/>
      <c r="M552" s="460"/>
      <c r="V552" s="85"/>
      <c r="X552" s="84"/>
      <c r="AB552" s="28"/>
      <c r="AC552" s="28"/>
    </row>
    <row r="553">
      <c r="E553" s="1"/>
      <c r="J553" s="460"/>
      <c r="K553" s="460"/>
      <c r="L553" s="460"/>
      <c r="M553" s="460"/>
      <c r="V553" s="85"/>
      <c r="X553" s="84"/>
      <c r="AB553" s="28"/>
      <c r="AC553" s="28"/>
    </row>
    <row r="554">
      <c r="E554" s="1"/>
      <c r="J554" s="460"/>
      <c r="K554" s="460"/>
      <c r="L554" s="460"/>
      <c r="M554" s="460"/>
      <c r="V554" s="85"/>
      <c r="X554" s="84"/>
      <c r="AB554" s="28"/>
      <c r="AC554" s="28"/>
    </row>
    <row r="555">
      <c r="E555" s="1"/>
      <c r="J555" s="460"/>
      <c r="K555" s="460"/>
      <c r="L555" s="460"/>
      <c r="M555" s="460"/>
      <c r="V555" s="85"/>
      <c r="X555" s="84"/>
      <c r="AB555" s="28"/>
      <c r="AC555" s="28"/>
    </row>
    <row r="556">
      <c r="E556" s="1"/>
      <c r="J556" s="460"/>
      <c r="K556" s="460"/>
      <c r="L556" s="460"/>
      <c r="M556" s="460"/>
      <c r="V556" s="85"/>
      <c r="X556" s="84"/>
      <c r="AB556" s="28"/>
      <c r="AC556" s="28"/>
    </row>
    <row r="557">
      <c r="E557" s="1"/>
      <c r="J557" s="460"/>
      <c r="K557" s="460"/>
      <c r="L557" s="460"/>
      <c r="M557" s="460"/>
      <c r="V557" s="85"/>
      <c r="X557" s="84"/>
      <c r="AB557" s="28"/>
      <c r="AC557" s="28"/>
    </row>
    <row r="558">
      <c r="E558" s="1"/>
      <c r="J558" s="460"/>
      <c r="K558" s="460"/>
      <c r="L558" s="460"/>
      <c r="M558" s="460"/>
      <c r="V558" s="85"/>
      <c r="X558" s="84"/>
      <c r="AB558" s="28"/>
      <c r="AC558" s="28"/>
    </row>
    <row r="559">
      <c r="E559" s="1"/>
      <c r="J559" s="460"/>
      <c r="K559" s="460"/>
      <c r="L559" s="460"/>
      <c r="M559" s="460"/>
      <c r="V559" s="85"/>
      <c r="X559" s="84"/>
      <c r="AB559" s="28"/>
      <c r="AC559" s="28"/>
    </row>
    <row r="560">
      <c r="E560" s="1"/>
      <c r="J560" s="460"/>
      <c r="K560" s="460"/>
      <c r="L560" s="460"/>
      <c r="M560" s="460"/>
      <c r="V560" s="85"/>
      <c r="X560" s="84"/>
      <c r="AB560" s="28"/>
      <c r="AC560" s="28"/>
    </row>
    <row r="561">
      <c r="E561" s="1"/>
      <c r="J561" s="460"/>
      <c r="K561" s="460"/>
      <c r="L561" s="460"/>
      <c r="M561" s="460"/>
      <c r="V561" s="85"/>
      <c r="X561" s="84"/>
      <c r="AB561" s="28"/>
      <c r="AC561" s="28"/>
    </row>
    <row r="562">
      <c r="E562" s="1"/>
      <c r="J562" s="460"/>
      <c r="K562" s="460"/>
      <c r="L562" s="460"/>
      <c r="M562" s="460"/>
      <c r="V562" s="85"/>
      <c r="X562" s="84"/>
      <c r="AB562" s="28"/>
      <c r="AC562" s="28"/>
    </row>
    <row r="563">
      <c r="E563" s="1"/>
      <c r="J563" s="460"/>
      <c r="K563" s="460"/>
      <c r="L563" s="460"/>
      <c r="M563" s="460"/>
      <c r="V563" s="85"/>
      <c r="X563" s="84"/>
      <c r="AB563" s="28"/>
      <c r="AC563" s="28"/>
    </row>
    <row r="564">
      <c r="E564" s="1"/>
      <c r="J564" s="460"/>
      <c r="K564" s="460"/>
      <c r="L564" s="460"/>
      <c r="M564" s="460"/>
      <c r="V564" s="85"/>
      <c r="X564" s="84"/>
      <c r="AB564" s="28"/>
      <c r="AC564" s="28"/>
    </row>
    <row r="565">
      <c r="E565" s="1"/>
      <c r="J565" s="460"/>
      <c r="K565" s="460"/>
      <c r="L565" s="460"/>
      <c r="M565" s="460"/>
      <c r="V565" s="85"/>
      <c r="X565" s="84"/>
      <c r="AB565" s="28"/>
      <c r="AC565" s="28"/>
    </row>
    <row r="566">
      <c r="E566" s="1"/>
      <c r="J566" s="460"/>
      <c r="K566" s="460"/>
      <c r="L566" s="460"/>
      <c r="M566" s="460"/>
      <c r="V566" s="85"/>
      <c r="X566" s="84"/>
      <c r="AB566" s="28"/>
      <c r="AC566" s="28"/>
    </row>
    <row r="567">
      <c r="E567" s="1"/>
      <c r="J567" s="460"/>
      <c r="K567" s="460"/>
      <c r="L567" s="460"/>
      <c r="M567" s="460"/>
      <c r="V567" s="85"/>
      <c r="X567" s="84"/>
      <c r="AB567" s="28"/>
      <c r="AC567" s="28"/>
    </row>
    <row r="568">
      <c r="E568" s="1"/>
      <c r="J568" s="460"/>
      <c r="K568" s="460"/>
      <c r="L568" s="460"/>
      <c r="M568" s="460"/>
      <c r="V568" s="85"/>
      <c r="X568" s="84"/>
      <c r="AB568" s="28"/>
      <c r="AC568" s="28"/>
    </row>
    <row r="569">
      <c r="E569" s="1"/>
      <c r="J569" s="460"/>
      <c r="K569" s="460"/>
      <c r="L569" s="460"/>
      <c r="M569" s="460"/>
      <c r="V569" s="85"/>
      <c r="X569" s="84"/>
      <c r="AB569" s="28"/>
      <c r="AC569" s="28"/>
    </row>
    <row r="570">
      <c r="E570" s="1"/>
      <c r="J570" s="460"/>
      <c r="K570" s="460"/>
      <c r="L570" s="460"/>
      <c r="M570" s="460"/>
      <c r="V570" s="85"/>
      <c r="X570" s="84"/>
      <c r="AB570" s="28"/>
      <c r="AC570" s="28"/>
    </row>
    <row r="571">
      <c r="E571" s="1"/>
      <c r="J571" s="460"/>
      <c r="K571" s="460"/>
      <c r="L571" s="460"/>
      <c r="M571" s="460"/>
      <c r="V571" s="85"/>
      <c r="X571" s="84"/>
      <c r="AB571" s="28"/>
      <c r="AC571" s="28"/>
    </row>
    <row r="572">
      <c r="E572" s="1"/>
      <c r="J572" s="460"/>
      <c r="K572" s="460"/>
      <c r="L572" s="460"/>
      <c r="M572" s="460"/>
      <c r="V572" s="85"/>
      <c r="X572" s="84"/>
      <c r="AB572" s="28"/>
      <c r="AC572" s="28"/>
    </row>
    <row r="573">
      <c r="E573" s="1"/>
      <c r="J573" s="460"/>
      <c r="K573" s="460"/>
      <c r="L573" s="460"/>
      <c r="M573" s="460"/>
      <c r="V573" s="85"/>
      <c r="X573" s="84"/>
      <c r="AB573" s="28"/>
      <c r="AC573" s="28"/>
    </row>
    <row r="574">
      <c r="E574" s="1"/>
      <c r="J574" s="460"/>
      <c r="K574" s="460"/>
      <c r="L574" s="460"/>
      <c r="M574" s="460"/>
      <c r="V574" s="85"/>
      <c r="X574" s="84"/>
      <c r="AB574" s="28"/>
      <c r="AC574" s="28"/>
    </row>
    <row r="575">
      <c r="E575" s="1"/>
      <c r="J575" s="460"/>
      <c r="K575" s="460"/>
      <c r="L575" s="460"/>
      <c r="M575" s="460"/>
      <c r="V575" s="85"/>
      <c r="X575" s="84"/>
      <c r="AB575" s="28"/>
      <c r="AC575" s="28"/>
    </row>
    <row r="576">
      <c r="E576" s="1"/>
      <c r="J576" s="460"/>
      <c r="K576" s="460"/>
      <c r="L576" s="460"/>
      <c r="M576" s="460"/>
      <c r="V576" s="85"/>
      <c r="X576" s="84"/>
      <c r="AB576" s="28"/>
      <c r="AC576" s="28"/>
    </row>
    <row r="577">
      <c r="E577" s="1"/>
      <c r="J577" s="460"/>
      <c r="K577" s="460"/>
      <c r="L577" s="460"/>
      <c r="M577" s="460"/>
      <c r="V577" s="85"/>
      <c r="X577" s="84"/>
      <c r="AB577" s="28"/>
      <c r="AC577" s="28"/>
    </row>
    <row r="578">
      <c r="E578" s="1"/>
      <c r="J578" s="460"/>
      <c r="K578" s="460"/>
      <c r="L578" s="460"/>
      <c r="M578" s="460"/>
      <c r="V578" s="85"/>
      <c r="X578" s="84"/>
      <c r="AB578" s="28"/>
      <c r="AC578" s="28"/>
    </row>
    <row r="579">
      <c r="E579" s="1"/>
      <c r="J579" s="460"/>
      <c r="K579" s="460"/>
      <c r="L579" s="460"/>
      <c r="M579" s="460"/>
      <c r="V579" s="85"/>
      <c r="X579" s="84"/>
      <c r="AB579" s="28"/>
      <c r="AC579" s="28"/>
    </row>
    <row r="580">
      <c r="E580" s="1"/>
      <c r="J580" s="460"/>
      <c r="K580" s="460"/>
      <c r="L580" s="460"/>
      <c r="M580" s="460"/>
      <c r="V580" s="85"/>
      <c r="X580" s="84"/>
      <c r="AB580" s="28"/>
      <c r="AC580" s="28"/>
    </row>
    <row r="581">
      <c r="E581" s="1"/>
      <c r="J581" s="460"/>
      <c r="K581" s="460"/>
      <c r="L581" s="460"/>
      <c r="M581" s="460"/>
      <c r="V581" s="85"/>
      <c r="X581" s="84"/>
      <c r="AB581" s="28"/>
      <c r="AC581" s="28"/>
    </row>
    <row r="582">
      <c r="E582" s="1"/>
      <c r="J582" s="460"/>
      <c r="K582" s="460"/>
      <c r="L582" s="460"/>
      <c r="M582" s="460"/>
      <c r="V582" s="85"/>
      <c r="X582" s="84"/>
      <c r="AB582" s="28"/>
      <c r="AC582" s="28"/>
    </row>
    <row r="583">
      <c r="E583" s="1"/>
      <c r="J583" s="460"/>
      <c r="K583" s="460"/>
      <c r="L583" s="460"/>
      <c r="M583" s="460"/>
      <c r="V583" s="85"/>
      <c r="X583" s="84"/>
      <c r="AB583" s="28"/>
      <c r="AC583" s="28"/>
    </row>
    <row r="584">
      <c r="E584" s="1"/>
      <c r="J584" s="460"/>
      <c r="K584" s="460"/>
      <c r="L584" s="460"/>
      <c r="M584" s="460"/>
      <c r="V584" s="85"/>
      <c r="X584" s="84"/>
      <c r="AB584" s="28"/>
      <c r="AC584" s="28"/>
    </row>
    <row r="585">
      <c r="E585" s="1"/>
      <c r="J585" s="460"/>
      <c r="K585" s="460"/>
      <c r="L585" s="460"/>
      <c r="M585" s="460"/>
      <c r="V585" s="85"/>
      <c r="X585" s="84"/>
      <c r="AB585" s="28"/>
      <c r="AC585" s="28"/>
    </row>
    <row r="586">
      <c r="E586" s="1"/>
      <c r="J586" s="460"/>
      <c r="K586" s="460"/>
      <c r="L586" s="460"/>
      <c r="M586" s="460"/>
      <c r="V586" s="85"/>
      <c r="X586" s="84"/>
      <c r="AB586" s="28"/>
      <c r="AC586" s="28"/>
    </row>
    <row r="587">
      <c r="E587" s="1"/>
      <c r="J587" s="460"/>
      <c r="K587" s="460"/>
      <c r="L587" s="460"/>
      <c r="M587" s="460"/>
      <c r="V587" s="85"/>
      <c r="X587" s="84"/>
      <c r="AB587" s="28"/>
      <c r="AC587" s="28"/>
    </row>
    <row r="588">
      <c r="E588" s="1"/>
      <c r="J588" s="460"/>
      <c r="K588" s="460"/>
      <c r="L588" s="460"/>
      <c r="M588" s="460"/>
      <c r="V588" s="85"/>
      <c r="X588" s="84"/>
      <c r="AB588" s="28"/>
      <c r="AC588" s="28"/>
    </row>
    <row r="589">
      <c r="E589" s="1"/>
      <c r="J589" s="460"/>
      <c r="K589" s="460"/>
      <c r="L589" s="460"/>
      <c r="M589" s="460"/>
      <c r="V589" s="85"/>
      <c r="X589" s="84"/>
      <c r="AB589" s="28"/>
      <c r="AC589" s="28"/>
    </row>
    <row r="590">
      <c r="E590" s="1"/>
      <c r="J590" s="460"/>
      <c r="K590" s="460"/>
      <c r="L590" s="460"/>
      <c r="M590" s="460"/>
      <c r="V590" s="85"/>
      <c r="X590" s="84"/>
      <c r="AB590" s="28"/>
      <c r="AC590" s="28"/>
    </row>
    <row r="591">
      <c r="E591" s="1"/>
      <c r="J591" s="460"/>
      <c r="K591" s="460"/>
      <c r="L591" s="460"/>
      <c r="M591" s="460"/>
      <c r="V591" s="85"/>
      <c r="X591" s="84"/>
      <c r="AB591" s="28"/>
      <c r="AC591" s="28"/>
    </row>
    <row r="592">
      <c r="E592" s="1"/>
      <c r="J592" s="460"/>
      <c r="K592" s="460"/>
      <c r="L592" s="460"/>
      <c r="M592" s="460"/>
      <c r="V592" s="85"/>
      <c r="X592" s="84"/>
      <c r="AB592" s="28"/>
      <c r="AC592" s="28"/>
    </row>
    <row r="593">
      <c r="E593" s="1"/>
      <c r="J593" s="460"/>
      <c r="K593" s="460"/>
      <c r="L593" s="460"/>
      <c r="M593" s="460"/>
      <c r="V593" s="85"/>
      <c r="X593" s="84"/>
      <c r="AB593" s="28"/>
      <c r="AC593" s="28"/>
    </row>
    <row r="594">
      <c r="E594" s="1"/>
      <c r="J594" s="460"/>
      <c r="K594" s="460"/>
      <c r="L594" s="460"/>
      <c r="M594" s="460"/>
      <c r="V594" s="85"/>
      <c r="X594" s="84"/>
      <c r="AB594" s="28"/>
      <c r="AC594" s="28"/>
    </row>
    <row r="595">
      <c r="E595" s="1"/>
      <c r="J595" s="460"/>
      <c r="K595" s="460"/>
      <c r="L595" s="460"/>
      <c r="M595" s="460"/>
      <c r="V595" s="85"/>
      <c r="X595" s="84"/>
      <c r="AB595" s="28"/>
      <c r="AC595" s="28"/>
    </row>
    <row r="596">
      <c r="E596" s="1"/>
      <c r="J596" s="460"/>
      <c r="K596" s="460"/>
      <c r="L596" s="460"/>
      <c r="M596" s="460"/>
      <c r="V596" s="85"/>
      <c r="X596" s="84"/>
      <c r="AB596" s="28"/>
      <c r="AC596" s="28"/>
    </row>
    <row r="597">
      <c r="E597" s="1"/>
      <c r="J597" s="460"/>
      <c r="K597" s="460"/>
      <c r="L597" s="460"/>
      <c r="M597" s="460"/>
      <c r="V597" s="85"/>
      <c r="X597" s="84"/>
      <c r="AB597" s="28"/>
      <c r="AC597" s="28"/>
    </row>
    <row r="598">
      <c r="E598" s="1"/>
      <c r="J598" s="460"/>
      <c r="K598" s="460"/>
      <c r="L598" s="460"/>
      <c r="M598" s="460"/>
      <c r="V598" s="85"/>
      <c r="X598" s="84"/>
      <c r="AB598" s="28"/>
      <c r="AC598" s="28"/>
    </row>
    <row r="599">
      <c r="E599" s="1"/>
      <c r="J599" s="460"/>
      <c r="K599" s="460"/>
      <c r="L599" s="460"/>
      <c r="M599" s="460"/>
      <c r="V599" s="85"/>
      <c r="X599" s="84"/>
      <c r="AB599" s="28"/>
      <c r="AC599" s="28"/>
    </row>
    <row r="600">
      <c r="E600" s="1"/>
      <c r="J600" s="460"/>
      <c r="K600" s="460"/>
      <c r="L600" s="460"/>
      <c r="M600" s="460"/>
      <c r="V600" s="85"/>
      <c r="X600" s="84"/>
      <c r="AB600" s="28"/>
      <c r="AC600" s="28"/>
    </row>
    <row r="601">
      <c r="E601" s="1"/>
      <c r="J601" s="460"/>
      <c r="K601" s="460"/>
      <c r="L601" s="460"/>
      <c r="M601" s="460"/>
      <c r="V601" s="85"/>
      <c r="X601" s="84"/>
      <c r="AB601" s="28"/>
      <c r="AC601" s="28"/>
    </row>
    <row r="602">
      <c r="E602" s="1"/>
      <c r="J602" s="460"/>
      <c r="K602" s="460"/>
      <c r="L602" s="460"/>
      <c r="M602" s="460"/>
      <c r="V602" s="85"/>
      <c r="X602" s="84"/>
      <c r="AB602" s="28"/>
      <c r="AC602" s="28"/>
    </row>
    <row r="603">
      <c r="E603" s="1"/>
      <c r="J603" s="460"/>
      <c r="K603" s="460"/>
      <c r="L603" s="460"/>
      <c r="M603" s="460"/>
      <c r="V603" s="85"/>
      <c r="X603" s="84"/>
      <c r="AB603" s="28"/>
      <c r="AC603" s="28"/>
    </row>
    <row r="604">
      <c r="E604" s="1"/>
      <c r="J604" s="460"/>
      <c r="K604" s="460"/>
      <c r="L604" s="460"/>
      <c r="M604" s="460"/>
      <c r="V604" s="85"/>
      <c r="X604" s="84"/>
      <c r="AB604" s="28"/>
      <c r="AC604" s="28"/>
    </row>
    <row r="605">
      <c r="E605" s="1"/>
      <c r="J605" s="460"/>
      <c r="K605" s="460"/>
      <c r="L605" s="460"/>
      <c r="M605" s="460"/>
      <c r="V605" s="85"/>
      <c r="X605" s="84"/>
      <c r="AB605" s="28"/>
      <c r="AC605" s="28"/>
    </row>
    <row r="606">
      <c r="E606" s="1"/>
      <c r="J606" s="460"/>
      <c r="K606" s="460"/>
      <c r="L606" s="460"/>
      <c r="M606" s="460"/>
      <c r="V606" s="85"/>
      <c r="X606" s="84"/>
      <c r="AB606" s="28"/>
      <c r="AC606" s="28"/>
    </row>
    <row r="607">
      <c r="E607" s="1"/>
      <c r="J607" s="460"/>
      <c r="K607" s="460"/>
      <c r="L607" s="460"/>
      <c r="M607" s="460"/>
      <c r="V607" s="85"/>
      <c r="X607" s="84"/>
      <c r="AB607" s="28"/>
      <c r="AC607" s="28"/>
    </row>
    <row r="608">
      <c r="E608" s="1"/>
      <c r="J608" s="460"/>
      <c r="K608" s="460"/>
      <c r="L608" s="460"/>
      <c r="M608" s="460"/>
      <c r="V608" s="85"/>
      <c r="X608" s="84"/>
      <c r="AB608" s="28"/>
      <c r="AC608" s="28"/>
    </row>
    <row r="609">
      <c r="E609" s="1"/>
      <c r="J609" s="460"/>
      <c r="K609" s="460"/>
      <c r="L609" s="460"/>
      <c r="M609" s="460"/>
      <c r="V609" s="85"/>
      <c r="X609" s="84"/>
      <c r="AB609" s="28"/>
      <c r="AC609" s="28"/>
    </row>
    <row r="610">
      <c r="E610" s="1"/>
      <c r="J610" s="460"/>
      <c r="K610" s="460"/>
      <c r="L610" s="460"/>
      <c r="M610" s="460"/>
      <c r="V610" s="85"/>
      <c r="X610" s="84"/>
      <c r="AB610" s="28"/>
      <c r="AC610" s="28"/>
    </row>
    <row r="611">
      <c r="E611" s="1"/>
      <c r="J611" s="460"/>
      <c r="K611" s="460"/>
      <c r="L611" s="460"/>
      <c r="M611" s="460"/>
      <c r="V611" s="85"/>
      <c r="X611" s="84"/>
      <c r="AB611" s="28"/>
      <c r="AC611" s="28"/>
    </row>
    <row r="612">
      <c r="E612" s="1"/>
      <c r="J612" s="460"/>
      <c r="K612" s="460"/>
      <c r="L612" s="460"/>
      <c r="M612" s="460"/>
      <c r="V612" s="85"/>
      <c r="X612" s="84"/>
      <c r="AB612" s="28"/>
      <c r="AC612" s="28"/>
    </row>
    <row r="613">
      <c r="E613" s="1"/>
      <c r="J613" s="460"/>
      <c r="K613" s="460"/>
      <c r="L613" s="460"/>
      <c r="M613" s="460"/>
      <c r="V613" s="85"/>
      <c r="X613" s="84"/>
      <c r="AB613" s="28"/>
      <c r="AC613" s="28"/>
    </row>
    <row r="614">
      <c r="E614" s="1"/>
      <c r="J614" s="460"/>
      <c r="K614" s="460"/>
      <c r="L614" s="460"/>
      <c r="M614" s="460"/>
      <c r="V614" s="85"/>
      <c r="X614" s="84"/>
      <c r="AB614" s="28"/>
      <c r="AC614" s="28"/>
    </row>
    <row r="615">
      <c r="E615" s="1"/>
      <c r="J615" s="460"/>
      <c r="K615" s="460"/>
      <c r="L615" s="460"/>
      <c r="M615" s="460"/>
      <c r="V615" s="85"/>
      <c r="X615" s="84"/>
      <c r="AB615" s="28"/>
      <c r="AC615" s="28"/>
    </row>
    <row r="616">
      <c r="E616" s="1"/>
      <c r="J616" s="460"/>
      <c r="K616" s="460"/>
      <c r="L616" s="460"/>
      <c r="M616" s="460"/>
      <c r="V616" s="85"/>
      <c r="X616" s="84"/>
      <c r="AB616" s="28"/>
      <c r="AC616" s="28"/>
    </row>
    <row r="617">
      <c r="E617" s="1"/>
      <c r="J617" s="460"/>
      <c r="K617" s="460"/>
      <c r="L617" s="460"/>
      <c r="M617" s="460"/>
      <c r="V617" s="85"/>
      <c r="X617" s="84"/>
      <c r="AB617" s="28"/>
      <c r="AC617" s="28"/>
    </row>
    <row r="618">
      <c r="E618" s="1"/>
      <c r="J618" s="460"/>
      <c r="K618" s="460"/>
      <c r="L618" s="460"/>
      <c r="M618" s="460"/>
      <c r="V618" s="85"/>
      <c r="X618" s="84"/>
      <c r="AB618" s="28"/>
      <c r="AC618" s="28"/>
    </row>
    <row r="619">
      <c r="E619" s="1"/>
      <c r="J619" s="460"/>
      <c r="K619" s="460"/>
      <c r="L619" s="460"/>
      <c r="M619" s="460"/>
      <c r="V619" s="85"/>
      <c r="X619" s="84"/>
      <c r="AB619" s="28"/>
      <c r="AC619" s="28"/>
    </row>
    <row r="620">
      <c r="E620" s="1"/>
      <c r="J620" s="460"/>
      <c r="K620" s="460"/>
      <c r="L620" s="460"/>
      <c r="M620" s="460"/>
      <c r="V620" s="85"/>
      <c r="X620" s="84"/>
      <c r="AB620" s="28"/>
      <c r="AC620" s="28"/>
    </row>
    <row r="621">
      <c r="E621" s="1"/>
      <c r="J621" s="460"/>
      <c r="K621" s="460"/>
      <c r="L621" s="460"/>
      <c r="M621" s="460"/>
      <c r="V621" s="85"/>
      <c r="X621" s="84"/>
      <c r="AB621" s="28"/>
      <c r="AC621" s="28"/>
    </row>
    <row r="622">
      <c r="E622" s="1"/>
      <c r="J622" s="460"/>
      <c r="K622" s="460"/>
      <c r="L622" s="460"/>
      <c r="M622" s="460"/>
      <c r="V622" s="85"/>
      <c r="X622" s="84"/>
      <c r="AB622" s="28"/>
      <c r="AC622" s="28"/>
    </row>
    <row r="623">
      <c r="E623" s="1"/>
      <c r="J623" s="460"/>
      <c r="K623" s="460"/>
      <c r="L623" s="460"/>
      <c r="M623" s="460"/>
      <c r="V623" s="85"/>
      <c r="X623" s="84"/>
      <c r="AB623" s="28"/>
      <c r="AC623" s="28"/>
    </row>
    <row r="624">
      <c r="E624" s="1"/>
      <c r="J624" s="460"/>
      <c r="K624" s="460"/>
      <c r="L624" s="460"/>
      <c r="M624" s="460"/>
      <c r="V624" s="85"/>
      <c r="X624" s="84"/>
      <c r="AB624" s="28"/>
      <c r="AC624" s="28"/>
    </row>
    <row r="625">
      <c r="E625" s="1"/>
      <c r="J625" s="460"/>
      <c r="K625" s="460"/>
      <c r="L625" s="460"/>
      <c r="M625" s="460"/>
      <c r="V625" s="85"/>
      <c r="X625" s="84"/>
      <c r="AB625" s="28"/>
      <c r="AC625" s="28"/>
    </row>
    <row r="626">
      <c r="E626" s="1"/>
      <c r="J626" s="460"/>
      <c r="K626" s="460"/>
      <c r="L626" s="460"/>
      <c r="M626" s="460"/>
      <c r="V626" s="85"/>
      <c r="X626" s="84"/>
      <c r="AB626" s="28"/>
      <c r="AC626" s="28"/>
    </row>
    <row r="627">
      <c r="E627" s="1"/>
      <c r="J627" s="460"/>
      <c r="K627" s="460"/>
      <c r="L627" s="460"/>
      <c r="M627" s="460"/>
      <c r="V627" s="85"/>
      <c r="X627" s="84"/>
      <c r="AB627" s="28"/>
      <c r="AC627" s="28"/>
    </row>
    <row r="628">
      <c r="E628" s="1"/>
      <c r="J628" s="460"/>
      <c r="K628" s="460"/>
      <c r="L628" s="460"/>
      <c r="M628" s="460"/>
      <c r="V628" s="85"/>
      <c r="X628" s="84"/>
      <c r="AB628" s="28"/>
      <c r="AC628" s="28"/>
    </row>
    <row r="629">
      <c r="E629" s="1"/>
      <c r="J629" s="460"/>
      <c r="K629" s="460"/>
      <c r="L629" s="460"/>
      <c r="M629" s="460"/>
      <c r="V629" s="85"/>
      <c r="X629" s="84"/>
      <c r="AB629" s="28"/>
      <c r="AC629" s="28"/>
    </row>
    <row r="630">
      <c r="E630" s="1"/>
      <c r="J630" s="460"/>
      <c r="K630" s="460"/>
      <c r="L630" s="460"/>
      <c r="M630" s="460"/>
      <c r="V630" s="85"/>
      <c r="X630" s="84"/>
      <c r="AB630" s="28"/>
      <c r="AC630" s="28"/>
    </row>
    <row r="631">
      <c r="E631" s="1"/>
      <c r="J631" s="460"/>
      <c r="K631" s="460"/>
      <c r="L631" s="460"/>
      <c r="M631" s="460"/>
      <c r="V631" s="85"/>
      <c r="X631" s="84"/>
      <c r="AB631" s="28"/>
      <c r="AC631" s="28"/>
    </row>
    <row r="632">
      <c r="E632" s="1"/>
      <c r="J632" s="460"/>
      <c r="K632" s="460"/>
      <c r="L632" s="460"/>
      <c r="M632" s="460"/>
      <c r="V632" s="85"/>
      <c r="X632" s="84"/>
      <c r="AB632" s="28"/>
      <c r="AC632" s="28"/>
    </row>
    <row r="633">
      <c r="E633" s="1"/>
      <c r="J633" s="460"/>
      <c r="K633" s="460"/>
      <c r="L633" s="460"/>
      <c r="M633" s="460"/>
      <c r="V633" s="85"/>
      <c r="X633" s="84"/>
      <c r="AB633" s="28"/>
      <c r="AC633" s="28"/>
    </row>
    <row r="634">
      <c r="E634" s="1"/>
      <c r="J634" s="460"/>
      <c r="K634" s="460"/>
      <c r="L634" s="460"/>
      <c r="M634" s="460"/>
      <c r="V634" s="85"/>
      <c r="X634" s="84"/>
      <c r="AB634" s="28"/>
      <c r="AC634" s="28"/>
    </row>
    <row r="635">
      <c r="E635" s="1"/>
      <c r="J635" s="460"/>
      <c r="K635" s="460"/>
      <c r="L635" s="460"/>
      <c r="M635" s="460"/>
      <c r="V635" s="85"/>
      <c r="X635" s="84"/>
      <c r="AB635" s="28"/>
      <c r="AC635" s="28"/>
    </row>
    <row r="636">
      <c r="E636" s="1"/>
      <c r="J636" s="460"/>
      <c r="K636" s="460"/>
      <c r="L636" s="460"/>
      <c r="M636" s="460"/>
      <c r="V636" s="85"/>
      <c r="X636" s="84"/>
      <c r="AB636" s="28"/>
      <c r="AC636" s="28"/>
    </row>
    <row r="637">
      <c r="E637" s="1"/>
      <c r="J637" s="460"/>
      <c r="K637" s="460"/>
      <c r="L637" s="460"/>
      <c r="M637" s="460"/>
      <c r="V637" s="85"/>
      <c r="X637" s="84"/>
      <c r="AB637" s="28"/>
      <c r="AC637" s="28"/>
    </row>
    <row r="638">
      <c r="E638" s="1"/>
      <c r="J638" s="460"/>
      <c r="K638" s="460"/>
      <c r="L638" s="460"/>
      <c r="M638" s="460"/>
      <c r="V638" s="85"/>
      <c r="X638" s="84"/>
      <c r="AB638" s="28"/>
      <c r="AC638" s="28"/>
    </row>
    <row r="639">
      <c r="E639" s="1"/>
      <c r="J639" s="460"/>
      <c r="K639" s="460"/>
      <c r="L639" s="460"/>
      <c r="M639" s="460"/>
      <c r="V639" s="85"/>
      <c r="X639" s="84"/>
      <c r="AB639" s="28"/>
      <c r="AC639" s="28"/>
    </row>
    <row r="640">
      <c r="E640" s="1"/>
      <c r="J640" s="460"/>
      <c r="K640" s="460"/>
      <c r="L640" s="460"/>
      <c r="M640" s="460"/>
      <c r="V640" s="85"/>
      <c r="X640" s="84"/>
      <c r="AB640" s="28"/>
      <c r="AC640" s="28"/>
    </row>
    <row r="641">
      <c r="E641" s="1"/>
      <c r="J641" s="460"/>
      <c r="K641" s="460"/>
      <c r="L641" s="460"/>
      <c r="M641" s="460"/>
      <c r="V641" s="85"/>
      <c r="X641" s="84"/>
      <c r="AB641" s="28"/>
      <c r="AC641" s="28"/>
    </row>
    <row r="642">
      <c r="E642" s="1"/>
      <c r="J642" s="460"/>
      <c r="K642" s="460"/>
      <c r="L642" s="460"/>
      <c r="M642" s="460"/>
      <c r="V642" s="85"/>
      <c r="X642" s="84"/>
      <c r="AB642" s="28"/>
      <c r="AC642" s="28"/>
    </row>
    <row r="643">
      <c r="E643" s="1"/>
      <c r="J643" s="460"/>
      <c r="K643" s="460"/>
      <c r="L643" s="460"/>
      <c r="M643" s="460"/>
      <c r="V643" s="85"/>
      <c r="X643" s="84"/>
      <c r="AB643" s="28"/>
      <c r="AC643" s="28"/>
    </row>
    <row r="644">
      <c r="E644" s="1"/>
      <c r="J644" s="460"/>
      <c r="K644" s="460"/>
      <c r="L644" s="460"/>
      <c r="M644" s="460"/>
      <c r="V644" s="85"/>
      <c r="X644" s="84"/>
      <c r="AB644" s="28"/>
      <c r="AC644" s="28"/>
    </row>
    <row r="645">
      <c r="E645" s="1"/>
      <c r="J645" s="460"/>
      <c r="K645" s="460"/>
      <c r="L645" s="460"/>
      <c r="M645" s="460"/>
      <c r="V645" s="85"/>
      <c r="X645" s="84"/>
      <c r="AB645" s="28"/>
      <c r="AC645" s="28"/>
    </row>
    <row r="646">
      <c r="E646" s="1"/>
      <c r="J646" s="460"/>
      <c r="K646" s="460"/>
      <c r="L646" s="460"/>
      <c r="M646" s="460"/>
      <c r="V646" s="85"/>
      <c r="X646" s="84"/>
      <c r="AB646" s="28"/>
      <c r="AC646" s="28"/>
    </row>
    <row r="647">
      <c r="E647" s="1"/>
      <c r="J647" s="460"/>
      <c r="K647" s="460"/>
      <c r="L647" s="460"/>
      <c r="M647" s="460"/>
      <c r="V647" s="85"/>
      <c r="X647" s="84"/>
      <c r="AB647" s="28"/>
      <c r="AC647" s="28"/>
    </row>
    <row r="648">
      <c r="E648" s="1"/>
      <c r="J648" s="460"/>
      <c r="K648" s="460"/>
      <c r="L648" s="460"/>
      <c r="M648" s="460"/>
      <c r="V648" s="85"/>
      <c r="X648" s="84"/>
      <c r="AB648" s="28"/>
      <c r="AC648" s="28"/>
    </row>
    <row r="649">
      <c r="E649" s="1"/>
      <c r="J649" s="460"/>
      <c r="K649" s="460"/>
      <c r="L649" s="460"/>
      <c r="M649" s="460"/>
      <c r="V649" s="85"/>
      <c r="X649" s="84"/>
      <c r="AB649" s="28"/>
      <c r="AC649" s="28"/>
    </row>
    <row r="650">
      <c r="E650" s="1"/>
      <c r="J650" s="460"/>
      <c r="K650" s="460"/>
      <c r="L650" s="460"/>
      <c r="M650" s="460"/>
      <c r="V650" s="85"/>
      <c r="X650" s="84"/>
      <c r="AB650" s="28"/>
      <c r="AC650" s="28"/>
    </row>
    <row r="651">
      <c r="E651" s="1"/>
      <c r="J651" s="460"/>
      <c r="K651" s="460"/>
      <c r="L651" s="460"/>
      <c r="M651" s="460"/>
      <c r="V651" s="85"/>
      <c r="X651" s="84"/>
      <c r="AB651" s="28"/>
      <c r="AC651" s="28"/>
    </row>
    <row r="652">
      <c r="E652" s="1"/>
      <c r="J652" s="460"/>
      <c r="K652" s="460"/>
      <c r="L652" s="460"/>
      <c r="M652" s="460"/>
      <c r="V652" s="85"/>
      <c r="X652" s="84"/>
      <c r="AB652" s="28"/>
      <c r="AC652" s="28"/>
    </row>
    <row r="653">
      <c r="E653" s="1"/>
      <c r="J653" s="460"/>
      <c r="K653" s="460"/>
      <c r="L653" s="460"/>
      <c r="M653" s="460"/>
      <c r="V653" s="85"/>
      <c r="X653" s="84"/>
      <c r="AB653" s="28"/>
      <c r="AC653" s="28"/>
    </row>
    <row r="654">
      <c r="E654" s="1"/>
      <c r="J654" s="460"/>
      <c r="K654" s="460"/>
      <c r="L654" s="460"/>
      <c r="M654" s="460"/>
      <c r="V654" s="85"/>
      <c r="X654" s="84"/>
      <c r="AB654" s="28"/>
      <c r="AC654" s="28"/>
    </row>
    <row r="655">
      <c r="E655" s="1"/>
      <c r="J655" s="460"/>
      <c r="K655" s="460"/>
      <c r="L655" s="460"/>
      <c r="M655" s="460"/>
      <c r="V655" s="85"/>
      <c r="X655" s="84"/>
      <c r="AB655" s="28"/>
      <c r="AC655" s="28"/>
    </row>
    <row r="656">
      <c r="E656" s="1"/>
      <c r="J656" s="460"/>
      <c r="K656" s="460"/>
      <c r="L656" s="460"/>
      <c r="M656" s="460"/>
      <c r="V656" s="85"/>
      <c r="X656" s="84"/>
      <c r="AB656" s="28"/>
      <c r="AC656" s="28"/>
    </row>
    <row r="657">
      <c r="E657" s="1"/>
      <c r="J657" s="460"/>
      <c r="K657" s="460"/>
      <c r="L657" s="460"/>
      <c r="M657" s="460"/>
      <c r="V657" s="85"/>
      <c r="X657" s="84"/>
      <c r="AB657" s="28"/>
      <c r="AC657" s="28"/>
    </row>
    <row r="658">
      <c r="E658" s="1"/>
      <c r="J658" s="460"/>
      <c r="K658" s="460"/>
      <c r="L658" s="460"/>
      <c r="M658" s="460"/>
      <c r="V658" s="85"/>
      <c r="X658" s="84"/>
      <c r="AB658" s="28"/>
      <c r="AC658" s="28"/>
    </row>
    <row r="659">
      <c r="E659" s="1"/>
      <c r="J659" s="460"/>
      <c r="K659" s="460"/>
      <c r="L659" s="460"/>
      <c r="M659" s="460"/>
      <c r="V659" s="85"/>
      <c r="X659" s="84"/>
      <c r="AB659" s="28"/>
      <c r="AC659" s="28"/>
    </row>
    <row r="660">
      <c r="E660" s="1"/>
      <c r="J660" s="460"/>
      <c r="K660" s="460"/>
      <c r="L660" s="460"/>
      <c r="M660" s="460"/>
      <c r="V660" s="85"/>
      <c r="X660" s="84"/>
      <c r="AB660" s="28"/>
      <c r="AC660" s="28"/>
    </row>
    <row r="661">
      <c r="E661" s="1"/>
      <c r="J661" s="460"/>
      <c r="K661" s="460"/>
      <c r="L661" s="460"/>
      <c r="M661" s="460"/>
      <c r="V661" s="85"/>
      <c r="X661" s="84"/>
      <c r="AB661" s="28"/>
      <c r="AC661" s="28"/>
    </row>
    <row r="662">
      <c r="E662" s="1"/>
      <c r="J662" s="460"/>
      <c r="K662" s="460"/>
      <c r="L662" s="460"/>
      <c r="M662" s="460"/>
      <c r="V662" s="85"/>
      <c r="X662" s="84"/>
      <c r="AB662" s="28"/>
      <c r="AC662" s="28"/>
    </row>
    <row r="663">
      <c r="E663" s="1"/>
      <c r="J663" s="460"/>
      <c r="K663" s="460"/>
      <c r="L663" s="460"/>
      <c r="M663" s="460"/>
      <c r="V663" s="85"/>
      <c r="X663" s="84"/>
      <c r="AB663" s="28"/>
      <c r="AC663" s="28"/>
    </row>
    <row r="664">
      <c r="E664" s="1"/>
      <c r="J664" s="460"/>
      <c r="K664" s="460"/>
      <c r="L664" s="460"/>
      <c r="M664" s="460"/>
      <c r="V664" s="85"/>
      <c r="X664" s="84"/>
      <c r="AB664" s="28"/>
      <c r="AC664" s="28"/>
    </row>
    <row r="665">
      <c r="E665" s="1"/>
      <c r="J665" s="460"/>
      <c r="K665" s="460"/>
      <c r="L665" s="460"/>
      <c r="M665" s="460"/>
      <c r="V665" s="85"/>
      <c r="X665" s="84"/>
      <c r="AB665" s="28"/>
      <c r="AC665" s="28"/>
    </row>
    <row r="666">
      <c r="E666" s="1"/>
      <c r="J666" s="460"/>
      <c r="K666" s="460"/>
      <c r="L666" s="460"/>
      <c r="M666" s="460"/>
      <c r="V666" s="85"/>
      <c r="X666" s="84"/>
      <c r="AB666" s="28"/>
      <c r="AC666" s="28"/>
    </row>
    <row r="667">
      <c r="E667" s="1"/>
      <c r="J667" s="460"/>
      <c r="K667" s="460"/>
      <c r="L667" s="460"/>
      <c r="M667" s="460"/>
      <c r="V667" s="85"/>
      <c r="X667" s="84"/>
      <c r="AB667" s="28"/>
      <c r="AC667" s="28"/>
    </row>
    <row r="668">
      <c r="E668" s="1"/>
      <c r="J668" s="460"/>
      <c r="K668" s="460"/>
      <c r="L668" s="460"/>
      <c r="M668" s="460"/>
      <c r="V668" s="85"/>
      <c r="X668" s="84"/>
      <c r="AB668" s="28"/>
      <c r="AC668" s="28"/>
    </row>
    <row r="669">
      <c r="E669" s="1"/>
      <c r="J669" s="460"/>
      <c r="K669" s="460"/>
      <c r="L669" s="460"/>
      <c r="M669" s="460"/>
      <c r="V669" s="85"/>
      <c r="X669" s="84"/>
      <c r="AB669" s="28"/>
      <c r="AC669" s="28"/>
    </row>
    <row r="670">
      <c r="E670" s="1"/>
      <c r="J670" s="460"/>
      <c r="K670" s="460"/>
      <c r="L670" s="460"/>
      <c r="M670" s="460"/>
      <c r="V670" s="85"/>
      <c r="X670" s="84"/>
      <c r="AB670" s="28"/>
      <c r="AC670" s="28"/>
    </row>
    <row r="671">
      <c r="E671" s="1"/>
      <c r="J671" s="460"/>
      <c r="K671" s="460"/>
      <c r="L671" s="460"/>
      <c r="M671" s="460"/>
      <c r="V671" s="85"/>
      <c r="X671" s="84"/>
      <c r="AB671" s="28"/>
      <c r="AC671" s="28"/>
    </row>
    <row r="672">
      <c r="E672" s="1"/>
      <c r="J672" s="460"/>
      <c r="K672" s="460"/>
      <c r="L672" s="460"/>
      <c r="M672" s="460"/>
      <c r="V672" s="85"/>
      <c r="X672" s="84"/>
      <c r="AB672" s="28"/>
      <c r="AC672" s="28"/>
    </row>
    <row r="673">
      <c r="E673" s="1"/>
      <c r="J673" s="460"/>
      <c r="K673" s="460"/>
      <c r="L673" s="460"/>
      <c r="M673" s="460"/>
      <c r="V673" s="85"/>
      <c r="X673" s="84"/>
      <c r="AB673" s="28"/>
      <c r="AC673" s="28"/>
    </row>
    <row r="674">
      <c r="E674" s="1"/>
      <c r="J674" s="460"/>
      <c r="K674" s="460"/>
      <c r="L674" s="460"/>
      <c r="M674" s="460"/>
      <c r="V674" s="85"/>
      <c r="X674" s="84"/>
      <c r="AB674" s="28"/>
      <c r="AC674" s="28"/>
    </row>
    <row r="675">
      <c r="E675" s="1"/>
      <c r="J675" s="460"/>
      <c r="K675" s="460"/>
      <c r="L675" s="460"/>
      <c r="M675" s="460"/>
      <c r="V675" s="85"/>
      <c r="X675" s="84"/>
      <c r="AB675" s="28"/>
      <c r="AC675" s="28"/>
    </row>
    <row r="676">
      <c r="E676" s="1"/>
      <c r="J676" s="460"/>
      <c r="K676" s="460"/>
      <c r="L676" s="460"/>
      <c r="M676" s="460"/>
      <c r="V676" s="85"/>
      <c r="X676" s="84"/>
      <c r="AB676" s="28"/>
      <c r="AC676" s="28"/>
    </row>
    <row r="677">
      <c r="E677" s="1"/>
      <c r="J677" s="460"/>
      <c r="K677" s="460"/>
      <c r="L677" s="460"/>
      <c r="M677" s="460"/>
      <c r="V677" s="85"/>
      <c r="X677" s="84"/>
      <c r="AB677" s="28"/>
      <c r="AC677" s="28"/>
    </row>
    <row r="678">
      <c r="E678" s="1"/>
      <c r="J678" s="460"/>
      <c r="K678" s="460"/>
      <c r="L678" s="460"/>
      <c r="M678" s="460"/>
      <c r="V678" s="85"/>
      <c r="X678" s="84"/>
      <c r="AB678" s="28"/>
      <c r="AC678" s="28"/>
    </row>
    <row r="679">
      <c r="E679" s="1"/>
      <c r="J679" s="460"/>
      <c r="K679" s="460"/>
      <c r="L679" s="460"/>
      <c r="M679" s="460"/>
      <c r="V679" s="85"/>
      <c r="X679" s="84"/>
      <c r="AB679" s="28"/>
      <c r="AC679" s="28"/>
    </row>
    <row r="680">
      <c r="E680" s="1"/>
      <c r="J680" s="460"/>
      <c r="K680" s="460"/>
      <c r="L680" s="460"/>
      <c r="M680" s="460"/>
      <c r="V680" s="85"/>
      <c r="X680" s="84"/>
      <c r="AB680" s="28"/>
      <c r="AC680" s="28"/>
    </row>
    <row r="681">
      <c r="E681" s="1"/>
      <c r="J681" s="460"/>
      <c r="K681" s="460"/>
      <c r="L681" s="460"/>
      <c r="M681" s="460"/>
      <c r="V681" s="85"/>
      <c r="X681" s="84"/>
      <c r="AB681" s="28"/>
      <c r="AC681" s="28"/>
    </row>
    <row r="682">
      <c r="E682" s="1"/>
      <c r="J682" s="460"/>
      <c r="K682" s="460"/>
      <c r="L682" s="460"/>
      <c r="M682" s="460"/>
      <c r="V682" s="85"/>
      <c r="X682" s="84"/>
      <c r="AB682" s="28"/>
      <c r="AC682" s="28"/>
    </row>
    <row r="683">
      <c r="E683" s="1"/>
      <c r="J683" s="460"/>
      <c r="K683" s="460"/>
      <c r="L683" s="460"/>
      <c r="M683" s="460"/>
      <c r="V683" s="85"/>
      <c r="X683" s="84"/>
      <c r="AB683" s="28"/>
      <c r="AC683" s="28"/>
    </row>
    <row r="684">
      <c r="E684" s="1"/>
      <c r="J684" s="460"/>
      <c r="K684" s="460"/>
      <c r="L684" s="460"/>
      <c r="M684" s="460"/>
      <c r="V684" s="85"/>
      <c r="X684" s="84"/>
      <c r="AB684" s="28"/>
      <c r="AC684" s="28"/>
    </row>
    <row r="685">
      <c r="E685" s="1"/>
      <c r="J685" s="460"/>
      <c r="K685" s="460"/>
      <c r="L685" s="460"/>
      <c r="M685" s="460"/>
      <c r="V685" s="85"/>
      <c r="X685" s="84"/>
      <c r="AB685" s="28"/>
      <c r="AC685" s="28"/>
    </row>
    <row r="686">
      <c r="E686" s="1"/>
      <c r="J686" s="460"/>
      <c r="K686" s="460"/>
      <c r="L686" s="460"/>
      <c r="M686" s="460"/>
      <c r="V686" s="85"/>
      <c r="X686" s="84"/>
      <c r="AB686" s="28"/>
      <c r="AC686" s="28"/>
    </row>
    <row r="687">
      <c r="E687" s="1"/>
      <c r="J687" s="460"/>
      <c r="K687" s="460"/>
      <c r="L687" s="460"/>
      <c r="M687" s="460"/>
      <c r="V687" s="85"/>
      <c r="X687" s="84"/>
      <c r="AB687" s="28"/>
      <c r="AC687" s="28"/>
    </row>
    <row r="688">
      <c r="E688" s="1"/>
      <c r="J688" s="460"/>
      <c r="K688" s="460"/>
      <c r="L688" s="460"/>
      <c r="M688" s="460"/>
      <c r="V688" s="85"/>
      <c r="X688" s="84"/>
      <c r="AB688" s="28"/>
      <c r="AC688" s="28"/>
    </row>
    <row r="689">
      <c r="E689" s="1"/>
      <c r="J689" s="460"/>
      <c r="K689" s="460"/>
      <c r="L689" s="460"/>
      <c r="M689" s="460"/>
      <c r="V689" s="85"/>
      <c r="X689" s="84"/>
      <c r="AB689" s="28"/>
      <c r="AC689" s="28"/>
    </row>
    <row r="690">
      <c r="E690" s="1"/>
      <c r="J690" s="460"/>
      <c r="K690" s="460"/>
      <c r="L690" s="460"/>
      <c r="M690" s="460"/>
      <c r="V690" s="85"/>
      <c r="X690" s="84"/>
      <c r="AB690" s="28"/>
      <c r="AC690" s="28"/>
    </row>
    <row r="691">
      <c r="E691" s="1"/>
      <c r="J691" s="460"/>
      <c r="K691" s="460"/>
      <c r="L691" s="460"/>
      <c r="M691" s="460"/>
      <c r="V691" s="85"/>
      <c r="X691" s="84"/>
      <c r="AB691" s="28"/>
      <c r="AC691" s="28"/>
    </row>
    <row r="692">
      <c r="E692" s="1"/>
      <c r="J692" s="460"/>
      <c r="K692" s="460"/>
      <c r="L692" s="460"/>
      <c r="M692" s="460"/>
      <c r="V692" s="85"/>
      <c r="X692" s="84"/>
      <c r="AB692" s="28"/>
      <c r="AC692" s="28"/>
    </row>
    <row r="693">
      <c r="E693" s="1"/>
      <c r="J693" s="460"/>
      <c r="K693" s="460"/>
      <c r="L693" s="460"/>
      <c r="M693" s="460"/>
      <c r="V693" s="85"/>
      <c r="X693" s="84"/>
      <c r="AB693" s="28"/>
      <c r="AC693" s="28"/>
    </row>
    <row r="694">
      <c r="E694" s="1"/>
      <c r="J694" s="460"/>
      <c r="K694" s="460"/>
      <c r="L694" s="460"/>
      <c r="M694" s="460"/>
      <c r="V694" s="85"/>
      <c r="X694" s="84"/>
      <c r="AB694" s="28"/>
      <c r="AC694" s="28"/>
    </row>
    <row r="695">
      <c r="E695" s="1"/>
      <c r="J695" s="460"/>
      <c r="K695" s="460"/>
      <c r="L695" s="460"/>
      <c r="M695" s="460"/>
      <c r="V695" s="85"/>
      <c r="X695" s="84"/>
      <c r="AB695" s="28"/>
      <c r="AC695" s="28"/>
    </row>
    <row r="696">
      <c r="E696" s="1"/>
      <c r="J696" s="460"/>
      <c r="K696" s="460"/>
      <c r="L696" s="460"/>
      <c r="M696" s="460"/>
      <c r="V696" s="85"/>
      <c r="X696" s="84"/>
      <c r="AB696" s="28"/>
      <c r="AC696" s="28"/>
    </row>
    <row r="697">
      <c r="E697" s="1"/>
      <c r="J697" s="460"/>
      <c r="K697" s="460"/>
      <c r="L697" s="460"/>
      <c r="M697" s="460"/>
      <c r="V697" s="85"/>
      <c r="X697" s="84"/>
      <c r="AB697" s="28"/>
      <c r="AC697" s="28"/>
    </row>
    <row r="698">
      <c r="E698" s="1"/>
      <c r="J698" s="460"/>
      <c r="K698" s="460"/>
      <c r="L698" s="460"/>
      <c r="M698" s="460"/>
      <c r="V698" s="85"/>
      <c r="X698" s="84"/>
      <c r="AB698" s="28"/>
      <c r="AC698" s="28"/>
    </row>
    <row r="699">
      <c r="E699" s="1"/>
      <c r="J699" s="460"/>
      <c r="K699" s="460"/>
      <c r="L699" s="460"/>
      <c r="M699" s="460"/>
      <c r="V699" s="85"/>
      <c r="X699" s="84"/>
      <c r="AB699" s="28"/>
      <c r="AC699" s="28"/>
    </row>
    <row r="700">
      <c r="E700" s="1"/>
      <c r="J700" s="460"/>
      <c r="K700" s="460"/>
      <c r="L700" s="460"/>
      <c r="M700" s="460"/>
      <c r="V700" s="85"/>
      <c r="X700" s="84"/>
      <c r="AB700" s="28"/>
      <c r="AC700" s="28"/>
    </row>
    <row r="701">
      <c r="E701" s="1"/>
      <c r="J701" s="460"/>
      <c r="K701" s="460"/>
      <c r="L701" s="460"/>
      <c r="M701" s="460"/>
      <c r="V701" s="85"/>
      <c r="X701" s="84"/>
      <c r="AB701" s="28"/>
      <c r="AC701" s="28"/>
    </row>
    <row r="702">
      <c r="E702" s="1"/>
      <c r="J702" s="460"/>
      <c r="K702" s="460"/>
      <c r="L702" s="460"/>
      <c r="M702" s="460"/>
      <c r="V702" s="85"/>
      <c r="X702" s="84"/>
      <c r="AB702" s="28"/>
      <c r="AC702" s="28"/>
    </row>
    <row r="703">
      <c r="E703" s="1"/>
      <c r="J703" s="460"/>
      <c r="K703" s="460"/>
      <c r="L703" s="460"/>
      <c r="M703" s="460"/>
      <c r="V703" s="85"/>
      <c r="X703" s="84"/>
      <c r="AB703" s="28"/>
      <c r="AC703" s="28"/>
    </row>
    <row r="704">
      <c r="E704" s="1"/>
      <c r="J704" s="460"/>
      <c r="K704" s="460"/>
      <c r="L704" s="460"/>
      <c r="M704" s="460"/>
      <c r="V704" s="85"/>
      <c r="X704" s="84"/>
      <c r="AB704" s="28"/>
      <c r="AC704" s="28"/>
    </row>
    <row r="705">
      <c r="E705" s="1"/>
      <c r="J705" s="460"/>
      <c r="K705" s="460"/>
      <c r="L705" s="460"/>
      <c r="M705" s="460"/>
      <c r="V705" s="85"/>
      <c r="X705" s="84"/>
      <c r="AB705" s="28"/>
      <c r="AC705" s="28"/>
    </row>
    <row r="706">
      <c r="E706" s="1"/>
      <c r="J706" s="460"/>
      <c r="K706" s="460"/>
      <c r="L706" s="460"/>
      <c r="M706" s="460"/>
      <c r="V706" s="85"/>
      <c r="X706" s="84"/>
      <c r="AB706" s="28"/>
      <c r="AC706" s="28"/>
    </row>
    <row r="707">
      <c r="E707" s="1"/>
      <c r="J707" s="460"/>
      <c r="K707" s="460"/>
      <c r="L707" s="460"/>
      <c r="M707" s="460"/>
      <c r="V707" s="85"/>
      <c r="X707" s="84"/>
      <c r="AB707" s="28"/>
      <c r="AC707" s="28"/>
    </row>
    <row r="708">
      <c r="E708" s="1"/>
      <c r="J708" s="460"/>
      <c r="K708" s="460"/>
      <c r="L708" s="460"/>
      <c r="M708" s="460"/>
      <c r="V708" s="85"/>
      <c r="X708" s="84"/>
      <c r="AB708" s="28"/>
      <c r="AC708" s="28"/>
    </row>
    <row r="709">
      <c r="E709" s="1"/>
      <c r="J709" s="460"/>
      <c r="K709" s="460"/>
      <c r="L709" s="460"/>
      <c r="M709" s="460"/>
      <c r="V709" s="85"/>
      <c r="X709" s="84"/>
      <c r="AB709" s="28"/>
      <c r="AC709" s="28"/>
    </row>
    <row r="710">
      <c r="E710" s="1"/>
      <c r="J710" s="460"/>
      <c r="K710" s="460"/>
      <c r="L710" s="460"/>
      <c r="M710" s="460"/>
      <c r="V710" s="85"/>
      <c r="X710" s="84"/>
      <c r="AB710" s="28"/>
      <c r="AC710" s="28"/>
    </row>
    <row r="711">
      <c r="E711" s="1"/>
      <c r="J711" s="460"/>
      <c r="K711" s="460"/>
      <c r="L711" s="460"/>
      <c r="M711" s="460"/>
      <c r="V711" s="85"/>
      <c r="X711" s="84"/>
      <c r="AB711" s="28"/>
      <c r="AC711" s="28"/>
    </row>
    <row r="712">
      <c r="E712" s="1"/>
      <c r="J712" s="460"/>
      <c r="K712" s="460"/>
      <c r="L712" s="460"/>
      <c r="M712" s="460"/>
      <c r="V712" s="85"/>
      <c r="X712" s="84"/>
      <c r="AB712" s="28"/>
      <c r="AC712" s="28"/>
    </row>
    <row r="713">
      <c r="E713" s="1"/>
      <c r="J713" s="460"/>
      <c r="K713" s="460"/>
      <c r="L713" s="460"/>
      <c r="M713" s="460"/>
      <c r="V713" s="85"/>
      <c r="X713" s="84"/>
      <c r="AB713" s="28"/>
      <c r="AC713" s="28"/>
    </row>
    <row r="714">
      <c r="E714" s="1"/>
      <c r="J714" s="460"/>
      <c r="K714" s="460"/>
      <c r="L714" s="460"/>
      <c r="M714" s="460"/>
      <c r="V714" s="85"/>
      <c r="X714" s="84"/>
      <c r="AB714" s="28"/>
      <c r="AC714" s="28"/>
    </row>
    <row r="715">
      <c r="E715" s="1"/>
      <c r="J715" s="460"/>
      <c r="K715" s="460"/>
      <c r="L715" s="460"/>
      <c r="M715" s="460"/>
      <c r="V715" s="85"/>
      <c r="X715" s="84"/>
      <c r="AB715" s="28"/>
      <c r="AC715" s="28"/>
    </row>
    <row r="716">
      <c r="E716" s="1"/>
      <c r="J716" s="460"/>
      <c r="K716" s="460"/>
      <c r="L716" s="460"/>
      <c r="M716" s="460"/>
      <c r="V716" s="85"/>
      <c r="X716" s="84"/>
      <c r="AB716" s="28"/>
      <c r="AC716" s="28"/>
    </row>
    <row r="717">
      <c r="E717" s="1"/>
      <c r="J717" s="460"/>
      <c r="K717" s="460"/>
      <c r="L717" s="460"/>
      <c r="M717" s="460"/>
      <c r="V717" s="85"/>
      <c r="X717" s="84"/>
      <c r="AB717" s="28"/>
      <c r="AC717" s="28"/>
    </row>
    <row r="718">
      <c r="E718" s="1"/>
      <c r="J718" s="460"/>
      <c r="K718" s="460"/>
      <c r="L718" s="460"/>
      <c r="M718" s="460"/>
      <c r="V718" s="85"/>
      <c r="X718" s="84"/>
      <c r="AB718" s="28"/>
      <c r="AC718" s="28"/>
    </row>
    <row r="719">
      <c r="E719" s="1"/>
      <c r="J719" s="460"/>
      <c r="K719" s="460"/>
      <c r="L719" s="460"/>
      <c r="M719" s="460"/>
      <c r="V719" s="85"/>
      <c r="X719" s="84"/>
      <c r="AB719" s="28"/>
      <c r="AC719" s="28"/>
    </row>
    <row r="720">
      <c r="E720" s="1"/>
      <c r="J720" s="460"/>
      <c r="K720" s="460"/>
      <c r="L720" s="460"/>
      <c r="M720" s="460"/>
      <c r="V720" s="85"/>
      <c r="X720" s="84"/>
      <c r="AB720" s="28"/>
      <c r="AC720" s="28"/>
    </row>
    <row r="721">
      <c r="E721" s="1"/>
      <c r="J721" s="460"/>
      <c r="K721" s="460"/>
      <c r="L721" s="460"/>
      <c r="M721" s="460"/>
      <c r="V721" s="85"/>
      <c r="X721" s="84"/>
      <c r="AB721" s="28"/>
      <c r="AC721" s="28"/>
    </row>
    <row r="722">
      <c r="E722" s="1"/>
      <c r="J722" s="460"/>
      <c r="K722" s="460"/>
      <c r="L722" s="460"/>
      <c r="M722" s="460"/>
      <c r="V722" s="85"/>
      <c r="X722" s="84"/>
      <c r="AB722" s="28"/>
      <c r="AC722" s="28"/>
    </row>
    <row r="723">
      <c r="E723" s="1"/>
      <c r="J723" s="460"/>
      <c r="K723" s="460"/>
      <c r="L723" s="460"/>
      <c r="M723" s="460"/>
      <c r="V723" s="85"/>
      <c r="X723" s="84"/>
      <c r="AB723" s="28"/>
      <c r="AC723" s="28"/>
    </row>
    <row r="724">
      <c r="E724" s="1"/>
      <c r="J724" s="460"/>
      <c r="K724" s="460"/>
      <c r="L724" s="460"/>
      <c r="M724" s="460"/>
      <c r="V724" s="85"/>
      <c r="X724" s="84"/>
      <c r="AB724" s="28"/>
      <c r="AC724" s="28"/>
    </row>
    <row r="725">
      <c r="E725" s="1"/>
      <c r="J725" s="460"/>
      <c r="K725" s="460"/>
      <c r="L725" s="460"/>
      <c r="M725" s="460"/>
      <c r="V725" s="85"/>
      <c r="X725" s="84"/>
      <c r="AB725" s="28"/>
      <c r="AC725" s="28"/>
    </row>
    <row r="726">
      <c r="E726" s="1"/>
      <c r="J726" s="460"/>
      <c r="K726" s="460"/>
      <c r="L726" s="460"/>
      <c r="M726" s="460"/>
      <c r="V726" s="85"/>
      <c r="X726" s="84"/>
      <c r="AB726" s="28"/>
      <c r="AC726" s="28"/>
    </row>
    <row r="727">
      <c r="E727" s="1"/>
      <c r="J727" s="460"/>
      <c r="K727" s="460"/>
      <c r="L727" s="460"/>
      <c r="M727" s="460"/>
      <c r="V727" s="85"/>
      <c r="X727" s="84"/>
      <c r="AB727" s="28"/>
      <c r="AC727" s="28"/>
    </row>
    <row r="728">
      <c r="E728" s="1"/>
      <c r="J728" s="460"/>
      <c r="K728" s="460"/>
      <c r="L728" s="460"/>
      <c r="M728" s="460"/>
      <c r="V728" s="85"/>
      <c r="X728" s="84"/>
      <c r="AB728" s="28"/>
      <c r="AC728" s="28"/>
    </row>
    <row r="729">
      <c r="E729" s="1"/>
      <c r="J729" s="460"/>
      <c r="K729" s="460"/>
      <c r="L729" s="460"/>
      <c r="M729" s="460"/>
      <c r="V729" s="85"/>
      <c r="X729" s="84"/>
      <c r="AB729" s="28"/>
      <c r="AC729" s="28"/>
    </row>
    <row r="730">
      <c r="E730" s="1"/>
      <c r="J730" s="460"/>
      <c r="K730" s="460"/>
      <c r="L730" s="460"/>
      <c r="M730" s="460"/>
      <c r="V730" s="85"/>
      <c r="X730" s="84"/>
      <c r="AB730" s="28"/>
      <c r="AC730" s="28"/>
    </row>
    <row r="731">
      <c r="E731" s="1"/>
      <c r="J731" s="460"/>
      <c r="K731" s="460"/>
      <c r="L731" s="460"/>
      <c r="M731" s="460"/>
      <c r="V731" s="85"/>
      <c r="X731" s="84"/>
      <c r="AB731" s="28"/>
      <c r="AC731" s="28"/>
    </row>
    <row r="732">
      <c r="E732" s="1"/>
      <c r="J732" s="460"/>
      <c r="K732" s="460"/>
      <c r="L732" s="460"/>
      <c r="M732" s="460"/>
      <c r="V732" s="85"/>
      <c r="X732" s="84"/>
      <c r="AB732" s="28"/>
      <c r="AC732" s="28"/>
    </row>
    <row r="733">
      <c r="E733" s="1"/>
      <c r="J733" s="460"/>
      <c r="K733" s="460"/>
      <c r="L733" s="460"/>
      <c r="M733" s="460"/>
      <c r="V733" s="85"/>
      <c r="X733" s="84"/>
      <c r="AB733" s="28"/>
      <c r="AC733" s="28"/>
    </row>
    <row r="734">
      <c r="E734" s="1"/>
      <c r="J734" s="460"/>
      <c r="K734" s="460"/>
      <c r="L734" s="460"/>
      <c r="M734" s="460"/>
      <c r="V734" s="85"/>
      <c r="X734" s="84"/>
      <c r="AB734" s="28"/>
      <c r="AC734" s="28"/>
    </row>
    <row r="735">
      <c r="E735" s="1"/>
      <c r="J735" s="460"/>
      <c r="K735" s="460"/>
      <c r="L735" s="460"/>
      <c r="M735" s="460"/>
      <c r="V735" s="85"/>
      <c r="X735" s="84"/>
      <c r="AB735" s="28"/>
      <c r="AC735" s="28"/>
    </row>
    <row r="736">
      <c r="E736" s="1"/>
      <c r="J736" s="460"/>
      <c r="K736" s="460"/>
      <c r="L736" s="460"/>
      <c r="M736" s="460"/>
      <c r="V736" s="85"/>
      <c r="X736" s="84"/>
      <c r="AB736" s="28"/>
      <c r="AC736" s="28"/>
    </row>
    <row r="737">
      <c r="E737" s="1"/>
      <c r="J737" s="460"/>
      <c r="K737" s="460"/>
      <c r="L737" s="460"/>
      <c r="M737" s="460"/>
      <c r="V737" s="85"/>
      <c r="X737" s="84"/>
      <c r="AB737" s="28"/>
      <c r="AC737" s="28"/>
    </row>
    <row r="738">
      <c r="E738" s="1"/>
      <c r="J738" s="460"/>
      <c r="K738" s="460"/>
      <c r="L738" s="460"/>
      <c r="M738" s="460"/>
      <c r="V738" s="85"/>
      <c r="X738" s="84"/>
      <c r="AB738" s="28"/>
      <c r="AC738" s="28"/>
    </row>
    <row r="739">
      <c r="E739" s="1"/>
      <c r="J739" s="460"/>
      <c r="K739" s="460"/>
      <c r="L739" s="460"/>
      <c r="M739" s="460"/>
      <c r="V739" s="85"/>
      <c r="X739" s="84"/>
      <c r="AB739" s="28"/>
      <c r="AC739" s="28"/>
    </row>
    <row r="740">
      <c r="E740" s="1"/>
      <c r="J740" s="460"/>
      <c r="K740" s="460"/>
      <c r="L740" s="460"/>
      <c r="M740" s="460"/>
      <c r="V740" s="85"/>
      <c r="X740" s="84"/>
      <c r="AB740" s="28"/>
      <c r="AC740" s="28"/>
    </row>
    <row r="741">
      <c r="E741" s="1"/>
      <c r="J741" s="460"/>
      <c r="K741" s="460"/>
      <c r="L741" s="460"/>
      <c r="M741" s="460"/>
      <c r="V741" s="85"/>
      <c r="X741" s="84"/>
      <c r="AB741" s="28"/>
      <c r="AC741" s="28"/>
    </row>
    <row r="742">
      <c r="E742" s="1"/>
      <c r="J742" s="460"/>
      <c r="K742" s="460"/>
      <c r="L742" s="460"/>
      <c r="M742" s="460"/>
      <c r="V742" s="85"/>
      <c r="X742" s="84"/>
      <c r="AB742" s="28"/>
      <c r="AC742" s="28"/>
    </row>
    <row r="743">
      <c r="E743" s="1"/>
      <c r="J743" s="460"/>
      <c r="K743" s="460"/>
      <c r="L743" s="460"/>
      <c r="M743" s="460"/>
      <c r="V743" s="85"/>
      <c r="X743" s="84"/>
      <c r="AB743" s="28"/>
      <c r="AC743" s="28"/>
    </row>
    <row r="744">
      <c r="E744" s="1"/>
      <c r="J744" s="460"/>
      <c r="K744" s="460"/>
      <c r="L744" s="460"/>
      <c r="M744" s="460"/>
      <c r="V744" s="85"/>
      <c r="X744" s="84"/>
      <c r="AB744" s="28"/>
      <c r="AC744" s="28"/>
    </row>
    <row r="745">
      <c r="E745" s="1"/>
      <c r="J745" s="460"/>
      <c r="K745" s="460"/>
      <c r="L745" s="460"/>
      <c r="M745" s="460"/>
      <c r="V745" s="85"/>
      <c r="X745" s="84"/>
      <c r="AB745" s="28"/>
      <c r="AC745" s="28"/>
    </row>
    <row r="746">
      <c r="E746" s="1"/>
      <c r="J746" s="460"/>
      <c r="K746" s="460"/>
      <c r="L746" s="460"/>
      <c r="M746" s="460"/>
      <c r="V746" s="85"/>
      <c r="X746" s="84"/>
      <c r="AB746" s="28"/>
      <c r="AC746" s="28"/>
    </row>
    <row r="747">
      <c r="E747" s="1"/>
      <c r="J747" s="460"/>
      <c r="K747" s="460"/>
      <c r="L747" s="460"/>
      <c r="M747" s="460"/>
      <c r="V747" s="85"/>
      <c r="X747" s="84"/>
      <c r="AB747" s="28"/>
      <c r="AC747" s="28"/>
    </row>
    <row r="748">
      <c r="E748" s="1"/>
      <c r="J748" s="460"/>
      <c r="K748" s="460"/>
      <c r="L748" s="460"/>
      <c r="M748" s="460"/>
      <c r="V748" s="85"/>
      <c r="X748" s="84"/>
      <c r="AB748" s="28"/>
      <c r="AC748" s="28"/>
    </row>
    <row r="749">
      <c r="E749" s="1"/>
      <c r="J749" s="460"/>
      <c r="K749" s="460"/>
      <c r="L749" s="460"/>
      <c r="M749" s="460"/>
      <c r="V749" s="85"/>
      <c r="X749" s="84"/>
      <c r="AB749" s="28"/>
      <c r="AC749" s="28"/>
    </row>
    <row r="750">
      <c r="E750" s="1"/>
      <c r="J750" s="460"/>
      <c r="K750" s="460"/>
      <c r="L750" s="460"/>
      <c r="M750" s="460"/>
      <c r="V750" s="85"/>
      <c r="X750" s="84"/>
      <c r="AB750" s="28"/>
      <c r="AC750" s="28"/>
    </row>
    <row r="751">
      <c r="E751" s="1"/>
      <c r="J751" s="460"/>
      <c r="K751" s="460"/>
      <c r="L751" s="460"/>
      <c r="M751" s="460"/>
      <c r="V751" s="85"/>
      <c r="X751" s="84"/>
      <c r="AB751" s="28"/>
      <c r="AC751" s="28"/>
    </row>
    <row r="752">
      <c r="E752" s="1"/>
      <c r="J752" s="460"/>
      <c r="K752" s="460"/>
      <c r="L752" s="460"/>
      <c r="M752" s="460"/>
      <c r="V752" s="85"/>
      <c r="X752" s="84"/>
      <c r="AB752" s="28"/>
      <c r="AC752" s="28"/>
    </row>
    <row r="753">
      <c r="E753" s="1"/>
      <c r="J753" s="460"/>
      <c r="K753" s="460"/>
      <c r="L753" s="460"/>
      <c r="M753" s="460"/>
      <c r="V753" s="85"/>
      <c r="X753" s="84"/>
      <c r="AB753" s="28"/>
      <c r="AC753" s="28"/>
    </row>
    <row r="754">
      <c r="E754" s="1"/>
      <c r="J754" s="460"/>
      <c r="K754" s="460"/>
      <c r="L754" s="460"/>
      <c r="M754" s="460"/>
      <c r="V754" s="85"/>
      <c r="X754" s="84"/>
      <c r="AB754" s="28"/>
      <c r="AC754" s="28"/>
    </row>
    <row r="755">
      <c r="E755" s="1"/>
      <c r="J755" s="460"/>
      <c r="K755" s="460"/>
      <c r="L755" s="460"/>
      <c r="M755" s="460"/>
      <c r="V755" s="85"/>
      <c r="X755" s="84"/>
      <c r="AB755" s="28"/>
      <c r="AC755" s="28"/>
    </row>
    <row r="756">
      <c r="E756" s="1"/>
      <c r="J756" s="460"/>
      <c r="K756" s="460"/>
      <c r="L756" s="460"/>
      <c r="M756" s="460"/>
      <c r="V756" s="85"/>
      <c r="X756" s="84"/>
      <c r="AB756" s="28"/>
      <c r="AC756" s="28"/>
    </row>
    <row r="757">
      <c r="E757" s="1"/>
      <c r="J757" s="460"/>
      <c r="K757" s="460"/>
      <c r="L757" s="460"/>
      <c r="M757" s="460"/>
      <c r="V757" s="85"/>
      <c r="X757" s="84"/>
      <c r="AB757" s="28"/>
      <c r="AC757" s="28"/>
    </row>
    <row r="758">
      <c r="E758" s="1"/>
      <c r="J758" s="460"/>
      <c r="K758" s="460"/>
      <c r="L758" s="460"/>
      <c r="M758" s="460"/>
      <c r="V758" s="85"/>
      <c r="X758" s="84"/>
      <c r="AB758" s="28"/>
      <c r="AC758" s="28"/>
    </row>
    <row r="759">
      <c r="E759" s="1"/>
      <c r="J759" s="460"/>
      <c r="K759" s="460"/>
      <c r="L759" s="460"/>
      <c r="M759" s="460"/>
      <c r="V759" s="85"/>
      <c r="X759" s="84"/>
      <c r="AB759" s="28"/>
      <c r="AC759" s="28"/>
    </row>
    <row r="760">
      <c r="E760" s="1"/>
      <c r="J760" s="460"/>
      <c r="K760" s="460"/>
      <c r="L760" s="460"/>
      <c r="M760" s="460"/>
      <c r="V760" s="85"/>
      <c r="X760" s="84"/>
      <c r="AB760" s="28"/>
      <c r="AC760" s="28"/>
    </row>
    <row r="761">
      <c r="E761" s="1"/>
      <c r="J761" s="460"/>
      <c r="K761" s="460"/>
      <c r="L761" s="460"/>
      <c r="M761" s="460"/>
      <c r="V761" s="85"/>
      <c r="X761" s="84"/>
      <c r="AB761" s="28"/>
      <c r="AC761" s="28"/>
    </row>
    <row r="762">
      <c r="E762" s="1"/>
      <c r="J762" s="460"/>
      <c r="K762" s="460"/>
      <c r="L762" s="460"/>
      <c r="M762" s="460"/>
      <c r="V762" s="85"/>
      <c r="X762" s="84"/>
      <c r="AB762" s="28"/>
      <c r="AC762" s="28"/>
    </row>
    <row r="763">
      <c r="E763" s="1"/>
      <c r="J763" s="460"/>
      <c r="K763" s="460"/>
      <c r="L763" s="460"/>
      <c r="M763" s="460"/>
      <c r="V763" s="85"/>
      <c r="X763" s="84"/>
      <c r="AB763" s="28"/>
      <c r="AC763" s="28"/>
    </row>
    <row r="764">
      <c r="E764" s="1"/>
      <c r="J764" s="460"/>
      <c r="K764" s="460"/>
      <c r="L764" s="460"/>
      <c r="M764" s="460"/>
      <c r="V764" s="85"/>
      <c r="X764" s="84"/>
      <c r="AB764" s="28"/>
      <c r="AC764" s="28"/>
    </row>
    <row r="765">
      <c r="E765" s="1"/>
      <c r="J765" s="460"/>
      <c r="K765" s="460"/>
      <c r="L765" s="460"/>
      <c r="M765" s="460"/>
      <c r="V765" s="85"/>
      <c r="X765" s="84"/>
      <c r="AB765" s="28"/>
      <c r="AC765" s="28"/>
    </row>
    <row r="766">
      <c r="E766" s="1"/>
      <c r="J766" s="460"/>
      <c r="K766" s="460"/>
      <c r="L766" s="460"/>
      <c r="M766" s="460"/>
      <c r="V766" s="85"/>
      <c r="X766" s="84"/>
      <c r="AB766" s="28"/>
      <c r="AC766" s="28"/>
    </row>
    <row r="767">
      <c r="E767" s="1"/>
      <c r="J767" s="460"/>
      <c r="K767" s="460"/>
      <c r="L767" s="460"/>
      <c r="M767" s="460"/>
      <c r="V767" s="85"/>
      <c r="X767" s="84"/>
      <c r="AB767" s="28"/>
      <c r="AC767" s="28"/>
    </row>
    <row r="768">
      <c r="E768" s="1"/>
      <c r="J768" s="460"/>
      <c r="K768" s="460"/>
      <c r="L768" s="460"/>
      <c r="M768" s="460"/>
      <c r="V768" s="85"/>
      <c r="X768" s="84"/>
      <c r="AB768" s="28"/>
      <c r="AC768" s="28"/>
    </row>
    <row r="769">
      <c r="E769" s="1"/>
      <c r="J769" s="460"/>
      <c r="K769" s="460"/>
      <c r="L769" s="460"/>
      <c r="M769" s="460"/>
      <c r="V769" s="85"/>
      <c r="X769" s="84"/>
      <c r="AB769" s="28"/>
      <c r="AC769" s="28"/>
    </row>
    <row r="770">
      <c r="E770" s="1"/>
      <c r="J770" s="460"/>
      <c r="K770" s="460"/>
      <c r="L770" s="460"/>
      <c r="M770" s="460"/>
      <c r="V770" s="85"/>
      <c r="X770" s="84"/>
      <c r="AB770" s="28"/>
      <c r="AC770" s="28"/>
    </row>
    <row r="771">
      <c r="E771" s="1"/>
      <c r="J771" s="460"/>
      <c r="K771" s="460"/>
      <c r="L771" s="460"/>
      <c r="M771" s="460"/>
      <c r="V771" s="85"/>
      <c r="X771" s="84"/>
      <c r="AB771" s="28"/>
      <c r="AC771" s="28"/>
    </row>
    <row r="772">
      <c r="E772" s="1"/>
      <c r="J772" s="460"/>
      <c r="K772" s="460"/>
      <c r="L772" s="460"/>
      <c r="M772" s="460"/>
      <c r="V772" s="85"/>
      <c r="X772" s="84"/>
      <c r="AB772" s="28"/>
      <c r="AC772" s="28"/>
    </row>
    <row r="773">
      <c r="E773" s="1"/>
      <c r="J773" s="460"/>
      <c r="K773" s="460"/>
      <c r="L773" s="460"/>
      <c r="M773" s="460"/>
      <c r="V773" s="85"/>
      <c r="X773" s="84"/>
      <c r="AB773" s="28"/>
      <c r="AC773" s="28"/>
    </row>
    <row r="774">
      <c r="E774" s="1"/>
      <c r="J774" s="460"/>
      <c r="K774" s="460"/>
      <c r="L774" s="460"/>
      <c r="M774" s="460"/>
      <c r="V774" s="85"/>
      <c r="X774" s="84"/>
      <c r="AB774" s="28"/>
      <c r="AC774" s="28"/>
    </row>
    <row r="775">
      <c r="E775" s="1"/>
      <c r="J775" s="460"/>
      <c r="K775" s="460"/>
      <c r="L775" s="460"/>
      <c r="M775" s="460"/>
      <c r="V775" s="85"/>
      <c r="X775" s="84"/>
      <c r="AB775" s="28"/>
      <c r="AC775" s="28"/>
    </row>
    <row r="776">
      <c r="E776" s="1"/>
      <c r="J776" s="460"/>
      <c r="K776" s="460"/>
      <c r="L776" s="460"/>
      <c r="M776" s="460"/>
      <c r="V776" s="85"/>
      <c r="X776" s="84"/>
      <c r="AB776" s="28"/>
      <c r="AC776" s="28"/>
    </row>
    <row r="777">
      <c r="E777" s="1"/>
      <c r="J777" s="460"/>
      <c r="K777" s="460"/>
      <c r="L777" s="460"/>
      <c r="M777" s="460"/>
      <c r="V777" s="85"/>
      <c r="X777" s="84"/>
      <c r="AB777" s="28"/>
      <c r="AC777" s="28"/>
    </row>
    <row r="778">
      <c r="E778" s="1"/>
      <c r="J778" s="460"/>
      <c r="K778" s="460"/>
      <c r="L778" s="460"/>
      <c r="M778" s="460"/>
      <c r="V778" s="85"/>
      <c r="X778" s="84"/>
      <c r="AB778" s="28"/>
      <c r="AC778" s="28"/>
    </row>
    <row r="779">
      <c r="E779" s="1"/>
      <c r="J779" s="460"/>
      <c r="K779" s="460"/>
      <c r="L779" s="460"/>
      <c r="M779" s="460"/>
      <c r="V779" s="85"/>
      <c r="X779" s="84"/>
      <c r="AB779" s="28"/>
      <c r="AC779" s="28"/>
    </row>
    <row r="780">
      <c r="E780" s="1"/>
      <c r="J780" s="460"/>
      <c r="K780" s="460"/>
      <c r="L780" s="460"/>
      <c r="M780" s="460"/>
      <c r="V780" s="85"/>
      <c r="X780" s="84"/>
      <c r="AB780" s="28"/>
      <c r="AC780" s="28"/>
    </row>
    <row r="781">
      <c r="E781" s="1"/>
      <c r="J781" s="460"/>
      <c r="K781" s="460"/>
      <c r="L781" s="460"/>
      <c r="M781" s="460"/>
      <c r="V781" s="85"/>
      <c r="X781" s="84"/>
      <c r="AB781" s="28"/>
      <c r="AC781" s="28"/>
    </row>
    <row r="782">
      <c r="E782" s="1"/>
      <c r="J782" s="460"/>
      <c r="K782" s="460"/>
      <c r="L782" s="460"/>
      <c r="M782" s="460"/>
      <c r="V782" s="85"/>
      <c r="X782" s="84"/>
      <c r="AB782" s="28"/>
      <c r="AC782" s="28"/>
    </row>
    <row r="783">
      <c r="E783" s="1"/>
      <c r="J783" s="460"/>
      <c r="K783" s="460"/>
      <c r="L783" s="460"/>
      <c r="M783" s="460"/>
      <c r="V783" s="85"/>
      <c r="X783" s="84"/>
      <c r="AB783" s="28"/>
      <c r="AC783" s="28"/>
    </row>
    <row r="784">
      <c r="E784" s="1"/>
      <c r="J784" s="460"/>
      <c r="K784" s="460"/>
      <c r="L784" s="460"/>
      <c r="M784" s="460"/>
      <c r="V784" s="85"/>
      <c r="X784" s="84"/>
      <c r="AB784" s="28"/>
      <c r="AC784" s="28"/>
    </row>
    <row r="785">
      <c r="E785" s="1"/>
      <c r="J785" s="460"/>
      <c r="K785" s="460"/>
      <c r="L785" s="460"/>
      <c r="M785" s="460"/>
      <c r="V785" s="85"/>
      <c r="X785" s="84"/>
      <c r="AB785" s="28"/>
      <c r="AC785" s="28"/>
    </row>
    <row r="786">
      <c r="E786" s="1"/>
      <c r="J786" s="460"/>
      <c r="K786" s="460"/>
      <c r="L786" s="460"/>
      <c r="M786" s="460"/>
      <c r="V786" s="85"/>
      <c r="X786" s="84"/>
      <c r="AB786" s="28"/>
      <c r="AC786" s="28"/>
    </row>
    <row r="787">
      <c r="E787" s="1"/>
      <c r="J787" s="460"/>
      <c r="K787" s="460"/>
      <c r="L787" s="460"/>
      <c r="M787" s="460"/>
      <c r="V787" s="85"/>
      <c r="X787" s="84"/>
      <c r="AB787" s="28"/>
      <c r="AC787" s="28"/>
    </row>
    <row r="788">
      <c r="E788" s="1"/>
      <c r="J788" s="460"/>
      <c r="K788" s="460"/>
      <c r="L788" s="460"/>
      <c r="M788" s="460"/>
      <c r="V788" s="85"/>
      <c r="X788" s="84"/>
      <c r="AB788" s="28"/>
      <c r="AC788" s="28"/>
    </row>
    <row r="789">
      <c r="E789" s="1"/>
      <c r="J789" s="460"/>
      <c r="K789" s="460"/>
      <c r="L789" s="460"/>
      <c r="M789" s="460"/>
      <c r="V789" s="85"/>
      <c r="X789" s="84"/>
      <c r="AB789" s="28"/>
      <c r="AC789" s="28"/>
    </row>
    <row r="790">
      <c r="E790" s="1"/>
      <c r="J790" s="460"/>
      <c r="K790" s="460"/>
      <c r="L790" s="460"/>
      <c r="M790" s="460"/>
      <c r="V790" s="85"/>
      <c r="X790" s="84"/>
      <c r="AB790" s="28"/>
      <c r="AC790" s="28"/>
    </row>
    <row r="791">
      <c r="E791" s="1"/>
      <c r="J791" s="460"/>
      <c r="K791" s="460"/>
      <c r="L791" s="460"/>
      <c r="M791" s="460"/>
      <c r="V791" s="85"/>
      <c r="X791" s="84"/>
      <c r="AB791" s="28"/>
      <c r="AC791" s="28"/>
    </row>
    <row r="792">
      <c r="E792" s="1"/>
      <c r="J792" s="460"/>
      <c r="K792" s="460"/>
      <c r="L792" s="460"/>
      <c r="M792" s="460"/>
      <c r="V792" s="85"/>
      <c r="X792" s="84"/>
      <c r="AB792" s="28"/>
      <c r="AC792" s="28"/>
    </row>
    <row r="793">
      <c r="E793" s="1"/>
      <c r="J793" s="460"/>
      <c r="K793" s="460"/>
      <c r="L793" s="460"/>
      <c r="M793" s="460"/>
      <c r="V793" s="85"/>
      <c r="X793" s="84"/>
      <c r="AB793" s="28"/>
      <c r="AC793" s="28"/>
    </row>
    <row r="794">
      <c r="E794" s="1"/>
      <c r="J794" s="460"/>
      <c r="K794" s="460"/>
      <c r="L794" s="460"/>
      <c r="M794" s="460"/>
      <c r="V794" s="85"/>
      <c r="X794" s="84"/>
      <c r="AB794" s="28"/>
      <c r="AC794" s="28"/>
    </row>
    <row r="795">
      <c r="E795" s="1"/>
      <c r="J795" s="460"/>
      <c r="K795" s="460"/>
      <c r="L795" s="460"/>
      <c r="M795" s="460"/>
      <c r="V795" s="85"/>
      <c r="X795" s="84"/>
      <c r="AB795" s="28"/>
      <c r="AC795" s="28"/>
    </row>
    <row r="796">
      <c r="E796" s="1"/>
      <c r="J796" s="460"/>
      <c r="K796" s="460"/>
      <c r="L796" s="460"/>
      <c r="M796" s="460"/>
      <c r="V796" s="85"/>
      <c r="X796" s="84"/>
      <c r="AB796" s="28"/>
      <c r="AC796" s="28"/>
    </row>
    <row r="797">
      <c r="E797" s="1"/>
      <c r="J797" s="460"/>
      <c r="K797" s="460"/>
      <c r="L797" s="460"/>
      <c r="M797" s="460"/>
      <c r="V797" s="85"/>
      <c r="X797" s="84"/>
      <c r="AB797" s="28"/>
      <c r="AC797" s="28"/>
    </row>
    <row r="798">
      <c r="E798" s="1"/>
      <c r="J798" s="460"/>
      <c r="K798" s="460"/>
      <c r="L798" s="460"/>
      <c r="M798" s="460"/>
      <c r="V798" s="85"/>
      <c r="X798" s="84"/>
      <c r="AB798" s="28"/>
      <c r="AC798" s="28"/>
    </row>
    <row r="799">
      <c r="E799" s="1"/>
      <c r="J799" s="460"/>
      <c r="K799" s="460"/>
      <c r="L799" s="460"/>
      <c r="M799" s="460"/>
      <c r="V799" s="85"/>
      <c r="X799" s="84"/>
      <c r="AB799" s="28"/>
      <c r="AC799" s="28"/>
    </row>
    <row r="800">
      <c r="E800" s="1"/>
      <c r="J800" s="460"/>
      <c r="K800" s="460"/>
      <c r="L800" s="460"/>
      <c r="M800" s="460"/>
      <c r="V800" s="85"/>
      <c r="X800" s="84"/>
      <c r="AB800" s="28"/>
      <c r="AC800" s="28"/>
    </row>
    <row r="801">
      <c r="E801" s="1"/>
      <c r="J801" s="460"/>
      <c r="K801" s="460"/>
      <c r="L801" s="460"/>
      <c r="M801" s="460"/>
      <c r="V801" s="85"/>
      <c r="X801" s="84"/>
      <c r="AB801" s="28"/>
      <c r="AC801" s="28"/>
    </row>
    <row r="802">
      <c r="E802" s="1"/>
      <c r="J802" s="460"/>
      <c r="K802" s="460"/>
      <c r="L802" s="460"/>
      <c r="M802" s="460"/>
      <c r="V802" s="85"/>
      <c r="X802" s="84"/>
      <c r="AB802" s="28"/>
      <c r="AC802" s="28"/>
    </row>
    <row r="803">
      <c r="E803" s="1"/>
      <c r="J803" s="460"/>
      <c r="K803" s="460"/>
      <c r="L803" s="460"/>
      <c r="M803" s="460"/>
      <c r="V803" s="85"/>
      <c r="X803" s="84"/>
      <c r="AB803" s="28"/>
      <c r="AC803" s="28"/>
    </row>
    <row r="804">
      <c r="E804" s="1"/>
      <c r="J804" s="460"/>
      <c r="K804" s="460"/>
      <c r="L804" s="460"/>
      <c r="M804" s="460"/>
      <c r="V804" s="85"/>
      <c r="X804" s="84"/>
      <c r="AB804" s="28"/>
      <c r="AC804" s="28"/>
    </row>
    <row r="805">
      <c r="E805" s="1"/>
      <c r="J805" s="460"/>
      <c r="K805" s="460"/>
      <c r="L805" s="460"/>
      <c r="M805" s="460"/>
      <c r="V805" s="85"/>
      <c r="X805" s="84"/>
      <c r="AB805" s="28"/>
      <c r="AC805" s="28"/>
    </row>
    <row r="806">
      <c r="E806" s="1"/>
      <c r="J806" s="460"/>
      <c r="K806" s="460"/>
      <c r="L806" s="460"/>
      <c r="M806" s="460"/>
      <c r="V806" s="85"/>
      <c r="X806" s="84"/>
      <c r="AB806" s="28"/>
      <c r="AC806" s="28"/>
    </row>
    <row r="807">
      <c r="E807" s="1"/>
      <c r="J807" s="460"/>
      <c r="K807" s="460"/>
      <c r="L807" s="460"/>
      <c r="M807" s="460"/>
      <c r="V807" s="85"/>
      <c r="X807" s="84"/>
      <c r="AB807" s="28"/>
      <c r="AC807" s="28"/>
    </row>
    <row r="808">
      <c r="E808" s="1"/>
      <c r="J808" s="460"/>
      <c r="K808" s="460"/>
      <c r="L808" s="460"/>
      <c r="M808" s="460"/>
      <c r="V808" s="85"/>
      <c r="X808" s="84"/>
      <c r="AB808" s="28"/>
      <c r="AC808" s="28"/>
    </row>
    <row r="809">
      <c r="E809" s="1"/>
      <c r="J809" s="460"/>
      <c r="K809" s="460"/>
      <c r="L809" s="460"/>
      <c r="M809" s="460"/>
      <c r="V809" s="85"/>
      <c r="X809" s="84"/>
      <c r="AB809" s="28"/>
      <c r="AC809" s="28"/>
    </row>
    <row r="810">
      <c r="E810" s="1"/>
      <c r="J810" s="460"/>
      <c r="K810" s="460"/>
      <c r="L810" s="460"/>
      <c r="M810" s="460"/>
      <c r="V810" s="85"/>
      <c r="X810" s="84"/>
      <c r="AB810" s="28"/>
      <c r="AC810" s="28"/>
    </row>
    <row r="811">
      <c r="E811" s="1"/>
      <c r="J811" s="460"/>
      <c r="K811" s="460"/>
      <c r="L811" s="460"/>
      <c r="M811" s="460"/>
      <c r="V811" s="85"/>
      <c r="X811" s="84"/>
      <c r="AB811" s="28"/>
      <c r="AC811" s="28"/>
    </row>
    <row r="812">
      <c r="E812" s="1"/>
      <c r="J812" s="460"/>
      <c r="K812" s="460"/>
      <c r="L812" s="460"/>
      <c r="M812" s="460"/>
      <c r="V812" s="85"/>
      <c r="X812" s="84"/>
      <c r="AB812" s="28"/>
      <c r="AC812" s="28"/>
    </row>
    <row r="813">
      <c r="E813" s="1"/>
      <c r="J813" s="460"/>
      <c r="K813" s="460"/>
      <c r="L813" s="460"/>
      <c r="M813" s="460"/>
      <c r="V813" s="85"/>
      <c r="X813" s="84"/>
      <c r="AB813" s="28"/>
      <c r="AC813" s="28"/>
    </row>
    <row r="814">
      <c r="E814" s="1"/>
      <c r="J814" s="460"/>
      <c r="K814" s="460"/>
      <c r="L814" s="460"/>
      <c r="M814" s="460"/>
      <c r="V814" s="85"/>
      <c r="X814" s="84"/>
      <c r="AB814" s="28"/>
      <c r="AC814" s="28"/>
    </row>
    <row r="815">
      <c r="E815" s="1"/>
      <c r="J815" s="460"/>
      <c r="K815" s="460"/>
      <c r="L815" s="460"/>
      <c r="M815" s="460"/>
      <c r="V815" s="85"/>
      <c r="X815" s="84"/>
      <c r="AB815" s="28"/>
      <c r="AC815" s="28"/>
    </row>
    <row r="816">
      <c r="E816" s="1"/>
      <c r="J816" s="460"/>
      <c r="K816" s="460"/>
      <c r="L816" s="460"/>
      <c r="M816" s="460"/>
      <c r="V816" s="85"/>
      <c r="X816" s="84"/>
      <c r="AB816" s="28"/>
      <c r="AC816" s="28"/>
    </row>
    <row r="817">
      <c r="E817" s="1"/>
      <c r="J817" s="460"/>
      <c r="K817" s="460"/>
      <c r="L817" s="460"/>
      <c r="M817" s="460"/>
      <c r="V817" s="85"/>
      <c r="X817" s="84"/>
      <c r="AB817" s="28"/>
      <c r="AC817" s="28"/>
    </row>
    <row r="818">
      <c r="E818" s="1"/>
      <c r="J818" s="460"/>
      <c r="K818" s="460"/>
      <c r="L818" s="460"/>
      <c r="M818" s="460"/>
      <c r="V818" s="85"/>
      <c r="X818" s="84"/>
      <c r="AB818" s="28"/>
      <c r="AC818" s="28"/>
    </row>
    <row r="819">
      <c r="E819" s="1"/>
      <c r="J819" s="460"/>
      <c r="K819" s="460"/>
      <c r="L819" s="460"/>
      <c r="M819" s="460"/>
      <c r="V819" s="85"/>
      <c r="X819" s="84"/>
      <c r="AB819" s="28"/>
      <c r="AC819" s="28"/>
    </row>
    <row r="820">
      <c r="E820" s="1"/>
      <c r="J820" s="460"/>
      <c r="K820" s="460"/>
      <c r="L820" s="460"/>
      <c r="M820" s="460"/>
      <c r="V820" s="85"/>
      <c r="X820" s="84"/>
      <c r="AB820" s="28"/>
      <c r="AC820" s="28"/>
    </row>
    <row r="821">
      <c r="E821" s="1"/>
      <c r="J821" s="460"/>
      <c r="K821" s="460"/>
      <c r="L821" s="460"/>
      <c r="M821" s="460"/>
      <c r="V821" s="85"/>
      <c r="X821" s="84"/>
      <c r="AB821" s="28"/>
      <c r="AC821" s="28"/>
    </row>
    <row r="822">
      <c r="E822" s="1"/>
      <c r="J822" s="460"/>
      <c r="K822" s="460"/>
      <c r="L822" s="460"/>
      <c r="M822" s="460"/>
      <c r="V822" s="85"/>
      <c r="X822" s="84"/>
      <c r="AB822" s="28"/>
      <c r="AC822" s="28"/>
    </row>
    <row r="823">
      <c r="E823" s="1"/>
      <c r="J823" s="460"/>
      <c r="K823" s="460"/>
      <c r="L823" s="460"/>
      <c r="M823" s="460"/>
      <c r="V823" s="85"/>
      <c r="X823" s="84"/>
      <c r="AB823" s="28"/>
      <c r="AC823" s="28"/>
    </row>
    <row r="824">
      <c r="E824" s="1"/>
      <c r="J824" s="460"/>
      <c r="K824" s="460"/>
      <c r="L824" s="460"/>
      <c r="M824" s="460"/>
      <c r="V824" s="85"/>
      <c r="X824" s="84"/>
      <c r="AB824" s="28"/>
      <c r="AC824" s="28"/>
    </row>
    <row r="825">
      <c r="E825" s="1"/>
      <c r="J825" s="460"/>
      <c r="K825" s="460"/>
      <c r="L825" s="460"/>
      <c r="M825" s="460"/>
      <c r="V825" s="85"/>
      <c r="X825" s="84"/>
      <c r="AB825" s="28"/>
      <c r="AC825" s="28"/>
    </row>
    <row r="826">
      <c r="E826" s="1"/>
      <c r="J826" s="460"/>
      <c r="K826" s="460"/>
      <c r="L826" s="460"/>
      <c r="M826" s="460"/>
      <c r="V826" s="85"/>
      <c r="X826" s="84"/>
      <c r="AB826" s="28"/>
      <c r="AC826" s="28"/>
    </row>
    <row r="827">
      <c r="E827" s="1"/>
      <c r="J827" s="460"/>
      <c r="K827" s="460"/>
      <c r="L827" s="460"/>
      <c r="M827" s="460"/>
      <c r="V827" s="85"/>
      <c r="X827" s="84"/>
      <c r="AB827" s="28"/>
      <c r="AC827" s="28"/>
    </row>
    <row r="828">
      <c r="E828" s="1"/>
      <c r="J828" s="460"/>
      <c r="K828" s="460"/>
      <c r="L828" s="460"/>
      <c r="M828" s="460"/>
      <c r="V828" s="85"/>
      <c r="X828" s="84"/>
      <c r="AB828" s="28"/>
      <c r="AC828" s="28"/>
    </row>
    <row r="829">
      <c r="E829" s="1"/>
      <c r="J829" s="460"/>
      <c r="K829" s="460"/>
      <c r="L829" s="460"/>
      <c r="M829" s="460"/>
      <c r="V829" s="85"/>
      <c r="X829" s="84"/>
      <c r="AB829" s="28"/>
      <c r="AC829" s="28"/>
    </row>
    <row r="830">
      <c r="E830" s="1"/>
      <c r="J830" s="460"/>
      <c r="K830" s="460"/>
      <c r="L830" s="460"/>
      <c r="M830" s="460"/>
      <c r="V830" s="85"/>
      <c r="X830" s="84"/>
      <c r="AB830" s="28"/>
      <c r="AC830" s="28"/>
    </row>
    <row r="831">
      <c r="E831" s="1"/>
      <c r="J831" s="460"/>
      <c r="K831" s="460"/>
      <c r="L831" s="460"/>
      <c r="M831" s="460"/>
      <c r="V831" s="85"/>
      <c r="X831" s="84"/>
      <c r="AB831" s="28"/>
      <c r="AC831" s="28"/>
    </row>
    <row r="832">
      <c r="E832" s="1"/>
      <c r="J832" s="460"/>
      <c r="K832" s="460"/>
      <c r="L832" s="460"/>
      <c r="M832" s="460"/>
      <c r="V832" s="85"/>
      <c r="X832" s="84"/>
      <c r="AB832" s="28"/>
      <c r="AC832" s="28"/>
    </row>
    <row r="833">
      <c r="E833" s="1"/>
      <c r="J833" s="460"/>
      <c r="K833" s="460"/>
      <c r="L833" s="460"/>
      <c r="M833" s="460"/>
      <c r="V833" s="85"/>
      <c r="X833" s="84"/>
      <c r="AB833" s="28"/>
      <c r="AC833" s="28"/>
    </row>
    <row r="834">
      <c r="E834" s="1"/>
      <c r="J834" s="460"/>
      <c r="K834" s="460"/>
      <c r="L834" s="460"/>
      <c r="M834" s="460"/>
      <c r="V834" s="85"/>
      <c r="X834" s="84"/>
      <c r="AB834" s="28"/>
      <c r="AC834" s="28"/>
    </row>
    <row r="835">
      <c r="E835" s="1"/>
      <c r="J835" s="460"/>
      <c r="K835" s="460"/>
      <c r="L835" s="460"/>
      <c r="M835" s="460"/>
      <c r="V835" s="85"/>
      <c r="X835" s="84"/>
      <c r="AB835" s="28"/>
      <c r="AC835" s="28"/>
    </row>
    <row r="836">
      <c r="E836" s="1"/>
      <c r="J836" s="460"/>
      <c r="K836" s="460"/>
      <c r="L836" s="460"/>
      <c r="M836" s="460"/>
      <c r="V836" s="85"/>
      <c r="X836" s="84"/>
      <c r="AB836" s="28"/>
      <c r="AC836" s="28"/>
    </row>
    <row r="837">
      <c r="E837" s="1"/>
      <c r="J837" s="460"/>
      <c r="K837" s="460"/>
      <c r="L837" s="460"/>
      <c r="M837" s="460"/>
      <c r="V837" s="85"/>
      <c r="X837" s="84"/>
      <c r="AB837" s="28"/>
      <c r="AC837" s="28"/>
    </row>
    <row r="838">
      <c r="E838" s="1"/>
      <c r="J838" s="460"/>
      <c r="K838" s="460"/>
      <c r="L838" s="460"/>
      <c r="M838" s="460"/>
      <c r="V838" s="85"/>
      <c r="X838" s="84"/>
      <c r="AB838" s="28"/>
      <c r="AC838" s="28"/>
    </row>
    <row r="839">
      <c r="E839" s="1"/>
      <c r="J839" s="460"/>
      <c r="K839" s="460"/>
      <c r="L839" s="460"/>
      <c r="M839" s="460"/>
      <c r="V839" s="85"/>
      <c r="X839" s="84"/>
      <c r="AB839" s="28"/>
      <c r="AC839" s="28"/>
    </row>
    <row r="840">
      <c r="E840" s="1"/>
      <c r="J840" s="460"/>
      <c r="K840" s="460"/>
      <c r="L840" s="460"/>
      <c r="M840" s="460"/>
      <c r="V840" s="85"/>
      <c r="X840" s="84"/>
      <c r="AB840" s="28"/>
      <c r="AC840" s="28"/>
    </row>
    <row r="841">
      <c r="E841" s="1"/>
      <c r="J841" s="460"/>
      <c r="K841" s="460"/>
      <c r="L841" s="460"/>
      <c r="M841" s="460"/>
      <c r="V841" s="85"/>
      <c r="X841" s="84"/>
      <c r="AB841" s="28"/>
      <c r="AC841" s="28"/>
    </row>
    <row r="842">
      <c r="E842" s="1"/>
      <c r="J842" s="460"/>
      <c r="K842" s="460"/>
      <c r="L842" s="460"/>
      <c r="M842" s="460"/>
      <c r="V842" s="85"/>
      <c r="X842" s="84"/>
      <c r="AB842" s="28"/>
      <c r="AC842" s="28"/>
    </row>
    <row r="843">
      <c r="E843" s="1"/>
      <c r="J843" s="460"/>
      <c r="K843" s="460"/>
      <c r="L843" s="460"/>
      <c r="M843" s="460"/>
      <c r="V843" s="85"/>
      <c r="X843" s="84"/>
      <c r="AB843" s="28"/>
      <c r="AC843" s="28"/>
    </row>
    <row r="844">
      <c r="E844" s="1"/>
      <c r="J844" s="460"/>
      <c r="K844" s="460"/>
      <c r="L844" s="460"/>
      <c r="M844" s="460"/>
      <c r="V844" s="85"/>
      <c r="X844" s="84"/>
      <c r="AB844" s="28"/>
      <c r="AC844" s="28"/>
    </row>
    <row r="845">
      <c r="E845" s="1"/>
      <c r="J845" s="460"/>
      <c r="K845" s="460"/>
      <c r="L845" s="460"/>
      <c r="M845" s="460"/>
      <c r="V845" s="85"/>
      <c r="X845" s="84"/>
      <c r="AB845" s="28"/>
      <c r="AC845" s="28"/>
    </row>
    <row r="846">
      <c r="E846" s="1"/>
      <c r="J846" s="460"/>
      <c r="K846" s="460"/>
      <c r="L846" s="460"/>
      <c r="M846" s="460"/>
      <c r="V846" s="85"/>
      <c r="X846" s="84"/>
      <c r="AB846" s="28"/>
      <c r="AC846" s="28"/>
    </row>
    <row r="847">
      <c r="E847" s="1"/>
      <c r="J847" s="460"/>
      <c r="K847" s="460"/>
      <c r="L847" s="460"/>
      <c r="M847" s="460"/>
      <c r="V847" s="85"/>
      <c r="X847" s="84"/>
      <c r="AB847" s="28"/>
      <c r="AC847" s="28"/>
    </row>
    <row r="848">
      <c r="E848" s="1"/>
      <c r="J848" s="460"/>
      <c r="K848" s="460"/>
      <c r="L848" s="460"/>
      <c r="M848" s="460"/>
      <c r="V848" s="85"/>
      <c r="X848" s="84"/>
      <c r="AB848" s="28"/>
      <c r="AC848" s="28"/>
    </row>
    <row r="849">
      <c r="E849" s="1"/>
      <c r="J849" s="460"/>
      <c r="K849" s="460"/>
      <c r="L849" s="460"/>
      <c r="M849" s="460"/>
      <c r="V849" s="85"/>
      <c r="X849" s="84"/>
      <c r="AB849" s="28"/>
      <c r="AC849" s="28"/>
    </row>
    <row r="850">
      <c r="E850" s="1"/>
      <c r="J850" s="460"/>
      <c r="K850" s="460"/>
      <c r="L850" s="460"/>
      <c r="M850" s="460"/>
      <c r="V850" s="85"/>
      <c r="X850" s="84"/>
      <c r="AB850" s="28"/>
      <c r="AC850" s="28"/>
    </row>
    <row r="851">
      <c r="E851" s="1"/>
      <c r="J851" s="460"/>
      <c r="K851" s="460"/>
      <c r="L851" s="460"/>
      <c r="M851" s="460"/>
      <c r="V851" s="85"/>
      <c r="X851" s="84"/>
      <c r="AB851" s="28"/>
      <c r="AC851" s="28"/>
    </row>
    <row r="852">
      <c r="E852" s="1"/>
      <c r="J852" s="460"/>
      <c r="K852" s="460"/>
      <c r="L852" s="460"/>
      <c r="M852" s="460"/>
      <c r="V852" s="85"/>
      <c r="X852" s="84"/>
      <c r="AB852" s="28"/>
      <c r="AC852" s="28"/>
    </row>
    <row r="853">
      <c r="E853" s="1"/>
      <c r="J853" s="460"/>
      <c r="K853" s="460"/>
      <c r="L853" s="460"/>
      <c r="M853" s="460"/>
      <c r="V853" s="85"/>
      <c r="X853" s="84"/>
      <c r="AB853" s="28"/>
      <c r="AC853" s="28"/>
    </row>
    <row r="854">
      <c r="E854" s="1"/>
      <c r="J854" s="460"/>
      <c r="K854" s="460"/>
      <c r="L854" s="460"/>
      <c r="M854" s="460"/>
      <c r="V854" s="85"/>
      <c r="X854" s="84"/>
      <c r="AB854" s="28"/>
      <c r="AC854" s="28"/>
    </row>
    <row r="855">
      <c r="E855" s="1"/>
      <c r="J855" s="460"/>
      <c r="K855" s="460"/>
      <c r="L855" s="460"/>
      <c r="M855" s="460"/>
      <c r="V855" s="85"/>
      <c r="X855" s="84"/>
      <c r="AB855" s="28"/>
      <c r="AC855" s="28"/>
    </row>
    <row r="856">
      <c r="E856" s="1"/>
      <c r="J856" s="460"/>
      <c r="K856" s="460"/>
      <c r="L856" s="460"/>
      <c r="M856" s="460"/>
      <c r="V856" s="85"/>
      <c r="X856" s="84"/>
      <c r="AB856" s="28"/>
      <c r="AC856" s="28"/>
    </row>
    <row r="857">
      <c r="E857" s="1"/>
      <c r="J857" s="460"/>
      <c r="K857" s="460"/>
      <c r="L857" s="460"/>
      <c r="M857" s="460"/>
      <c r="V857" s="85"/>
      <c r="X857" s="84"/>
      <c r="AB857" s="28"/>
      <c r="AC857" s="28"/>
    </row>
    <row r="858">
      <c r="E858" s="1"/>
      <c r="J858" s="460"/>
      <c r="K858" s="460"/>
      <c r="L858" s="460"/>
      <c r="M858" s="460"/>
      <c r="V858" s="85"/>
      <c r="X858" s="84"/>
      <c r="AB858" s="28"/>
      <c r="AC858" s="28"/>
    </row>
    <row r="859">
      <c r="E859" s="1"/>
      <c r="J859" s="460"/>
      <c r="K859" s="460"/>
      <c r="L859" s="460"/>
      <c r="M859" s="460"/>
      <c r="V859" s="85"/>
      <c r="X859" s="84"/>
      <c r="AB859" s="28"/>
      <c r="AC859" s="28"/>
    </row>
    <row r="860">
      <c r="E860" s="1"/>
      <c r="J860" s="460"/>
      <c r="K860" s="460"/>
      <c r="L860" s="460"/>
      <c r="M860" s="460"/>
      <c r="V860" s="85"/>
      <c r="X860" s="84"/>
      <c r="AB860" s="28"/>
      <c r="AC860" s="28"/>
    </row>
    <row r="861">
      <c r="E861" s="1"/>
      <c r="J861" s="460"/>
      <c r="K861" s="460"/>
      <c r="L861" s="460"/>
      <c r="M861" s="460"/>
      <c r="V861" s="85"/>
      <c r="X861" s="84"/>
      <c r="AB861" s="28"/>
      <c r="AC861" s="28"/>
    </row>
    <row r="862">
      <c r="E862" s="1"/>
      <c r="J862" s="460"/>
      <c r="K862" s="460"/>
      <c r="L862" s="460"/>
      <c r="M862" s="460"/>
      <c r="V862" s="85"/>
      <c r="X862" s="84"/>
      <c r="AB862" s="28"/>
      <c r="AC862" s="28"/>
    </row>
    <row r="863">
      <c r="E863" s="1"/>
      <c r="J863" s="460"/>
      <c r="K863" s="460"/>
      <c r="L863" s="460"/>
      <c r="M863" s="460"/>
      <c r="V863" s="85"/>
      <c r="X863" s="84"/>
      <c r="AB863" s="28"/>
      <c r="AC863" s="28"/>
    </row>
    <row r="864">
      <c r="E864" s="1"/>
      <c r="J864" s="460"/>
      <c r="K864" s="460"/>
      <c r="L864" s="460"/>
      <c r="M864" s="460"/>
      <c r="V864" s="85"/>
      <c r="X864" s="84"/>
      <c r="AB864" s="28"/>
      <c r="AC864" s="28"/>
    </row>
    <row r="865">
      <c r="E865" s="1"/>
      <c r="J865" s="460"/>
      <c r="K865" s="460"/>
      <c r="L865" s="460"/>
      <c r="M865" s="460"/>
      <c r="V865" s="85"/>
      <c r="X865" s="84"/>
      <c r="AB865" s="28"/>
      <c r="AC865" s="28"/>
    </row>
    <row r="866">
      <c r="E866" s="1"/>
      <c r="J866" s="460"/>
      <c r="K866" s="460"/>
      <c r="L866" s="460"/>
      <c r="M866" s="460"/>
      <c r="V866" s="85"/>
      <c r="X866" s="84"/>
      <c r="AB866" s="28"/>
      <c r="AC866" s="28"/>
    </row>
    <row r="867">
      <c r="E867" s="1"/>
      <c r="J867" s="460"/>
      <c r="K867" s="460"/>
      <c r="L867" s="460"/>
      <c r="M867" s="460"/>
      <c r="V867" s="85"/>
      <c r="X867" s="84"/>
      <c r="AB867" s="28"/>
      <c r="AC867" s="28"/>
    </row>
    <row r="868">
      <c r="E868" s="1"/>
      <c r="J868" s="460"/>
      <c r="K868" s="460"/>
      <c r="L868" s="460"/>
      <c r="M868" s="460"/>
      <c r="V868" s="85"/>
      <c r="X868" s="84"/>
      <c r="AB868" s="28"/>
      <c r="AC868" s="28"/>
    </row>
    <row r="869">
      <c r="E869" s="1"/>
      <c r="J869" s="460"/>
      <c r="K869" s="460"/>
      <c r="L869" s="460"/>
      <c r="M869" s="460"/>
      <c r="V869" s="85"/>
      <c r="X869" s="84"/>
      <c r="AB869" s="28"/>
      <c r="AC869" s="28"/>
    </row>
    <row r="870">
      <c r="E870" s="1"/>
      <c r="J870" s="460"/>
      <c r="K870" s="460"/>
      <c r="L870" s="460"/>
      <c r="M870" s="460"/>
      <c r="V870" s="85"/>
      <c r="X870" s="84"/>
      <c r="AB870" s="28"/>
      <c r="AC870" s="28"/>
    </row>
    <row r="871">
      <c r="E871" s="1"/>
      <c r="J871" s="460"/>
      <c r="K871" s="460"/>
      <c r="L871" s="460"/>
      <c r="M871" s="460"/>
      <c r="V871" s="85"/>
      <c r="X871" s="84"/>
      <c r="AB871" s="28"/>
      <c r="AC871" s="28"/>
    </row>
    <row r="872">
      <c r="E872" s="1"/>
      <c r="J872" s="460"/>
      <c r="K872" s="460"/>
      <c r="L872" s="460"/>
      <c r="M872" s="460"/>
      <c r="V872" s="85"/>
      <c r="X872" s="84"/>
      <c r="AB872" s="28"/>
      <c r="AC872" s="28"/>
    </row>
    <row r="873">
      <c r="E873" s="1"/>
      <c r="J873" s="460"/>
      <c r="K873" s="460"/>
      <c r="L873" s="460"/>
      <c r="M873" s="460"/>
      <c r="V873" s="85"/>
      <c r="X873" s="84"/>
      <c r="AB873" s="28"/>
      <c r="AC873" s="28"/>
    </row>
    <row r="874">
      <c r="E874" s="1"/>
      <c r="J874" s="460"/>
      <c r="K874" s="460"/>
      <c r="L874" s="460"/>
      <c r="M874" s="460"/>
      <c r="V874" s="85"/>
      <c r="X874" s="84"/>
      <c r="AB874" s="28"/>
      <c r="AC874" s="28"/>
    </row>
    <row r="875">
      <c r="E875" s="1"/>
      <c r="J875" s="460"/>
      <c r="K875" s="460"/>
      <c r="L875" s="460"/>
      <c r="M875" s="460"/>
      <c r="V875" s="85"/>
      <c r="X875" s="84"/>
      <c r="AB875" s="28"/>
      <c r="AC875" s="28"/>
    </row>
    <row r="876">
      <c r="E876" s="1"/>
      <c r="J876" s="460"/>
      <c r="K876" s="460"/>
      <c r="L876" s="460"/>
      <c r="M876" s="460"/>
      <c r="V876" s="85"/>
      <c r="X876" s="84"/>
      <c r="AB876" s="28"/>
      <c r="AC876" s="28"/>
    </row>
    <row r="877">
      <c r="E877" s="1"/>
      <c r="J877" s="460"/>
      <c r="K877" s="460"/>
      <c r="L877" s="460"/>
      <c r="M877" s="460"/>
      <c r="V877" s="85"/>
      <c r="X877" s="84"/>
      <c r="AB877" s="28"/>
      <c r="AC877" s="28"/>
    </row>
    <row r="878">
      <c r="E878" s="1"/>
      <c r="J878" s="460"/>
      <c r="K878" s="460"/>
      <c r="L878" s="460"/>
      <c r="M878" s="460"/>
      <c r="V878" s="85"/>
      <c r="X878" s="84"/>
      <c r="AB878" s="28"/>
      <c r="AC878" s="28"/>
    </row>
    <row r="879">
      <c r="E879" s="1"/>
      <c r="J879" s="460"/>
      <c r="K879" s="460"/>
      <c r="L879" s="460"/>
      <c r="M879" s="460"/>
      <c r="V879" s="85"/>
      <c r="X879" s="84"/>
      <c r="AB879" s="28"/>
      <c r="AC879" s="28"/>
    </row>
    <row r="880">
      <c r="E880" s="1"/>
      <c r="J880" s="460"/>
      <c r="K880" s="460"/>
      <c r="L880" s="460"/>
      <c r="M880" s="460"/>
      <c r="V880" s="85"/>
      <c r="X880" s="84"/>
      <c r="AB880" s="28"/>
      <c r="AC880" s="28"/>
    </row>
    <row r="881">
      <c r="E881" s="1"/>
      <c r="J881" s="460"/>
      <c r="K881" s="460"/>
      <c r="L881" s="460"/>
      <c r="M881" s="460"/>
      <c r="V881" s="85"/>
      <c r="X881" s="84"/>
      <c r="AB881" s="28"/>
      <c r="AC881" s="28"/>
    </row>
    <row r="882">
      <c r="E882" s="1"/>
      <c r="J882" s="460"/>
      <c r="K882" s="460"/>
      <c r="L882" s="460"/>
      <c r="M882" s="460"/>
      <c r="V882" s="85"/>
      <c r="X882" s="84"/>
      <c r="AB882" s="28"/>
      <c r="AC882" s="28"/>
    </row>
    <row r="883">
      <c r="E883" s="1"/>
      <c r="J883" s="460"/>
      <c r="K883" s="460"/>
      <c r="L883" s="460"/>
      <c r="M883" s="460"/>
      <c r="V883" s="85"/>
      <c r="X883" s="84"/>
      <c r="AB883" s="28"/>
      <c r="AC883" s="28"/>
    </row>
    <row r="884">
      <c r="E884" s="1"/>
      <c r="J884" s="460"/>
      <c r="K884" s="460"/>
      <c r="L884" s="460"/>
      <c r="M884" s="460"/>
      <c r="V884" s="85"/>
      <c r="X884" s="84"/>
      <c r="AB884" s="28"/>
      <c r="AC884" s="28"/>
    </row>
    <row r="885">
      <c r="E885" s="1"/>
      <c r="J885" s="460"/>
      <c r="K885" s="460"/>
      <c r="L885" s="460"/>
      <c r="M885" s="460"/>
      <c r="V885" s="85"/>
      <c r="X885" s="84"/>
      <c r="AB885" s="28"/>
      <c r="AC885" s="28"/>
    </row>
    <row r="886">
      <c r="E886" s="1"/>
      <c r="J886" s="460"/>
      <c r="K886" s="460"/>
      <c r="L886" s="460"/>
      <c r="M886" s="460"/>
      <c r="V886" s="85"/>
      <c r="X886" s="84"/>
      <c r="AB886" s="28"/>
      <c r="AC886" s="28"/>
    </row>
    <row r="887">
      <c r="E887" s="1"/>
      <c r="J887" s="460"/>
      <c r="K887" s="460"/>
      <c r="L887" s="460"/>
      <c r="M887" s="460"/>
      <c r="V887" s="85"/>
      <c r="X887" s="84"/>
      <c r="AB887" s="28"/>
      <c r="AC887" s="28"/>
    </row>
    <row r="888">
      <c r="E888" s="1"/>
      <c r="J888" s="460"/>
      <c r="K888" s="460"/>
      <c r="L888" s="460"/>
      <c r="M888" s="460"/>
      <c r="V888" s="85"/>
      <c r="X888" s="84"/>
      <c r="AB888" s="28"/>
      <c r="AC888" s="28"/>
    </row>
    <row r="889">
      <c r="E889" s="1"/>
      <c r="J889" s="460"/>
      <c r="K889" s="460"/>
      <c r="L889" s="460"/>
      <c r="M889" s="460"/>
      <c r="V889" s="85"/>
      <c r="X889" s="84"/>
      <c r="AB889" s="28"/>
      <c r="AC889" s="28"/>
    </row>
    <row r="890">
      <c r="E890" s="1"/>
      <c r="J890" s="460"/>
      <c r="K890" s="460"/>
      <c r="L890" s="460"/>
      <c r="M890" s="460"/>
      <c r="V890" s="85"/>
      <c r="X890" s="84"/>
      <c r="AB890" s="28"/>
      <c r="AC890" s="28"/>
    </row>
    <row r="891">
      <c r="E891" s="1"/>
      <c r="J891" s="460"/>
      <c r="K891" s="460"/>
      <c r="L891" s="460"/>
      <c r="M891" s="460"/>
      <c r="V891" s="85"/>
      <c r="X891" s="84"/>
      <c r="AB891" s="28"/>
      <c r="AC891" s="28"/>
    </row>
    <row r="892">
      <c r="E892" s="1"/>
      <c r="J892" s="460"/>
      <c r="K892" s="460"/>
      <c r="L892" s="460"/>
      <c r="M892" s="460"/>
      <c r="V892" s="85"/>
      <c r="X892" s="84"/>
      <c r="AB892" s="28"/>
      <c r="AC892" s="28"/>
    </row>
    <row r="893">
      <c r="E893" s="1"/>
      <c r="J893" s="460"/>
      <c r="K893" s="460"/>
      <c r="L893" s="460"/>
      <c r="M893" s="460"/>
      <c r="V893" s="85"/>
      <c r="X893" s="84"/>
      <c r="AB893" s="28"/>
      <c r="AC893" s="28"/>
    </row>
    <row r="894">
      <c r="E894" s="1"/>
      <c r="J894" s="460"/>
      <c r="K894" s="460"/>
      <c r="L894" s="460"/>
      <c r="M894" s="460"/>
      <c r="V894" s="85"/>
      <c r="X894" s="84"/>
      <c r="AB894" s="28"/>
      <c r="AC894" s="28"/>
    </row>
    <row r="895">
      <c r="E895" s="1"/>
      <c r="J895" s="460"/>
      <c r="K895" s="460"/>
      <c r="L895" s="460"/>
      <c r="M895" s="460"/>
      <c r="V895" s="85"/>
      <c r="X895" s="84"/>
      <c r="AB895" s="28"/>
      <c r="AC895" s="28"/>
    </row>
    <row r="896">
      <c r="E896" s="1"/>
      <c r="J896" s="460"/>
      <c r="K896" s="460"/>
      <c r="L896" s="460"/>
      <c r="M896" s="460"/>
      <c r="V896" s="85"/>
      <c r="X896" s="84"/>
      <c r="AB896" s="28"/>
      <c r="AC896" s="28"/>
    </row>
    <row r="897">
      <c r="E897" s="1"/>
      <c r="J897" s="460"/>
      <c r="K897" s="460"/>
      <c r="L897" s="460"/>
      <c r="M897" s="460"/>
      <c r="V897" s="85"/>
      <c r="X897" s="84"/>
      <c r="AB897" s="28"/>
      <c r="AC897" s="28"/>
    </row>
    <row r="898">
      <c r="E898" s="1"/>
      <c r="J898" s="460"/>
      <c r="K898" s="460"/>
      <c r="L898" s="460"/>
      <c r="M898" s="460"/>
      <c r="V898" s="85"/>
      <c r="X898" s="84"/>
      <c r="AB898" s="28"/>
      <c r="AC898" s="28"/>
    </row>
    <row r="899">
      <c r="E899" s="1"/>
      <c r="J899" s="460"/>
      <c r="K899" s="460"/>
      <c r="L899" s="460"/>
      <c r="M899" s="460"/>
      <c r="V899" s="85"/>
      <c r="X899" s="84"/>
      <c r="AB899" s="28"/>
      <c r="AC899" s="28"/>
    </row>
    <row r="900">
      <c r="E900" s="1"/>
      <c r="J900" s="460"/>
      <c r="K900" s="460"/>
      <c r="L900" s="460"/>
      <c r="M900" s="460"/>
      <c r="V900" s="85"/>
      <c r="X900" s="84"/>
      <c r="AB900" s="28"/>
      <c r="AC900" s="28"/>
    </row>
    <row r="901">
      <c r="E901" s="1"/>
      <c r="J901" s="460"/>
      <c r="K901" s="460"/>
      <c r="L901" s="460"/>
      <c r="M901" s="460"/>
      <c r="V901" s="85"/>
      <c r="X901" s="84"/>
      <c r="AB901" s="28"/>
      <c r="AC901" s="28"/>
    </row>
    <row r="902">
      <c r="E902" s="1"/>
      <c r="J902" s="460"/>
      <c r="K902" s="460"/>
      <c r="L902" s="460"/>
      <c r="M902" s="460"/>
      <c r="V902" s="85"/>
      <c r="X902" s="84"/>
      <c r="AB902" s="28"/>
      <c r="AC902" s="28"/>
    </row>
    <row r="903">
      <c r="E903" s="1"/>
      <c r="J903" s="460"/>
      <c r="K903" s="460"/>
      <c r="L903" s="460"/>
      <c r="M903" s="460"/>
      <c r="V903" s="85"/>
      <c r="X903" s="84"/>
      <c r="AB903" s="28"/>
      <c r="AC903" s="28"/>
    </row>
    <row r="904">
      <c r="E904" s="1"/>
      <c r="J904" s="460"/>
      <c r="K904" s="460"/>
      <c r="L904" s="460"/>
      <c r="M904" s="460"/>
      <c r="V904" s="85"/>
      <c r="X904" s="84"/>
      <c r="AB904" s="28"/>
      <c r="AC904" s="28"/>
    </row>
    <row r="905">
      <c r="E905" s="1"/>
      <c r="J905" s="460"/>
      <c r="K905" s="460"/>
      <c r="L905" s="460"/>
      <c r="M905" s="460"/>
      <c r="V905" s="85"/>
      <c r="X905" s="84"/>
      <c r="AB905" s="28"/>
      <c r="AC905" s="28"/>
    </row>
    <row r="906">
      <c r="E906" s="1"/>
      <c r="J906" s="460"/>
      <c r="K906" s="460"/>
      <c r="L906" s="460"/>
      <c r="M906" s="460"/>
      <c r="V906" s="85"/>
      <c r="X906" s="84"/>
      <c r="AB906" s="28"/>
      <c r="AC906" s="28"/>
    </row>
    <row r="907">
      <c r="E907" s="1"/>
      <c r="J907" s="460"/>
      <c r="K907" s="460"/>
      <c r="L907" s="460"/>
      <c r="M907" s="460"/>
      <c r="V907" s="85"/>
      <c r="X907" s="84"/>
      <c r="AB907" s="28"/>
      <c r="AC907" s="28"/>
    </row>
    <row r="908">
      <c r="E908" s="1"/>
      <c r="J908" s="460"/>
      <c r="K908" s="460"/>
      <c r="L908" s="460"/>
      <c r="M908" s="460"/>
      <c r="V908" s="85"/>
      <c r="X908" s="84"/>
      <c r="AB908" s="28"/>
      <c r="AC908" s="28"/>
    </row>
    <row r="909">
      <c r="E909" s="1"/>
      <c r="J909" s="460"/>
      <c r="K909" s="460"/>
      <c r="L909" s="460"/>
      <c r="M909" s="460"/>
      <c r="V909" s="85"/>
      <c r="X909" s="84"/>
      <c r="AB909" s="28"/>
      <c r="AC909" s="28"/>
    </row>
    <row r="910">
      <c r="E910" s="1"/>
      <c r="J910" s="460"/>
      <c r="K910" s="460"/>
      <c r="L910" s="460"/>
      <c r="M910" s="460"/>
      <c r="V910" s="85"/>
      <c r="X910" s="84"/>
      <c r="AB910" s="28"/>
      <c r="AC910" s="28"/>
    </row>
    <row r="911">
      <c r="E911" s="1"/>
      <c r="J911" s="460"/>
      <c r="K911" s="460"/>
      <c r="L911" s="460"/>
      <c r="M911" s="460"/>
      <c r="V911" s="85"/>
      <c r="X911" s="84"/>
      <c r="AB911" s="28"/>
      <c r="AC911" s="28"/>
    </row>
    <row r="912">
      <c r="E912" s="1"/>
      <c r="J912" s="460"/>
      <c r="K912" s="460"/>
      <c r="L912" s="460"/>
      <c r="M912" s="460"/>
      <c r="V912" s="85"/>
      <c r="X912" s="84"/>
      <c r="AB912" s="28"/>
      <c r="AC912" s="28"/>
    </row>
    <row r="913">
      <c r="E913" s="1"/>
      <c r="J913" s="460"/>
      <c r="K913" s="460"/>
      <c r="L913" s="460"/>
      <c r="M913" s="460"/>
      <c r="V913" s="85"/>
      <c r="X913" s="84"/>
      <c r="AB913" s="28"/>
      <c r="AC913" s="28"/>
    </row>
    <row r="914">
      <c r="E914" s="1"/>
      <c r="J914" s="460"/>
      <c r="K914" s="460"/>
      <c r="L914" s="460"/>
      <c r="M914" s="460"/>
      <c r="V914" s="85"/>
      <c r="X914" s="84"/>
      <c r="AB914" s="28"/>
      <c r="AC914" s="28"/>
    </row>
    <row r="915">
      <c r="E915" s="1"/>
      <c r="J915" s="460"/>
      <c r="K915" s="460"/>
      <c r="L915" s="460"/>
      <c r="M915" s="460"/>
      <c r="V915" s="85"/>
      <c r="X915" s="84"/>
      <c r="AB915" s="28"/>
      <c r="AC915" s="28"/>
    </row>
    <row r="916">
      <c r="E916" s="1"/>
      <c r="J916" s="460"/>
      <c r="K916" s="460"/>
      <c r="L916" s="460"/>
      <c r="M916" s="460"/>
      <c r="V916" s="85"/>
      <c r="X916" s="84"/>
      <c r="AB916" s="28"/>
      <c r="AC916" s="28"/>
    </row>
    <row r="917">
      <c r="E917" s="1"/>
      <c r="J917" s="460"/>
      <c r="K917" s="460"/>
      <c r="L917" s="460"/>
      <c r="M917" s="460"/>
      <c r="V917" s="85"/>
      <c r="X917" s="84"/>
      <c r="AB917" s="28"/>
      <c r="AC917" s="28"/>
    </row>
    <row r="918">
      <c r="E918" s="1"/>
      <c r="J918" s="460"/>
      <c r="K918" s="460"/>
      <c r="L918" s="460"/>
      <c r="M918" s="460"/>
      <c r="V918" s="85"/>
      <c r="X918" s="84"/>
      <c r="AB918" s="28"/>
      <c r="AC918" s="28"/>
    </row>
    <row r="919">
      <c r="E919" s="1"/>
      <c r="J919" s="460"/>
      <c r="K919" s="460"/>
      <c r="L919" s="460"/>
      <c r="M919" s="460"/>
      <c r="V919" s="85"/>
      <c r="X919" s="84"/>
      <c r="AB919" s="28"/>
      <c r="AC919" s="28"/>
    </row>
    <row r="920">
      <c r="E920" s="1"/>
      <c r="J920" s="460"/>
      <c r="K920" s="460"/>
      <c r="L920" s="460"/>
      <c r="M920" s="460"/>
      <c r="V920" s="85"/>
      <c r="X920" s="84"/>
      <c r="AB920" s="28"/>
      <c r="AC920" s="28"/>
    </row>
    <row r="921">
      <c r="E921" s="1"/>
      <c r="J921" s="460"/>
      <c r="K921" s="460"/>
      <c r="L921" s="460"/>
      <c r="M921" s="460"/>
      <c r="V921" s="85"/>
      <c r="X921" s="84"/>
      <c r="AB921" s="28"/>
      <c r="AC921" s="28"/>
    </row>
    <row r="922">
      <c r="E922" s="1"/>
      <c r="J922" s="460"/>
      <c r="K922" s="460"/>
      <c r="L922" s="460"/>
      <c r="M922" s="460"/>
      <c r="V922" s="85"/>
      <c r="X922" s="84"/>
      <c r="AB922" s="28"/>
      <c r="AC922" s="28"/>
    </row>
    <row r="923">
      <c r="E923" s="1"/>
      <c r="J923" s="460"/>
      <c r="K923" s="460"/>
      <c r="L923" s="460"/>
      <c r="M923" s="460"/>
      <c r="V923" s="85"/>
      <c r="X923" s="84"/>
      <c r="AB923" s="28"/>
      <c r="AC923" s="28"/>
    </row>
    <row r="924">
      <c r="E924" s="1"/>
      <c r="J924" s="460"/>
      <c r="K924" s="460"/>
      <c r="L924" s="460"/>
      <c r="M924" s="460"/>
      <c r="V924" s="85"/>
      <c r="X924" s="84"/>
      <c r="AB924" s="28"/>
      <c r="AC924" s="28"/>
    </row>
    <row r="925">
      <c r="E925" s="1"/>
      <c r="J925" s="460"/>
      <c r="K925" s="460"/>
      <c r="L925" s="460"/>
      <c r="M925" s="460"/>
      <c r="V925" s="85"/>
      <c r="X925" s="84"/>
      <c r="AB925" s="28"/>
      <c r="AC925" s="28"/>
    </row>
    <row r="926">
      <c r="E926" s="1"/>
      <c r="J926" s="460"/>
      <c r="K926" s="460"/>
      <c r="L926" s="460"/>
      <c r="M926" s="460"/>
      <c r="V926" s="85"/>
      <c r="X926" s="84"/>
      <c r="AB926" s="28"/>
      <c r="AC926" s="28"/>
    </row>
    <row r="927">
      <c r="E927" s="1"/>
      <c r="J927" s="460"/>
      <c r="K927" s="460"/>
      <c r="L927" s="460"/>
      <c r="M927" s="460"/>
      <c r="V927" s="85"/>
      <c r="X927" s="84"/>
      <c r="AB927" s="28"/>
      <c r="AC927" s="28"/>
    </row>
    <row r="928">
      <c r="E928" s="1"/>
      <c r="J928" s="460"/>
      <c r="K928" s="460"/>
      <c r="L928" s="460"/>
      <c r="M928" s="460"/>
      <c r="V928" s="85"/>
      <c r="X928" s="84"/>
      <c r="AB928" s="28"/>
      <c r="AC928" s="28"/>
    </row>
    <row r="929">
      <c r="E929" s="1"/>
      <c r="J929" s="460"/>
      <c r="K929" s="460"/>
      <c r="L929" s="460"/>
      <c r="M929" s="460"/>
      <c r="V929" s="85"/>
      <c r="X929" s="84"/>
      <c r="AB929" s="28"/>
      <c r="AC929" s="28"/>
    </row>
    <row r="930">
      <c r="E930" s="1"/>
      <c r="J930" s="460"/>
      <c r="K930" s="460"/>
      <c r="L930" s="460"/>
      <c r="M930" s="460"/>
      <c r="V930" s="85"/>
      <c r="X930" s="84"/>
      <c r="AB930" s="28"/>
      <c r="AC930" s="28"/>
    </row>
    <row r="931">
      <c r="E931" s="1"/>
      <c r="J931" s="460"/>
      <c r="K931" s="460"/>
      <c r="L931" s="460"/>
      <c r="M931" s="460"/>
      <c r="V931" s="85"/>
      <c r="X931" s="84"/>
      <c r="AB931" s="28"/>
      <c r="AC931" s="28"/>
    </row>
    <row r="932">
      <c r="E932" s="1"/>
      <c r="J932" s="460"/>
      <c r="K932" s="460"/>
      <c r="L932" s="460"/>
      <c r="M932" s="460"/>
      <c r="V932" s="85"/>
      <c r="X932" s="84"/>
      <c r="AB932" s="28"/>
      <c r="AC932" s="28"/>
    </row>
    <row r="933">
      <c r="E933" s="1"/>
      <c r="J933" s="460"/>
      <c r="K933" s="460"/>
      <c r="L933" s="460"/>
      <c r="M933" s="460"/>
      <c r="V933" s="85"/>
      <c r="X933" s="84"/>
      <c r="AB933" s="28"/>
      <c r="AC933" s="28"/>
    </row>
    <row r="934">
      <c r="E934" s="1"/>
      <c r="J934" s="460"/>
      <c r="K934" s="460"/>
      <c r="L934" s="460"/>
      <c r="M934" s="460"/>
      <c r="V934" s="85"/>
      <c r="X934" s="84"/>
      <c r="AB934" s="28"/>
      <c r="AC934" s="28"/>
    </row>
    <row r="935">
      <c r="E935" s="1"/>
      <c r="J935" s="460"/>
      <c r="K935" s="460"/>
      <c r="L935" s="460"/>
      <c r="M935" s="460"/>
      <c r="V935" s="85"/>
      <c r="X935" s="84"/>
      <c r="AB935" s="28"/>
      <c r="AC935" s="28"/>
    </row>
    <row r="936">
      <c r="E936" s="1"/>
      <c r="J936" s="460"/>
      <c r="K936" s="460"/>
      <c r="L936" s="460"/>
      <c r="M936" s="460"/>
      <c r="V936" s="85"/>
      <c r="X936" s="84"/>
      <c r="AB936" s="28"/>
      <c r="AC936" s="28"/>
    </row>
    <row r="937">
      <c r="E937" s="1"/>
      <c r="J937" s="460"/>
      <c r="K937" s="460"/>
      <c r="L937" s="460"/>
      <c r="M937" s="460"/>
      <c r="V937" s="85"/>
      <c r="X937" s="84"/>
      <c r="AB937" s="28"/>
      <c r="AC937" s="28"/>
    </row>
    <row r="938">
      <c r="E938" s="1"/>
      <c r="J938" s="460"/>
      <c r="K938" s="460"/>
      <c r="L938" s="460"/>
      <c r="M938" s="460"/>
      <c r="V938" s="85"/>
      <c r="X938" s="84"/>
      <c r="AB938" s="28"/>
      <c r="AC938" s="28"/>
    </row>
    <row r="939">
      <c r="E939" s="1"/>
      <c r="J939" s="460"/>
      <c r="K939" s="460"/>
      <c r="L939" s="460"/>
      <c r="M939" s="460"/>
      <c r="V939" s="85"/>
      <c r="X939" s="84"/>
      <c r="AB939" s="28"/>
      <c r="AC939" s="28"/>
    </row>
    <row r="940">
      <c r="E940" s="1"/>
      <c r="J940" s="460"/>
      <c r="K940" s="460"/>
      <c r="L940" s="460"/>
      <c r="M940" s="460"/>
      <c r="V940" s="85"/>
      <c r="X940" s="84"/>
      <c r="AB940" s="28"/>
      <c r="AC940" s="28"/>
    </row>
    <row r="941">
      <c r="E941" s="1"/>
      <c r="J941" s="460"/>
      <c r="K941" s="460"/>
      <c r="L941" s="460"/>
      <c r="M941" s="460"/>
      <c r="V941" s="85"/>
      <c r="X941" s="84"/>
      <c r="AB941" s="28"/>
      <c r="AC941" s="28"/>
    </row>
    <row r="942">
      <c r="E942" s="1"/>
      <c r="J942" s="460"/>
      <c r="K942" s="460"/>
      <c r="L942" s="460"/>
      <c r="M942" s="460"/>
      <c r="V942" s="85"/>
      <c r="X942" s="84"/>
      <c r="AB942" s="28"/>
      <c r="AC942" s="28"/>
    </row>
    <row r="943">
      <c r="E943" s="1"/>
      <c r="J943" s="460"/>
      <c r="K943" s="460"/>
      <c r="L943" s="460"/>
      <c r="M943" s="460"/>
      <c r="V943" s="85"/>
      <c r="X943" s="84"/>
      <c r="AB943" s="28"/>
      <c r="AC943" s="28"/>
    </row>
    <row r="944">
      <c r="E944" s="1"/>
      <c r="J944" s="460"/>
      <c r="K944" s="460"/>
      <c r="L944" s="460"/>
      <c r="M944" s="460"/>
      <c r="V944" s="85"/>
      <c r="X944" s="84"/>
      <c r="AB944" s="28"/>
      <c r="AC944" s="28"/>
    </row>
    <row r="945">
      <c r="E945" s="1"/>
      <c r="J945" s="460"/>
      <c r="K945" s="460"/>
      <c r="L945" s="460"/>
      <c r="M945" s="460"/>
      <c r="V945" s="85"/>
      <c r="X945" s="84"/>
      <c r="AB945" s="28"/>
      <c r="AC945" s="28"/>
    </row>
    <row r="946">
      <c r="E946" s="1"/>
      <c r="J946" s="460"/>
      <c r="K946" s="460"/>
      <c r="L946" s="460"/>
      <c r="M946" s="460"/>
      <c r="V946" s="85"/>
      <c r="X946" s="84"/>
      <c r="AB946" s="28"/>
      <c r="AC946" s="28"/>
    </row>
    <row r="947">
      <c r="E947" s="1"/>
      <c r="J947" s="460"/>
      <c r="K947" s="460"/>
      <c r="L947" s="460"/>
      <c r="M947" s="460"/>
      <c r="V947" s="85"/>
      <c r="X947" s="84"/>
      <c r="AB947" s="28"/>
      <c r="AC947" s="28"/>
    </row>
    <row r="948">
      <c r="E948" s="1"/>
      <c r="J948" s="460"/>
      <c r="K948" s="460"/>
      <c r="L948" s="460"/>
      <c r="M948" s="460"/>
      <c r="V948" s="85"/>
      <c r="X948" s="84"/>
      <c r="AB948" s="28"/>
      <c r="AC948" s="28"/>
    </row>
    <row r="949">
      <c r="E949" s="1"/>
      <c r="J949" s="460"/>
      <c r="K949" s="460"/>
      <c r="L949" s="460"/>
      <c r="M949" s="460"/>
      <c r="V949" s="85"/>
      <c r="X949" s="84"/>
      <c r="AB949" s="28"/>
      <c r="AC949" s="28"/>
    </row>
    <row r="950">
      <c r="E950" s="1"/>
      <c r="J950" s="460"/>
      <c r="K950" s="460"/>
      <c r="L950" s="460"/>
      <c r="M950" s="460"/>
      <c r="V950" s="85"/>
      <c r="X950" s="84"/>
      <c r="AB950" s="28"/>
      <c r="AC950" s="28"/>
    </row>
    <row r="951">
      <c r="E951" s="1"/>
      <c r="J951" s="460"/>
      <c r="K951" s="460"/>
      <c r="L951" s="460"/>
      <c r="M951" s="460"/>
      <c r="V951" s="85"/>
      <c r="X951" s="84"/>
      <c r="AB951" s="28"/>
      <c r="AC951" s="28"/>
    </row>
    <row r="952">
      <c r="E952" s="1"/>
      <c r="J952" s="460"/>
      <c r="K952" s="460"/>
      <c r="L952" s="460"/>
      <c r="M952" s="460"/>
      <c r="V952" s="85"/>
      <c r="X952" s="84"/>
      <c r="AB952" s="28"/>
      <c r="AC952" s="28"/>
    </row>
    <row r="953">
      <c r="E953" s="1"/>
      <c r="J953" s="460"/>
      <c r="K953" s="460"/>
      <c r="L953" s="460"/>
      <c r="M953" s="460"/>
      <c r="V953" s="85"/>
      <c r="X953" s="84"/>
      <c r="AB953" s="28"/>
      <c r="AC953" s="28"/>
    </row>
    <row r="954">
      <c r="E954" s="1"/>
      <c r="J954" s="460"/>
      <c r="K954" s="460"/>
      <c r="L954" s="460"/>
      <c r="M954" s="460"/>
      <c r="V954" s="85"/>
      <c r="X954" s="84"/>
      <c r="AB954" s="28"/>
      <c r="AC954" s="28"/>
    </row>
    <row r="955">
      <c r="E955" s="1"/>
      <c r="J955" s="460"/>
      <c r="K955" s="460"/>
      <c r="L955" s="460"/>
      <c r="M955" s="460"/>
      <c r="V955" s="85"/>
      <c r="X955" s="84"/>
      <c r="AB955" s="28"/>
      <c r="AC955" s="28"/>
    </row>
    <row r="956">
      <c r="E956" s="1"/>
      <c r="J956" s="460"/>
      <c r="K956" s="460"/>
      <c r="L956" s="460"/>
      <c r="M956" s="460"/>
      <c r="V956" s="85"/>
      <c r="X956" s="84"/>
      <c r="AB956" s="28"/>
      <c r="AC956" s="28"/>
    </row>
    <row r="957">
      <c r="E957" s="1"/>
      <c r="J957" s="460"/>
      <c r="K957" s="460"/>
      <c r="L957" s="460"/>
      <c r="M957" s="460"/>
      <c r="V957" s="85"/>
      <c r="X957" s="84"/>
      <c r="AB957" s="28"/>
      <c r="AC957" s="28"/>
    </row>
    <row r="958">
      <c r="E958" s="1"/>
      <c r="J958" s="460"/>
      <c r="K958" s="460"/>
      <c r="L958" s="460"/>
      <c r="M958" s="460"/>
      <c r="V958" s="85"/>
      <c r="X958" s="84"/>
      <c r="AB958" s="28"/>
      <c r="AC958" s="28"/>
    </row>
    <row r="959">
      <c r="E959" s="1"/>
      <c r="J959" s="460"/>
      <c r="K959" s="460"/>
      <c r="L959" s="460"/>
      <c r="M959" s="460"/>
      <c r="V959" s="85"/>
      <c r="X959" s="84"/>
      <c r="AB959" s="28"/>
      <c r="AC959" s="28"/>
    </row>
    <row r="960">
      <c r="E960" s="1"/>
      <c r="J960" s="460"/>
      <c r="K960" s="460"/>
      <c r="L960" s="460"/>
      <c r="M960" s="460"/>
      <c r="V960" s="85"/>
      <c r="X960" s="84"/>
      <c r="AB960" s="28"/>
      <c r="AC960" s="28"/>
    </row>
    <row r="961">
      <c r="E961" s="1"/>
      <c r="J961" s="460"/>
      <c r="K961" s="460"/>
      <c r="L961" s="460"/>
      <c r="M961" s="460"/>
      <c r="V961" s="85"/>
      <c r="X961" s="84"/>
      <c r="AB961" s="28"/>
      <c r="AC961" s="28"/>
    </row>
    <row r="962">
      <c r="E962" s="1"/>
      <c r="J962" s="460"/>
      <c r="K962" s="460"/>
      <c r="L962" s="460"/>
      <c r="M962" s="460"/>
      <c r="V962" s="85"/>
      <c r="X962" s="84"/>
      <c r="AB962" s="28"/>
      <c r="AC962" s="28"/>
    </row>
    <row r="963">
      <c r="E963" s="1"/>
      <c r="J963" s="460"/>
      <c r="K963" s="460"/>
      <c r="L963" s="460"/>
      <c r="M963" s="460"/>
      <c r="V963" s="85"/>
      <c r="X963" s="84"/>
      <c r="AB963" s="28"/>
      <c r="AC963" s="28"/>
    </row>
    <row r="964">
      <c r="E964" s="1"/>
      <c r="J964" s="460"/>
      <c r="K964" s="460"/>
      <c r="L964" s="460"/>
      <c r="M964" s="460"/>
      <c r="V964" s="85"/>
      <c r="X964" s="84"/>
      <c r="AB964" s="28"/>
      <c r="AC964" s="28"/>
    </row>
    <row r="965">
      <c r="E965" s="1"/>
      <c r="J965" s="460"/>
      <c r="K965" s="460"/>
      <c r="L965" s="460"/>
      <c r="M965" s="460"/>
      <c r="V965" s="85"/>
      <c r="X965" s="84"/>
      <c r="AB965" s="28"/>
      <c r="AC965" s="28"/>
    </row>
    <row r="966">
      <c r="E966" s="1"/>
      <c r="J966" s="460"/>
      <c r="K966" s="460"/>
      <c r="L966" s="460"/>
      <c r="M966" s="460"/>
      <c r="V966" s="85"/>
      <c r="X966" s="84"/>
      <c r="AB966" s="28"/>
      <c r="AC966" s="28"/>
    </row>
    <row r="967">
      <c r="E967" s="1"/>
      <c r="J967" s="460"/>
      <c r="K967" s="460"/>
      <c r="L967" s="460"/>
      <c r="M967" s="460"/>
      <c r="V967" s="85"/>
      <c r="X967" s="84"/>
      <c r="AB967" s="28"/>
      <c r="AC967" s="28"/>
    </row>
    <row r="968">
      <c r="E968" s="1"/>
      <c r="J968" s="460"/>
      <c r="K968" s="460"/>
      <c r="L968" s="460"/>
      <c r="M968" s="460"/>
      <c r="V968" s="85"/>
      <c r="X968" s="84"/>
      <c r="AB968" s="28"/>
      <c r="AC968" s="28"/>
    </row>
    <row r="969">
      <c r="E969" s="1"/>
      <c r="J969" s="460"/>
      <c r="K969" s="460"/>
      <c r="L969" s="460"/>
      <c r="M969" s="460"/>
      <c r="AB969" s="28"/>
      <c r="AC969" s="28"/>
    </row>
    <row r="970">
      <c r="E970" s="1"/>
      <c r="J970" s="460"/>
      <c r="K970" s="460"/>
      <c r="L970" s="460"/>
      <c r="M970" s="460"/>
      <c r="AB970" s="28"/>
      <c r="AC970" s="28"/>
    </row>
    <row r="971">
      <c r="E971" s="1"/>
      <c r="J971" s="460"/>
      <c r="K971" s="460"/>
      <c r="L971" s="460"/>
      <c r="M971" s="460"/>
      <c r="AB971" s="28"/>
      <c r="AC971" s="28"/>
    </row>
    <row r="972">
      <c r="E972" s="1"/>
      <c r="J972" s="460"/>
      <c r="K972" s="460"/>
      <c r="L972" s="460"/>
      <c r="M972" s="460"/>
      <c r="AB972" s="28"/>
      <c r="AC972" s="28"/>
    </row>
    <row r="973">
      <c r="E973" s="1"/>
      <c r="J973" s="460"/>
      <c r="K973" s="460"/>
      <c r="L973" s="460"/>
      <c r="M973" s="460"/>
      <c r="AB973" s="28"/>
      <c r="AC973" s="28"/>
    </row>
    <row r="974">
      <c r="E974" s="1"/>
      <c r="J974" s="460"/>
      <c r="K974" s="460"/>
      <c r="L974" s="460"/>
      <c r="M974" s="460"/>
      <c r="AB974" s="28"/>
      <c r="AC974" s="28"/>
    </row>
    <row r="975">
      <c r="E975" s="1"/>
      <c r="J975" s="460"/>
      <c r="K975" s="460"/>
      <c r="L975" s="460"/>
      <c r="M975" s="460"/>
      <c r="AB975" s="28"/>
      <c r="AC975" s="28"/>
    </row>
    <row r="976">
      <c r="E976" s="1"/>
      <c r="J976" s="460"/>
      <c r="K976" s="460"/>
      <c r="L976" s="460"/>
      <c r="M976" s="460"/>
      <c r="AB976" s="28"/>
      <c r="AC976" s="28"/>
    </row>
    <row r="977">
      <c r="E977" s="1"/>
      <c r="J977" s="460"/>
      <c r="K977" s="460"/>
      <c r="L977" s="460"/>
      <c r="M977" s="460"/>
      <c r="AB977" s="28"/>
      <c r="AC977" s="28"/>
    </row>
    <row r="978">
      <c r="E978" s="1"/>
      <c r="J978" s="460"/>
      <c r="K978" s="460"/>
      <c r="L978" s="460"/>
      <c r="M978" s="460"/>
      <c r="AB978" s="28"/>
      <c r="AC978" s="28"/>
    </row>
    <row r="979">
      <c r="E979" s="1"/>
      <c r="J979" s="460"/>
      <c r="K979" s="460"/>
      <c r="L979" s="460"/>
      <c r="M979" s="460"/>
      <c r="AB979" s="28"/>
      <c r="AC979" s="28"/>
    </row>
    <row r="980">
      <c r="E980" s="1"/>
      <c r="J980" s="460"/>
      <c r="K980" s="460"/>
      <c r="L980" s="460"/>
      <c r="M980" s="460"/>
      <c r="AB980" s="28"/>
      <c r="AC980" s="28"/>
    </row>
    <row r="981">
      <c r="E981" s="1"/>
      <c r="J981" s="460"/>
      <c r="K981" s="460"/>
      <c r="L981" s="460"/>
      <c r="M981" s="460"/>
      <c r="AB981" s="28"/>
      <c r="AC981" s="28"/>
    </row>
    <row r="982">
      <c r="E982" s="1"/>
      <c r="J982" s="460"/>
      <c r="K982" s="460"/>
      <c r="L982" s="460"/>
      <c r="M982" s="460"/>
      <c r="AB982" s="28"/>
      <c r="AC982" s="28"/>
    </row>
    <row r="983">
      <c r="E983" s="1"/>
      <c r="J983" s="460"/>
      <c r="K983" s="460"/>
      <c r="L983" s="460"/>
      <c r="M983" s="460"/>
      <c r="AB983" s="28"/>
      <c r="AC983" s="28"/>
    </row>
    <row r="984">
      <c r="E984" s="1"/>
      <c r="J984" s="460"/>
      <c r="K984" s="460"/>
      <c r="L984" s="460"/>
      <c r="M984" s="460"/>
      <c r="AB984" s="28"/>
      <c r="AC984" s="28"/>
    </row>
    <row r="985">
      <c r="E985" s="1"/>
      <c r="J985" s="460"/>
      <c r="K985" s="460"/>
      <c r="L985" s="460"/>
      <c r="M985" s="460"/>
      <c r="AB985" s="28"/>
      <c r="AC985" s="28"/>
    </row>
    <row r="986">
      <c r="E986" s="1"/>
      <c r="J986" s="460"/>
      <c r="K986" s="460"/>
      <c r="L986" s="460"/>
      <c r="M986" s="460"/>
      <c r="AB986" s="28"/>
      <c r="AC986" s="28"/>
    </row>
    <row r="987">
      <c r="E987" s="1"/>
      <c r="J987" s="460"/>
      <c r="K987" s="460"/>
      <c r="L987" s="460"/>
      <c r="M987" s="460"/>
      <c r="AB987" s="28"/>
      <c r="AC987" s="28"/>
    </row>
    <row r="988">
      <c r="E988" s="1"/>
      <c r="J988" s="460"/>
      <c r="K988" s="460"/>
      <c r="L988" s="460"/>
      <c r="M988" s="460"/>
      <c r="AB988" s="28"/>
      <c r="AC988" s="28"/>
    </row>
    <row r="989">
      <c r="E989" s="1"/>
      <c r="J989" s="460"/>
      <c r="K989" s="460"/>
      <c r="L989" s="460"/>
      <c r="M989" s="460"/>
      <c r="AB989" s="28"/>
      <c r="AC989" s="28"/>
    </row>
    <row r="990">
      <c r="E990" s="1"/>
      <c r="J990" s="460"/>
      <c r="K990" s="460"/>
      <c r="L990" s="460"/>
      <c r="M990" s="460"/>
      <c r="AB990" s="28"/>
      <c r="AC990" s="28"/>
    </row>
    <row r="991">
      <c r="E991" s="1"/>
      <c r="J991" s="460"/>
      <c r="K991" s="460"/>
      <c r="L991" s="460"/>
      <c r="M991" s="460"/>
      <c r="AB991" s="28"/>
      <c r="AC991" s="28"/>
    </row>
    <row r="992">
      <c r="E992" s="1"/>
      <c r="J992" s="460"/>
      <c r="K992" s="460"/>
      <c r="L992" s="460"/>
      <c r="M992" s="460"/>
      <c r="AB992" s="28"/>
      <c r="AC992" s="28"/>
    </row>
    <row r="993">
      <c r="E993" s="1"/>
      <c r="J993" s="460"/>
      <c r="K993" s="460"/>
      <c r="L993" s="460"/>
      <c r="M993" s="460"/>
      <c r="AB993" s="28"/>
      <c r="AC993" s="28"/>
    </row>
    <row r="994">
      <c r="E994" s="1"/>
      <c r="J994" s="460"/>
      <c r="K994" s="460"/>
      <c r="L994" s="460"/>
      <c r="M994" s="460"/>
      <c r="AB994" s="28"/>
      <c r="AC994" s="28"/>
    </row>
  </sheetData>
  <mergeCells count="19">
    <mergeCell ref="V6:AB6"/>
    <mergeCell ref="AC6:AE6"/>
    <mergeCell ref="A1:U1"/>
    <mergeCell ref="V1:X1"/>
    <mergeCell ref="Y1:AE1"/>
    <mergeCell ref="A4:G4"/>
    <mergeCell ref="A6:G6"/>
    <mergeCell ref="H6:N6"/>
    <mergeCell ref="O6:U6"/>
    <mergeCell ref="O11:U11"/>
    <mergeCell ref="V11:AB11"/>
    <mergeCell ref="A9:G9"/>
    <mergeCell ref="H9:N9"/>
    <mergeCell ref="O9:U9"/>
    <mergeCell ref="V9:AB9"/>
    <mergeCell ref="AC9:AE9"/>
    <mergeCell ref="A11:G11"/>
    <mergeCell ref="H11:N11"/>
    <mergeCell ref="AC11:AE11"/>
  </mergeCells>
  <conditionalFormatting sqref="A1:AE994">
    <cfRule type="cellIs" dxfId="3" priority="1" operator="equal">
      <formula>"Yes"</formula>
    </cfRule>
  </conditionalFormatting>
  <conditionalFormatting sqref="W4:W5 Y5:Z5 W7:W8 Y7:Z8 W10 Y10:Z10 W12:W994 Y12:Z994">
    <cfRule type="notContainsBlanks" dxfId="3" priority="2">
      <formula>LEN(TRIM(W4))&gt;0</formula>
    </cfRule>
  </conditionalFormatting>
  <conditionalFormatting sqref="AD3 V5:V994 AC6">
    <cfRule type="notContainsBlanks" dxfId="3" priority="3">
      <formula>LEN(TRIM(AD3))&gt;0</formula>
    </cfRule>
  </conditionalFormatting>
  <conditionalFormatting sqref="X5 X7:X8 X10 X12:X994">
    <cfRule type="cellIs" dxfId="7" priority="4" operator="equal">
      <formula>"Pending"</formula>
    </cfRule>
  </conditionalFormatting>
  <conditionalFormatting sqref="AE3:AE5 AE7:AE8 AE10 AE12:AE994">
    <cfRule type="cellIs" dxfId="3" priority="5" operator="equal">
      <formula>"Unpacked"</formula>
    </cfRule>
  </conditionalFormatting>
  <conditionalFormatting sqref="AE3:AE5 AE7:AE8 AE10 AE12:AE994">
    <cfRule type="cellIs" dxfId="1" priority="6" operator="equal">
      <formula>"Apt booked with Steven"</formula>
    </cfRule>
  </conditionalFormatting>
  <conditionalFormatting sqref="AE3:AE5 AE7:AE8 AE10 AE12:AE994">
    <cfRule type="cellIs" dxfId="2" priority="7" operator="equal">
      <formula>"Ordered"</formula>
    </cfRule>
  </conditionalFormatting>
  <conditionalFormatting sqref="AE3:AE5 AE7:AE8 AE10 AE12:AE994">
    <cfRule type="cellIs" dxfId="2" priority="8" operator="equal">
      <formula>"Received by S&amp;R"</formula>
    </cfRule>
  </conditionalFormatting>
  <hyperlinks>
    <hyperlink r:id="rId1" ref="L2"/>
    <hyperlink r:id="rId2" ref="Z3"/>
    <hyperlink r:id="rId3" ref="P5"/>
    <hyperlink r:id="rId4" ref="P7"/>
    <hyperlink r:id="rId5" ref="P8"/>
    <hyperlink r:id="rId6" ref="P10"/>
    <hyperlink r:id="rId7" ref="P12"/>
    <hyperlink r:id="rId8" ref="P13"/>
    <hyperlink r:id="rId9" ref="P15"/>
    <hyperlink r:id="rId10" ref="P16"/>
  </hyperlinks>
  <drawing r:id="rId11"/>
  <tableParts count="4">
    <tablePart r:id="rId16"/>
    <tablePart r:id="rId17"/>
    <tablePart r:id="rId18"/>
    <tablePart r:id="rId1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9.38"/>
    <col customWidth="1" min="3" max="3" width="35.63"/>
    <col customWidth="1" min="4" max="4" width="60.25"/>
    <col customWidth="1" min="5" max="5" width="28.63"/>
    <col customWidth="1" min="10" max="10" width="15.88"/>
    <col customWidth="1" min="11" max="12" width="17.13"/>
    <col customWidth="1" min="13" max="13" width="13.88"/>
    <col customWidth="1" min="14" max="14" width="16.13"/>
    <col customWidth="1" min="15" max="15" width="15.5"/>
    <col customWidth="1" min="16" max="16" width="17.75"/>
    <col customWidth="1" min="17" max="17" width="25.5"/>
    <col customWidth="1" min="18" max="18" width="17.13"/>
    <col customWidth="1" min="19" max="19" width="17.5"/>
    <col customWidth="1" min="20" max="20" width="18.13"/>
    <col customWidth="1" min="21" max="21" width="23.13"/>
    <col customWidth="1" min="22" max="22" width="15.25"/>
    <col customWidth="1" min="23" max="23" width="15.38"/>
    <col customWidth="1" min="28" max="28" width="15.5"/>
    <col customWidth="1" min="29" max="29" width="14.63"/>
    <col customWidth="1" min="30" max="30" width="13.38"/>
    <col customWidth="1" min="31" max="31" width="14.13"/>
    <col customWidth="1" min="32" max="32" width="22.75"/>
  </cols>
  <sheetData>
    <row r="1">
      <c r="A1" s="170" t="s">
        <v>1214</v>
      </c>
      <c r="V1" s="603" t="s">
        <v>601</v>
      </c>
      <c r="X1" s="176"/>
      <c r="Y1" s="174"/>
      <c r="Z1" s="175" t="s">
        <v>602</v>
      </c>
      <c r="AF1" s="176"/>
    </row>
    <row r="2">
      <c r="A2" s="177" t="s">
        <v>603</v>
      </c>
      <c r="B2" s="178" t="s">
        <v>604</v>
      </c>
      <c r="C2" s="177" t="s">
        <v>605</v>
      </c>
      <c r="D2" s="178" t="s">
        <v>1215</v>
      </c>
      <c r="E2" s="177" t="s">
        <v>607</v>
      </c>
      <c r="F2" s="178" t="s">
        <v>608</v>
      </c>
      <c r="G2" s="177" t="s">
        <v>609</v>
      </c>
      <c r="H2" s="178" t="s">
        <v>610</v>
      </c>
      <c r="I2" s="178" t="s">
        <v>611</v>
      </c>
      <c r="J2" s="179" t="s">
        <v>612</v>
      </c>
      <c r="K2" s="179" t="s">
        <v>613</v>
      </c>
      <c r="L2" s="180" t="s">
        <v>1763</v>
      </c>
      <c r="M2" s="181" t="s">
        <v>615</v>
      </c>
      <c r="N2" s="177" t="s">
        <v>616</v>
      </c>
      <c r="O2" s="177" t="s">
        <v>617</v>
      </c>
      <c r="P2" s="177" t="s">
        <v>618</v>
      </c>
      <c r="Q2" s="178" t="s">
        <v>619</v>
      </c>
      <c r="R2" s="178" t="s">
        <v>620</v>
      </c>
      <c r="S2" s="178" t="s">
        <v>621</v>
      </c>
      <c r="T2" s="178" t="s">
        <v>622</v>
      </c>
      <c r="U2" s="177" t="s">
        <v>623</v>
      </c>
      <c r="V2" s="861" t="s">
        <v>624</v>
      </c>
      <c r="W2" s="861" t="s">
        <v>624</v>
      </c>
      <c r="X2" s="863" t="s">
        <v>626</v>
      </c>
      <c r="Y2" s="184"/>
      <c r="Z2" s="184" t="s">
        <v>628</v>
      </c>
      <c r="AA2" s="184" t="s">
        <v>629</v>
      </c>
      <c r="AB2" s="184" t="s">
        <v>630</v>
      </c>
      <c r="AC2" s="185" t="s">
        <v>631</v>
      </c>
      <c r="AD2" s="185" t="s">
        <v>632</v>
      </c>
      <c r="AE2" s="184" t="s">
        <v>633</v>
      </c>
      <c r="AF2" s="184" t="s">
        <v>634</v>
      </c>
      <c r="AG2" s="1"/>
      <c r="AH2" s="1"/>
      <c r="AI2" s="1"/>
      <c r="AJ2" s="1"/>
      <c r="AK2" s="1"/>
      <c r="AL2" s="1"/>
      <c r="AM2" s="1"/>
      <c r="AN2" s="1"/>
      <c r="AO2" s="1"/>
    </row>
    <row r="3">
      <c r="A3" s="186" t="s">
        <v>635</v>
      </c>
      <c r="B3" s="186" t="s">
        <v>636</v>
      </c>
      <c r="C3" s="186" t="s">
        <v>637</v>
      </c>
      <c r="D3" s="186" t="s">
        <v>638</v>
      </c>
      <c r="E3" s="187" t="s">
        <v>639</v>
      </c>
      <c r="F3" s="186" t="s">
        <v>640</v>
      </c>
      <c r="G3" s="186">
        <v>1.0</v>
      </c>
      <c r="H3" s="186"/>
      <c r="I3" s="186">
        <v>1.0</v>
      </c>
      <c r="J3" s="188">
        <v>100.0</v>
      </c>
      <c r="K3" s="188">
        <v>0.0</v>
      </c>
      <c r="L3" s="188">
        <v>0.0</v>
      </c>
      <c r="M3" s="189">
        <f>J3*I3+K3</f>
        <v>100</v>
      </c>
      <c r="N3" s="186" t="s">
        <v>641</v>
      </c>
      <c r="O3" s="186" t="s">
        <v>642</v>
      </c>
      <c r="P3" s="190"/>
      <c r="Q3" s="186" t="s">
        <v>643</v>
      </c>
      <c r="R3" s="186" t="s">
        <v>644</v>
      </c>
      <c r="S3" s="186" t="s">
        <v>645</v>
      </c>
      <c r="T3" s="186" t="s">
        <v>646</v>
      </c>
      <c r="U3" s="191" t="s">
        <v>647</v>
      </c>
      <c r="V3" s="864" t="s">
        <v>1698</v>
      </c>
      <c r="W3" s="417" t="s">
        <v>871</v>
      </c>
      <c r="X3" s="608" t="s">
        <v>650</v>
      </c>
      <c r="Y3" s="194"/>
      <c r="Z3" s="194" t="s">
        <v>652</v>
      </c>
      <c r="AA3" s="195" t="s">
        <v>653</v>
      </c>
      <c r="AB3" s="196" t="s">
        <v>650</v>
      </c>
      <c r="AC3" s="197" t="s">
        <v>642</v>
      </c>
      <c r="AD3" s="197" t="s">
        <v>642</v>
      </c>
      <c r="AE3" s="186" t="s">
        <v>654</v>
      </c>
      <c r="AF3" s="196" t="s">
        <v>655</v>
      </c>
      <c r="AG3" s="198"/>
      <c r="AH3" s="198"/>
      <c r="AI3" s="198"/>
      <c r="AJ3" s="198"/>
      <c r="AK3" s="198"/>
      <c r="AL3" s="198"/>
      <c r="AM3" s="198"/>
      <c r="AN3" s="198"/>
      <c r="AO3" s="198"/>
    </row>
    <row r="4">
      <c r="A4" s="199" t="s">
        <v>1764</v>
      </c>
      <c r="H4" s="865"/>
      <c r="I4" s="865"/>
      <c r="J4" s="866"/>
      <c r="K4" s="866"/>
      <c r="L4" s="866"/>
      <c r="M4" s="867"/>
      <c r="N4" s="865"/>
      <c r="O4" s="204"/>
      <c r="P4" s="421"/>
      <c r="Q4" s="421"/>
      <c r="R4" s="421"/>
      <c r="S4" s="421"/>
      <c r="T4" s="421"/>
      <c r="U4" s="204"/>
      <c r="V4" s="470"/>
      <c r="W4" s="200"/>
      <c r="X4" s="464"/>
      <c r="Y4" s="207"/>
      <c r="Z4" s="207"/>
      <c r="AA4" s="207"/>
      <c r="AB4" s="207"/>
      <c r="AC4" s="208"/>
      <c r="AD4" s="208"/>
      <c r="AE4" s="207"/>
      <c r="AF4" s="207"/>
      <c r="AG4" s="207"/>
      <c r="AH4" s="207"/>
      <c r="AI4" s="207"/>
      <c r="AJ4" s="207"/>
      <c r="AK4" s="207"/>
      <c r="AL4" s="207"/>
      <c r="AM4" s="207"/>
      <c r="AN4" s="207"/>
      <c r="AO4" s="207"/>
    </row>
    <row r="5">
      <c r="A5" s="744"/>
      <c r="B5" s="744"/>
      <c r="C5" s="929"/>
      <c r="D5" s="744"/>
      <c r="E5" s="780"/>
      <c r="F5" s="744"/>
      <c r="G5" s="930"/>
      <c r="H5" s="744"/>
      <c r="I5" s="744"/>
      <c r="J5" s="781"/>
      <c r="K5" s="781"/>
      <c r="L5" s="781"/>
      <c r="M5" s="931"/>
      <c r="N5" s="744"/>
      <c r="O5" s="744"/>
      <c r="P5" s="755"/>
      <c r="Q5" s="755"/>
      <c r="R5" s="755"/>
      <c r="S5" s="932"/>
      <c r="T5" s="932"/>
      <c r="U5" s="753"/>
      <c r="V5" s="754"/>
      <c r="W5" s="744"/>
      <c r="X5" s="756"/>
      <c r="Y5" s="757"/>
      <c r="Z5" s="757"/>
      <c r="AA5" s="757"/>
      <c r="AB5" s="757"/>
      <c r="AC5" s="772"/>
      <c r="AD5" s="772"/>
      <c r="AE5" s="757"/>
      <c r="AF5" s="757"/>
    </row>
    <row r="6">
      <c r="A6" s="744"/>
      <c r="B6" s="744"/>
      <c r="C6" s="757"/>
      <c r="D6" s="744"/>
      <c r="E6" s="780"/>
      <c r="F6" s="744"/>
      <c r="G6" s="930"/>
      <c r="H6" s="744"/>
      <c r="I6" s="744"/>
      <c r="J6" s="781"/>
      <c r="K6" s="781"/>
      <c r="L6" s="781"/>
      <c r="M6" s="781"/>
      <c r="N6" s="744"/>
      <c r="O6" s="933"/>
      <c r="P6" s="755"/>
      <c r="Q6" s="755"/>
      <c r="R6" s="755"/>
      <c r="S6" s="932"/>
      <c r="T6" s="932"/>
      <c r="U6" s="753"/>
      <c r="V6" s="754"/>
      <c r="W6" s="744"/>
      <c r="X6" s="756"/>
      <c r="Y6" s="757"/>
      <c r="Z6" s="757"/>
      <c r="AA6" s="757"/>
      <c r="AB6" s="757"/>
      <c r="AC6" s="772"/>
      <c r="AD6" s="772"/>
      <c r="AE6" s="757"/>
      <c r="AF6" s="757"/>
    </row>
    <row r="7">
      <c r="A7" s="744"/>
      <c r="B7" s="744"/>
      <c r="C7" s="757"/>
      <c r="D7" s="744"/>
      <c r="E7" s="780"/>
      <c r="F7" s="744"/>
      <c r="G7" s="930"/>
      <c r="H7" s="744"/>
      <c r="I7" s="744"/>
      <c r="J7" s="781"/>
      <c r="K7" s="781"/>
      <c r="L7" s="781"/>
      <c r="M7" s="781"/>
      <c r="N7" s="744"/>
      <c r="O7" s="933"/>
      <c r="P7" s="755"/>
      <c r="Q7" s="755"/>
      <c r="R7" s="755"/>
      <c r="S7" s="932"/>
      <c r="T7" s="932"/>
      <c r="U7" s="753"/>
      <c r="V7" s="754"/>
      <c r="W7" s="744"/>
      <c r="X7" s="756"/>
      <c r="Y7" s="757"/>
      <c r="Z7" s="757"/>
      <c r="AA7" s="757"/>
      <c r="AB7" s="757"/>
      <c r="AC7" s="772"/>
      <c r="AD7" s="772"/>
      <c r="AE7" s="757"/>
      <c r="AF7" s="757"/>
    </row>
    <row r="8">
      <c r="A8" s="744"/>
      <c r="B8" s="744"/>
      <c r="C8" s="757"/>
      <c r="D8" s="744"/>
      <c r="E8" s="780"/>
      <c r="F8" s="744"/>
      <c r="G8" s="930"/>
      <c r="H8" s="744"/>
      <c r="I8" s="744"/>
      <c r="J8" s="781"/>
      <c r="K8" s="781"/>
      <c r="L8" s="781"/>
      <c r="M8" s="931"/>
      <c r="N8" s="744"/>
      <c r="O8" s="744"/>
      <c r="P8" s="755"/>
      <c r="Q8" s="755"/>
      <c r="R8" s="755"/>
      <c r="S8" s="932"/>
      <c r="T8" s="932"/>
      <c r="U8" s="753"/>
      <c r="V8" s="754"/>
      <c r="W8" s="744"/>
      <c r="X8" s="756"/>
      <c r="Y8" s="757"/>
      <c r="Z8" s="757"/>
      <c r="AA8" s="757"/>
      <c r="AB8" s="757"/>
      <c r="AC8" s="772"/>
      <c r="AD8" s="772"/>
      <c r="AE8" s="757"/>
      <c r="AF8" s="757"/>
    </row>
    <row r="9">
      <c r="A9" s="744"/>
      <c r="B9" s="744"/>
      <c r="C9" s="757"/>
      <c r="D9" s="744"/>
      <c r="E9" s="780"/>
      <c r="F9" s="744"/>
      <c r="G9" s="930"/>
      <c r="H9" s="744"/>
      <c r="I9" s="744"/>
      <c r="J9" s="781"/>
      <c r="K9" s="781"/>
      <c r="L9" s="781"/>
      <c r="M9" s="931"/>
      <c r="N9" s="744"/>
      <c r="O9" s="744"/>
      <c r="P9" s="755"/>
      <c r="Q9" s="755"/>
      <c r="R9" s="755"/>
      <c r="S9" s="932"/>
      <c r="T9" s="932"/>
      <c r="U9" s="753"/>
      <c r="V9" s="754"/>
      <c r="W9" s="744"/>
      <c r="X9" s="756"/>
      <c r="Y9" s="757"/>
      <c r="Z9" s="757"/>
      <c r="AA9" s="757"/>
      <c r="AB9" s="757"/>
      <c r="AC9" s="772"/>
      <c r="AD9" s="772"/>
      <c r="AE9" s="757"/>
      <c r="AF9" s="757"/>
    </row>
    <row r="10">
      <c r="A10" s="744"/>
      <c r="B10" s="744"/>
      <c r="C10" s="757"/>
      <c r="D10" s="744"/>
      <c r="E10" s="780"/>
      <c r="F10" s="744"/>
      <c r="G10" s="930"/>
      <c r="H10" s="744"/>
      <c r="I10" s="744"/>
      <c r="J10" s="781"/>
      <c r="K10" s="781"/>
      <c r="L10" s="781"/>
      <c r="M10" s="931"/>
      <c r="N10" s="744"/>
      <c r="O10" s="744"/>
      <c r="P10" s="755"/>
      <c r="Q10" s="755"/>
      <c r="R10" s="755"/>
      <c r="S10" s="932"/>
      <c r="T10" s="932"/>
      <c r="U10" s="753"/>
      <c r="V10" s="754"/>
      <c r="W10" s="744"/>
      <c r="X10" s="756"/>
      <c r="Y10" s="757"/>
      <c r="Z10" s="757"/>
      <c r="AA10" s="757"/>
      <c r="AB10" s="757"/>
      <c r="AC10" s="772"/>
      <c r="AD10" s="772"/>
      <c r="AE10" s="757"/>
      <c r="AF10" s="757"/>
    </row>
    <row r="11">
      <c r="A11" s="744"/>
      <c r="B11" s="744"/>
      <c r="C11" s="757"/>
      <c r="D11" s="744"/>
      <c r="E11" s="780"/>
      <c r="F11" s="744"/>
      <c r="G11" s="930"/>
      <c r="H11" s="744"/>
      <c r="I11" s="744"/>
      <c r="J11" s="781"/>
      <c r="K11" s="781"/>
      <c r="L11" s="781"/>
      <c r="M11" s="931"/>
      <c r="N11" s="744"/>
      <c r="O11" s="744"/>
      <c r="P11" s="755"/>
      <c r="Q11" s="755"/>
      <c r="R11" s="755"/>
      <c r="S11" s="932"/>
      <c r="T11" s="932"/>
      <c r="U11" s="753"/>
      <c r="V11" s="754"/>
      <c r="W11" s="744"/>
      <c r="X11" s="756"/>
      <c r="Y11" s="757"/>
      <c r="Z11" s="757"/>
      <c r="AA11" s="757"/>
      <c r="AB11" s="757"/>
      <c r="AC11" s="772"/>
      <c r="AD11" s="772"/>
      <c r="AE11" s="757"/>
      <c r="AF11" s="757"/>
    </row>
    <row r="12">
      <c r="A12" s="744"/>
      <c r="B12" s="744"/>
      <c r="C12" s="757"/>
      <c r="D12" s="744"/>
      <c r="E12" s="780"/>
      <c r="F12" s="744"/>
      <c r="G12" s="930"/>
      <c r="H12" s="744"/>
      <c r="I12" s="744"/>
      <c r="J12" s="781"/>
      <c r="K12" s="781"/>
      <c r="L12" s="781"/>
      <c r="M12" s="931"/>
      <c r="N12" s="744"/>
      <c r="O12" s="744"/>
      <c r="P12" s="755"/>
      <c r="Q12" s="755"/>
      <c r="R12" s="755"/>
      <c r="S12" s="932"/>
      <c r="T12" s="932"/>
      <c r="U12" s="753"/>
      <c r="V12" s="754"/>
      <c r="W12" s="744"/>
      <c r="X12" s="756"/>
      <c r="Y12" s="757"/>
      <c r="Z12" s="757"/>
      <c r="AA12" s="757"/>
      <c r="AB12" s="757"/>
      <c r="AC12" s="772"/>
      <c r="AD12" s="772"/>
      <c r="AE12" s="757"/>
      <c r="AF12" s="757"/>
    </row>
    <row r="13">
      <c r="A13" s="744"/>
      <c r="B13" s="744"/>
      <c r="C13" s="757"/>
      <c r="D13" s="744"/>
      <c r="E13" s="780"/>
      <c r="F13" s="744"/>
      <c r="G13" s="930"/>
      <c r="H13" s="744"/>
      <c r="I13" s="744"/>
      <c r="J13" s="781"/>
      <c r="K13" s="781"/>
      <c r="L13" s="781"/>
      <c r="M13" s="931"/>
      <c r="N13" s="744"/>
      <c r="O13" s="744"/>
      <c r="P13" s="755"/>
      <c r="Q13" s="755"/>
      <c r="R13" s="755"/>
      <c r="S13" s="932"/>
      <c r="T13" s="932"/>
      <c r="U13" s="753"/>
      <c r="V13" s="754"/>
      <c r="W13" s="744"/>
      <c r="X13" s="756"/>
      <c r="Y13" s="757"/>
      <c r="Z13" s="757"/>
      <c r="AA13" s="757"/>
      <c r="AB13" s="757"/>
      <c r="AC13" s="772"/>
      <c r="AD13" s="772"/>
      <c r="AE13" s="757"/>
      <c r="AF13" s="757"/>
    </row>
    <row r="14">
      <c r="A14" s="744"/>
      <c r="B14" s="744"/>
      <c r="C14" s="745"/>
      <c r="D14" s="744"/>
      <c r="E14" s="780"/>
      <c r="F14" s="744"/>
      <c r="G14" s="930"/>
      <c r="H14" s="744"/>
      <c r="I14" s="744"/>
      <c r="J14" s="781"/>
      <c r="K14" s="781"/>
      <c r="L14" s="781"/>
      <c r="M14" s="931"/>
      <c r="N14" s="744"/>
      <c r="O14" s="934"/>
      <c r="P14" s="755"/>
      <c r="Q14" s="755"/>
      <c r="R14" s="755"/>
      <c r="S14" s="932"/>
      <c r="T14" s="932"/>
      <c r="U14" s="753"/>
      <c r="V14" s="754"/>
      <c r="W14" s="745"/>
      <c r="X14" s="756"/>
      <c r="Y14" s="757"/>
      <c r="Z14" s="757"/>
      <c r="AA14" s="757"/>
      <c r="AB14" s="757"/>
      <c r="AC14" s="772"/>
      <c r="AD14" s="772"/>
      <c r="AE14" s="757"/>
      <c r="AF14" s="745"/>
      <c r="AG14" s="447"/>
      <c r="AH14" s="447"/>
      <c r="AI14" s="447"/>
      <c r="AJ14" s="447"/>
      <c r="AK14" s="447"/>
      <c r="AL14" s="447"/>
      <c r="AM14" s="447"/>
      <c r="AN14" s="447"/>
      <c r="AO14" s="447"/>
    </row>
    <row r="15">
      <c r="A15" s="744"/>
      <c r="B15" s="744"/>
      <c r="C15" s="757"/>
      <c r="D15" s="744"/>
      <c r="E15" s="780"/>
      <c r="F15" s="744"/>
      <c r="G15" s="930"/>
      <c r="H15" s="744"/>
      <c r="I15" s="744"/>
      <c r="J15" s="781"/>
      <c r="K15" s="781"/>
      <c r="L15" s="781"/>
      <c r="M15" s="931"/>
      <c r="N15" s="744"/>
      <c r="O15" s="744"/>
      <c r="P15" s="755"/>
      <c r="Q15" s="755"/>
      <c r="R15" s="755"/>
      <c r="S15" s="932"/>
      <c r="T15" s="932"/>
      <c r="U15" s="753"/>
      <c r="V15" s="754"/>
      <c r="W15" s="744"/>
      <c r="X15" s="756"/>
      <c r="Y15" s="757"/>
      <c r="Z15" s="757"/>
      <c r="AA15" s="757"/>
      <c r="AB15" s="757"/>
      <c r="AC15" s="772"/>
      <c r="AD15" s="772"/>
      <c r="AE15" s="757"/>
      <c r="AF15" s="757"/>
    </row>
    <row r="16">
      <c r="A16" s="744"/>
      <c r="B16" s="744"/>
      <c r="C16" s="757"/>
      <c r="D16" s="744"/>
      <c r="E16" s="780"/>
      <c r="F16" s="744"/>
      <c r="G16" s="930"/>
      <c r="H16" s="744"/>
      <c r="I16" s="744"/>
      <c r="J16" s="781"/>
      <c r="K16" s="781"/>
      <c r="L16" s="781"/>
      <c r="M16" s="931"/>
      <c r="N16" s="744"/>
      <c r="O16" s="744"/>
      <c r="P16" s="755"/>
      <c r="Q16" s="755"/>
      <c r="R16" s="755"/>
      <c r="S16" s="932"/>
      <c r="T16" s="932"/>
      <c r="U16" s="753"/>
      <c r="V16" s="754"/>
      <c r="W16" s="744"/>
      <c r="X16" s="756"/>
      <c r="Y16" s="757"/>
      <c r="Z16" s="757"/>
      <c r="AA16" s="757"/>
      <c r="AB16" s="757"/>
      <c r="AC16" s="772"/>
      <c r="AD16" s="772"/>
      <c r="AE16" s="757"/>
      <c r="AF16" s="757"/>
    </row>
    <row r="17">
      <c r="A17" s="744"/>
      <c r="B17" s="744"/>
      <c r="C17" s="757"/>
      <c r="D17" s="744"/>
      <c r="E17" s="780"/>
      <c r="F17" s="744"/>
      <c r="G17" s="930"/>
      <c r="H17" s="744"/>
      <c r="I17" s="744"/>
      <c r="J17" s="781"/>
      <c r="K17" s="781"/>
      <c r="L17" s="781"/>
      <c r="M17" s="931"/>
      <c r="N17" s="744"/>
      <c r="O17" s="934"/>
      <c r="P17" s="755"/>
      <c r="Q17" s="755"/>
      <c r="R17" s="755"/>
      <c r="S17" s="932"/>
      <c r="T17" s="932"/>
      <c r="U17" s="753"/>
      <c r="V17" s="754"/>
      <c r="W17" s="744"/>
      <c r="X17" s="756"/>
      <c r="Y17" s="757"/>
      <c r="Z17" s="757"/>
      <c r="AA17" s="757"/>
      <c r="AB17" s="757"/>
      <c r="AC17" s="772"/>
      <c r="AD17" s="772"/>
      <c r="AE17" s="757"/>
      <c r="AF17" s="757"/>
    </row>
    <row r="18">
      <c r="A18" s="744"/>
      <c r="B18" s="744"/>
      <c r="C18" s="757"/>
      <c r="D18" s="935"/>
      <c r="E18" s="780"/>
      <c r="F18" s="744"/>
      <c r="G18" s="930"/>
      <c r="H18" s="744"/>
      <c r="I18" s="744"/>
      <c r="J18" s="781"/>
      <c r="K18" s="781"/>
      <c r="L18" s="781"/>
      <c r="M18" s="931"/>
      <c r="N18" s="744"/>
      <c r="O18" s="934"/>
      <c r="P18" s="755"/>
      <c r="Q18" s="755"/>
      <c r="R18" s="755"/>
      <c r="S18" s="932"/>
      <c r="T18" s="932"/>
      <c r="U18" s="753"/>
      <c r="V18" s="754"/>
      <c r="W18" s="744"/>
      <c r="X18" s="756"/>
      <c r="Y18" s="757"/>
      <c r="Z18" s="757"/>
      <c r="AA18" s="757"/>
      <c r="AB18" s="757"/>
      <c r="AC18" s="772"/>
      <c r="AD18" s="772"/>
      <c r="AE18" s="757"/>
      <c r="AF18" s="757"/>
    </row>
    <row r="19">
      <c r="A19" s="744"/>
      <c r="B19" s="744"/>
      <c r="C19" s="757"/>
      <c r="D19" s="744"/>
      <c r="E19" s="780"/>
      <c r="F19" s="744"/>
      <c r="G19" s="930"/>
      <c r="H19" s="744"/>
      <c r="I19" s="744"/>
      <c r="J19" s="781"/>
      <c r="K19" s="781"/>
      <c r="L19" s="781"/>
      <c r="M19" s="931"/>
      <c r="N19" s="744"/>
      <c r="O19" s="936"/>
      <c r="P19" s="755"/>
      <c r="Q19" s="755"/>
      <c r="R19" s="755"/>
      <c r="S19" s="932"/>
      <c r="T19" s="932"/>
      <c r="U19" s="753"/>
      <c r="V19" s="754"/>
      <c r="W19" s="744"/>
      <c r="X19" s="756"/>
      <c r="Y19" s="757"/>
      <c r="Z19" s="757"/>
      <c r="AA19" s="757"/>
      <c r="AB19" s="757"/>
      <c r="AC19" s="772"/>
      <c r="AD19" s="772"/>
      <c r="AE19" s="757"/>
      <c r="AF19" s="757"/>
    </row>
    <row r="20">
      <c r="A20" s="744"/>
      <c r="B20" s="744"/>
      <c r="C20" s="757"/>
      <c r="D20" s="744"/>
      <c r="E20" s="780"/>
      <c r="F20" s="744"/>
      <c r="G20" s="930"/>
      <c r="H20" s="744"/>
      <c r="I20" s="744"/>
      <c r="J20" s="781"/>
      <c r="K20" s="781"/>
      <c r="L20" s="781"/>
      <c r="M20" s="931"/>
      <c r="N20" s="744"/>
      <c r="O20" s="934"/>
      <c r="P20" s="755"/>
      <c r="Q20" s="755"/>
      <c r="R20" s="755"/>
      <c r="S20" s="932"/>
      <c r="T20" s="932"/>
      <c r="U20" s="744"/>
      <c r="V20" s="754"/>
      <c r="W20" s="744"/>
      <c r="X20" s="756"/>
      <c r="Y20" s="757"/>
      <c r="Z20" s="757"/>
      <c r="AA20" s="757"/>
      <c r="AB20" s="757"/>
      <c r="AC20" s="772"/>
      <c r="AD20" s="772"/>
      <c r="AE20" s="757"/>
      <c r="AF20" s="757"/>
    </row>
    <row r="21">
      <c r="A21" s="744"/>
      <c r="B21" s="744"/>
      <c r="C21" s="757"/>
      <c r="D21" s="744"/>
      <c r="E21" s="780"/>
      <c r="F21" s="744"/>
      <c r="G21" s="930"/>
      <c r="H21" s="744"/>
      <c r="I21" s="744"/>
      <c r="J21" s="781"/>
      <c r="K21" s="781"/>
      <c r="L21" s="781"/>
      <c r="M21" s="931"/>
      <c r="N21" s="744"/>
      <c r="O21" s="934"/>
      <c r="P21" s="755"/>
      <c r="Q21" s="755"/>
      <c r="R21" s="757"/>
      <c r="S21" s="757"/>
      <c r="T21" s="757"/>
      <c r="U21" s="757"/>
      <c r="V21" s="757"/>
      <c r="W21" s="757"/>
      <c r="X21" s="757"/>
      <c r="Y21" s="757"/>
      <c r="Z21" s="757"/>
      <c r="AA21" s="757"/>
      <c r="AB21" s="757"/>
      <c r="AC21" s="757"/>
      <c r="AD21" s="757"/>
      <c r="AE21" s="757"/>
      <c r="AF21" s="757"/>
    </row>
    <row r="22">
      <c r="A22" s="744"/>
      <c r="B22" s="744"/>
      <c r="C22" s="757"/>
      <c r="D22" s="744"/>
      <c r="E22" s="780"/>
      <c r="F22" s="744"/>
      <c r="G22" s="930"/>
      <c r="H22" s="744"/>
      <c r="I22" s="744"/>
      <c r="J22" s="781"/>
      <c r="K22" s="781"/>
      <c r="L22" s="781"/>
      <c r="M22" s="931"/>
      <c r="N22" s="744"/>
      <c r="O22" s="937"/>
      <c r="P22" s="755"/>
      <c r="Q22" s="755"/>
      <c r="R22" s="755"/>
      <c r="S22" s="932"/>
      <c r="T22" s="932"/>
      <c r="U22" s="753"/>
      <c r="V22" s="754"/>
      <c r="W22" s="744"/>
      <c r="X22" s="756"/>
      <c r="Y22" s="757"/>
      <c r="Z22" s="757"/>
      <c r="AA22" s="757"/>
      <c r="AB22" s="757"/>
      <c r="AC22" s="772"/>
      <c r="AD22" s="772"/>
      <c r="AE22" s="757"/>
      <c r="AF22" s="757"/>
    </row>
    <row r="23">
      <c r="A23" s="744"/>
      <c r="B23" s="744"/>
      <c r="C23" s="757"/>
      <c r="D23" s="744"/>
      <c r="E23" s="780"/>
      <c r="F23" s="744"/>
      <c r="G23" s="930"/>
      <c r="H23" s="744"/>
      <c r="I23" s="744"/>
      <c r="J23" s="781"/>
      <c r="K23" s="781"/>
      <c r="L23" s="781"/>
      <c r="M23" s="931"/>
      <c r="N23" s="744"/>
      <c r="O23" s="937"/>
      <c r="P23" s="755"/>
      <c r="Q23" s="755"/>
      <c r="R23" s="755"/>
      <c r="S23" s="932"/>
      <c r="T23" s="932"/>
      <c r="U23" s="744"/>
      <c r="V23" s="754"/>
      <c r="W23" s="744"/>
      <c r="X23" s="756"/>
      <c r="Y23" s="757"/>
      <c r="Z23" s="757"/>
      <c r="AA23" s="757"/>
      <c r="AB23" s="757"/>
      <c r="AC23" s="772"/>
      <c r="AD23" s="772"/>
      <c r="AE23" s="757"/>
      <c r="AF23" s="757"/>
    </row>
    <row r="24">
      <c r="A24" s="744"/>
      <c r="B24" s="744"/>
      <c r="C24" s="757"/>
      <c r="D24" s="744"/>
      <c r="E24" s="780"/>
      <c r="F24" s="744"/>
      <c r="G24" s="930"/>
      <c r="H24" s="744"/>
      <c r="I24" s="744"/>
      <c r="J24" s="781"/>
      <c r="K24" s="781"/>
      <c r="L24" s="781"/>
      <c r="M24" s="931"/>
      <c r="N24" s="744"/>
      <c r="O24" s="934"/>
      <c r="P24" s="755"/>
      <c r="Q24" s="755"/>
      <c r="R24" s="757"/>
      <c r="S24" s="757"/>
      <c r="T24" s="757"/>
      <c r="U24" s="757"/>
      <c r="V24" s="757"/>
      <c r="W24" s="757"/>
      <c r="X24" s="757"/>
      <c r="Y24" s="757"/>
      <c r="Z24" s="757"/>
      <c r="AA24" s="757"/>
      <c r="AB24" s="757"/>
      <c r="AC24" s="757"/>
      <c r="AD24" s="757"/>
      <c r="AE24" s="757"/>
      <c r="AF24" s="757"/>
    </row>
    <row r="25">
      <c r="A25" s="744"/>
      <c r="B25" s="744"/>
      <c r="C25" s="757"/>
      <c r="D25" s="744"/>
      <c r="E25" s="780"/>
      <c r="F25" s="744"/>
      <c r="G25" s="930"/>
      <c r="H25" s="744"/>
      <c r="I25" s="744"/>
      <c r="J25" s="781"/>
      <c r="K25" s="781"/>
      <c r="L25" s="781"/>
      <c r="M25" s="931"/>
      <c r="N25" s="744"/>
      <c r="O25" s="934"/>
      <c r="P25" s="755"/>
      <c r="Q25" s="755"/>
      <c r="R25" s="757"/>
      <c r="S25" s="757"/>
      <c r="T25" s="757"/>
      <c r="U25" s="757"/>
      <c r="V25" s="757"/>
      <c r="W25" s="757"/>
      <c r="X25" s="757"/>
      <c r="Y25" s="757"/>
      <c r="Z25" s="757"/>
      <c r="AA25" s="757"/>
      <c r="AB25" s="757"/>
      <c r="AC25" s="757"/>
      <c r="AD25" s="757"/>
      <c r="AE25" s="757"/>
      <c r="AF25" s="757"/>
    </row>
    <row r="26">
      <c r="A26" s="744"/>
      <c r="B26" s="744"/>
      <c r="C26" s="745"/>
      <c r="D26" s="744"/>
      <c r="E26" s="780"/>
      <c r="F26" s="744"/>
      <c r="G26" s="930"/>
      <c r="H26" s="744"/>
      <c r="I26" s="744"/>
      <c r="J26" s="781"/>
      <c r="K26" s="781"/>
      <c r="L26" s="781"/>
      <c r="M26" s="931"/>
      <c r="N26" s="744"/>
      <c r="O26" s="934"/>
      <c r="P26" s="755"/>
      <c r="Q26" s="755"/>
      <c r="R26" s="755"/>
      <c r="S26" s="932"/>
      <c r="T26" s="932"/>
      <c r="U26" s="753"/>
      <c r="V26" s="754"/>
      <c r="W26" s="744"/>
      <c r="X26" s="756"/>
      <c r="Y26" s="757"/>
      <c r="Z26" s="757"/>
      <c r="AA26" s="757"/>
      <c r="AB26" s="757"/>
      <c r="AC26" s="772"/>
      <c r="AD26" s="772"/>
      <c r="AE26" s="757"/>
      <c r="AF26" s="757"/>
      <c r="AG26" s="447"/>
      <c r="AH26" s="447"/>
      <c r="AI26" s="447"/>
      <c r="AJ26" s="447"/>
      <c r="AK26" s="447"/>
      <c r="AL26" s="447"/>
      <c r="AM26" s="447"/>
      <c r="AN26" s="447"/>
      <c r="AO26" s="447"/>
    </row>
    <row r="27">
      <c r="A27" s="744"/>
      <c r="B27" s="744"/>
      <c r="C27" s="745"/>
      <c r="D27" s="744"/>
      <c r="E27" s="780"/>
      <c r="F27" s="744"/>
      <c r="G27" s="930"/>
      <c r="H27" s="744"/>
      <c r="I27" s="744"/>
      <c r="J27" s="781"/>
      <c r="K27" s="781"/>
      <c r="L27" s="781"/>
      <c r="M27" s="931"/>
      <c r="N27" s="744"/>
      <c r="O27" s="934"/>
      <c r="P27" s="755"/>
      <c r="Q27" s="755"/>
      <c r="R27" s="755"/>
      <c r="S27" s="932"/>
      <c r="T27" s="932"/>
      <c r="U27" s="753"/>
      <c r="V27" s="754"/>
      <c r="W27" s="744"/>
      <c r="X27" s="756"/>
      <c r="Y27" s="757"/>
      <c r="Z27" s="757"/>
      <c r="AA27" s="757"/>
      <c r="AB27" s="757"/>
      <c r="AC27" s="772"/>
      <c r="AD27" s="772"/>
      <c r="AE27" s="757"/>
      <c r="AF27" s="757"/>
      <c r="AG27" s="447"/>
      <c r="AH27" s="447"/>
      <c r="AI27" s="447"/>
      <c r="AJ27" s="447"/>
      <c r="AK27" s="447"/>
      <c r="AL27" s="447"/>
      <c r="AM27" s="447"/>
      <c r="AN27" s="447"/>
      <c r="AO27" s="447"/>
    </row>
    <row r="28">
      <c r="A28" s="744"/>
      <c r="B28" s="744"/>
      <c r="C28" s="745"/>
      <c r="D28" s="744"/>
      <c r="E28" s="780"/>
      <c r="F28" s="744"/>
      <c r="G28" s="930"/>
      <c r="H28" s="744"/>
      <c r="I28" s="744"/>
      <c r="J28" s="781"/>
      <c r="K28" s="781"/>
      <c r="L28" s="781"/>
      <c r="M28" s="931"/>
      <c r="N28" s="744"/>
      <c r="O28" s="934"/>
      <c r="P28" s="755"/>
      <c r="Q28" s="755"/>
      <c r="R28" s="755"/>
      <c r="S28" s="932"/>
      <c r="T28" s="932"/>
      <c r="U28" s="753"/>
      <c r="V28" s="754"/>
      <c r="W28" s="744"/>
      <c r="X28" s="756"/>
      <c r="Y28" s="757"/>
      <c r="Z28" s="757"/>
      <c r="AA28" s="757"/>
      <c r="AB28" s="757"/>
      <c r="AC28" s="772"/>
      <c r="AD28" s="772"/>
      <c r="AE28" s="757"/>
      <c r="AF28" s="757"/>
      <c r="AG28" s="447"/>
      <c r="AH28" s="447"/>
      <c r="AI28" s="447"/>
      <c r="AJ28" s="447"/>
      <c r="AK28" s="447"/>
      <c r="AL28" s="447"/>
      <c r="AM28" s="447"/>
      <c r="AN28" s="447"/>
      <c r="AO28" s="447"/>
    </row>
    <row r="29">
      <c r="A29" s="744"/>
      <c r="B29" s="744"/>
      <c r="C29" s="745"/>
      <c r="D29" s="744"/>
      <c r="E29" s="780"/>
      <c r="F29" s="744"/>
      <c r="G29" s="930"/>
      <c r="H29" s="744"/>
      <c r="I29" s="744"/>
      <c r="J29" s="781"/>
      <c r="K29" s="781"/>
      <c r="L29" s="781"/>
      <c r="M29" s="931"/>
      <c r="N29" s="744"/>
      <c r="O29" s="934"/>
      <c r="P29" s="755"/>
      <c r="Q29" s="755"/>
      <c r="R29" s="755"/>
      <c r="S29" s="932"/>
      <c r="T29" s="932"/>
      <c r="U29" s="753"/>
      <c r="V29" s="754"/>
      <c r="W29" s="744"/>
      <c r="X29" s="756"/>
      <c r="Y29" s="757"/>
      <c r="Z29" s="757"/>
      <c r="AA29" s="757"/>
      <c r="AB29" s="757"/>
      <c r="AC29" s="772"/>
      <c r="AD29" s="772"/>
      <c r="AE29" s="757"/>
      <c r="AF29" s="757"/>
      <c r="AG29" s="447"/>
      <c r="AH29" s="447"/>
      <c r="AI29" s="447"/>
      <c r="AJ29" s="447"/>
      <c r="AK29" s="447"/>
      <c r="AL29" s="447"/>
      <c r="AM29" s="447"/>
      <c r="AN29" s="447"/>
      <c r="AO29" s="447"/>
    </row>
    <row r="30">
      <c r="A30" s="744"/>
      <c r="B30" s="744"/>
      <c r="C30" s="757"/>
      <c r="D30" s="744"/>
      <c r="E30" s="780"/>
      <c r="F30" s="744"/>
      <c r="G30" s="930"/>
      <c r="H30" s="744"/>
      <c r="I30" s="744"/>
      <c r="J30" s="781"/>
      <c r="K30" s="781"/>
      <c r="L30" s="781"/>
      <c r="M30" s="931"/>
      <c r="N30" s="744"/>
      <c r="O30" s="934"/>
      <c r="P30" s="755"/>
      <c r="Q30" s="755"/>
      <c r="R30" s="755"/>
      <c r="S30" s="932"/>
      <c r="T30" s="932"/>
      <c r="U30" s="744"/>
      <c r="V30" s="754"/>
      <c r="W30" s="744"/>
      <c r="X30" s="756"/>
      <c r="Y30" s="757"/>
      <c r="Z30" s="757"/>
      <c r="AA30" s="757"/>
      <c r="AB30" s="757"/>
      <c r="AC30" s="772"/>
      <c r="AD30" s="772"/>
      <c r="AE30" s="757"/>
      <c r="AF30" s="757"/>
    </row>
    <row r="31">
      <c r="A31" s="744"/>
      <c r="B31" s="744"/>
      <c r="C31" s="757"/>
      <c r="D31" s="744"/>
      <c r="E31" s="780"/>
      <c r="F31" s="744"/>
      <c r="G31" s="930"/>
      <c r="H31" s="744"/>
      <c r="I31" s="744"/>
      <c r="J31" s="781"/>
      <c r="K31" s="781"/>
      <c r="L31" s="781"/>
      <c r="M31" s="931"/>
      <c r="N31" s="744"/>
      <c r="O31" s="934"/>
      <c r="P31" s="755"/>
      <c r="Q31" s="755"/>
      <c r="R31" s="755"/>
      <c r="S31" s="932"/>
      <c r="T31" s="932"/>
      <c r="U31" s="744"/>
      <c r="V31" s="754"/>
      <c r="W31" s="744"/>
      <c r="X31" s="756"/>
      <c r="Y31" s="757"/>
      <c r="Z31" s="757"/>
      <c r="AA31" s="757"/>
      <c r="AB31" s="757"/>
      <c r="AC31" s="772"/>
      <c r="AD31" s="772"/>
      <c r="AE31" s="757"/>
      <c r="AF31" s="757"/>
    </row>
    <row r="32">
      <c r="A32" s="744"/>
      <c r="B32" s="744"/>
      <c r="C32" s="757"/>
      <c r="D32" s="744"/>
      <c r="E32" s="780"/>
      <c r="F32" s="744"/>
      <c r="G32" s="930"/>
      <c r="H32" s="744"/>
      <c r="I32" s="744"/>
      <c r="J32" s="781"/>
      <c r="K32" s="781"/>
      <c r="L32" s="781"/>
      <c r="M32" s="931"/>
      <c r="N32" s="744"/>
      <c r="O32" s="934"/>
      <c r="P32" s="755"/>
      <c r="Q32" s="755"/>
      <c r="R32" s="755"/>
      <c r="S32" s="932"/>
      <c r="T32" s="932"/>
      <c r="U32" s="744"/>
      <c r="V32" s="754"/>
      <c r="W32" s="744"/>
      <c r="X32" s="756"/>
      <c r="Y32" s="757"/>
      <c r="Z32" s="757"/>
      <c r="AA32" s="757"/>
      <c r="AB32" s="757"/>
      <c r="AC32" s="772"/>
      <c r="AD32" s="772"/>
      <c r="AE32" s="757"/>
      <c r="AF32" s="757"/>
    </row>
    <row r="33">
      <c r="A33" s="938"/>
      <c r="H33" s="744"/>
      <c r="I33" s="744"/>
      <c r="J33" s="781"/>
      <c r="K33" s="781"/>
      <c r="L33" s="781"/>
      <c r="M33" s="931"/>
      <c r="N33" s="744"/>
      <c r="O33" s="744"/>
      <c r="P33" s="755"/>
      <c r="Q33" s="755"/>
      <c r="R33" s="755"/>
      <c r="S33" s="932"/>
      <c r="T33" s="932"/>
      <c r="U33" s="753"/>
      <c r="V33" s="754"/>
      <c r="W33" s="744"/>
      <c r="X33" s="756"/>
      <c r="Y33" s="757"/>
      <c r="Z33" s="757"/>
      <c r="AA33" s="757"/>
      <c r="AB33" s="757"/>
      <c r="AC33" s="772"/>
      <c r="AD33" s="772"/>
      <c r="AE33" s="757"/>
      <c r="AF33" s="757"/>
    </row>
    <row r="34">
      <c r="A34" s="744"/>
      <c r="B34" s="744"/>
      <c r="C34" s="757"/>
      <c r="D34" s="744"/>
      <c r="E34" s="780"/>
      <c r="F34" s="744"/>
      <c r="G34" s="930"/>
      <c r="H34" s="744"/>
      <c r="I34" s="744"/>
      <c r="J34" s="781"/>
      <c r="K34" s="781"/>
      <c r="L34" s="781"/>
      <c r="M34" s="931"/>
      <c r="N34" s="744"/>
      <c r="O34" s="744"/>
      <c r="P34" s="755"/>
      <c r="Q34" s="755"/>
      <c r="R34" s="755"/>
      <c r="S34" s="932"/>
      <c r="T34" s="932"/>
      <c r="U34" s="753"/>
      <c r="V34" s="754"/>
      <c r="W34" s="744"/>
      <c r="X34" s="756"/>
      <c r="Y34" s="757"/>
      <c r="Z34" s="757"/>
      <c r="AA34" s="757"/>
      <c r="AB34" s="757"/>
      <c r="AC34" s="772"/>
      <c r="AD34" s="772"/>
      <c r="AE34" s="757"/>
      <c r="AF34" s="757"/>
    </row>
    <row r="35">
      <c r="A35" s="939"/>
      <c r="B35" s="939"/>
      <c r="C35" s="895"/>
      <c r="D35" s="939"/>
      <c r="E35" s="940"/>
      <c r="F35" s="939"/>
      <c r="G35" s="941"/>
      <c r="H35" s="939"/>
      <c r="I35" s="939"/>
      <c r="J35" s="942"/>
      <c r="K35" s="942"/>
      <c r="L35" s="942"/>
      <c r="M35" s="943"/>
      <c r="N35" s="939"/>
      <c r="O35" s="939"/>
      <c r="P35" s="944"/>
      <c r="Q35" s="944"/>
      <c r="R35" s="944"/>
      <c r="S35" s="945"/>
      <c r="T35" s="945"/>
      <c r="U35" s="939"/>
      <c r="V35" s="946"/>
      <c r="W35" s="939"/>
      <c r="X35" s="947"/>
      <c r="Y35" s="948"/>
      <c r="Z35" s="948"/>
      <c r="AA35" s="948"/>
      <c r="AB35" s="948"/>
      <c r="AC35" s="949"/>
      <c r="AD35" s="949"/>
      <c r="AE35" s="948"/>
      <c r="AF35" s="948"/>
      <c r="AG35" s="950"/>
      <c r="AH35" s="950"/>
      <c r="AI35" s="950"/>
      <c r="AJ35" s="950"/>
      <c r="AK35" s="950"/>
      <c r="AL35" s="950"/>
      <c r="AM35" s="950"/>
      <c r="AN35" s="950"/>
      <c r="AO35" s="950"/>
    </row>
    <row r="36">
      <c r="A36" s="939"/>
      <c r="B36" s="939"/>
      <c r="C36" s="895"/>
      <c r="D36" s="939"/>
      <c r="E36" s="940"/>
      <c r="F36" s="939"/>
      <c r="G36" s="941"/>
      <c r="H36" s="939"/>
      <c r="I36" s="939"/>
      <c r="J36" s="942"/>
      <c r="K36" s="942"/>
      <c r="L36" s="942"/>
      <c r="M36" s="943"/>
      <c r="N36" s="939"/>
      <c r="O36" s="939"/>
      <c r="P36" s="944"/>
      <c r="Q36" s="944"/>
      <c r="R36" s="944"/>
      <c r="S36" s="945"/>
      <c r="T36" s="945"/>
      <c r="U36" s="939"/>
      <c r="V36" s="946"/>
      <c r="W36" s="939"/>
      <c r="X36" s="947"/>
      <c r="Y36" s="948"/>
      <c r="Z36" s="948"/>
      <c r="AA36" s="948"/>
      <c r="AB36" s="948"/>
      <c r="AC36" s="949"/>
      <c r="AD36" s="949"/>
      <c r="AE36" s="948"/>
      <c r="AF36" s="948"/>
      <c r="AG36" s="950"/>
      <c r="AH36" s="950"/>
      <c r="AI36" s="950"/>
      <c r="AJ36" s="950"/>
      <c r="AK36" s="950"/>
      <c r="AL36" s="950"/>
      <c r="AM36" s="950"/>
      <c r="AN36" s="950"/>
      <c r="AO36" s="950"/>
    </row>
    <row r="37">
      <c r="A37" s="939"/>
      <c r="B37" s="939"/>
      <c r="C37" s="895"/>
      <c r="D37" s="939"/>
      <c r="E37" s="940"/>
      <c r="F37" s="939"/>
      <c r="G37" s="941"/>
      <c r="H37" s="939"/>
      <c r="I37" s="939"/>
      <c r="J37" s="942"/>
      <c r="K37" s="942"/>
      <c r="L37" s="942"/>
      <c r="M37" s="943"/>
      <c r="N37" s="939"/>
      <c r="O37" s="939"/>
      <c r="P37" s="944"/>
      <c r="Q37" s="944"/>
      <c r="R37" s="944"/>
      <c r="S37" s="945"/>
      <c r="T37" s="945"/>
      <c r="U37" s="939"/>
      <c r="V37" s="946"/>
      <c r="W37" s="939"/>
      <c r="X37" s="947"/>
      <c r="Y37" s="948"/>
      <c r="Z37" s="948"/>
      <c r="AA37" s="948"/>
      <c r="AB37" s="948"/>
      <c r="AC37" s="949"/>
      <c r="AD37" s="949"/>
      <c r="AE37" s="948"/>
      <c r="AF37" s="948"/>
      <c r="AG37" s="950"/>
      <c r="AH37" s="950"/>
      <c r="AI37" s="950"/>
      <c r="AJ37" s="950"/>
      <c r="AK37" s="950"/>
      <c r="AL37" s="950"/>
      <c r="AM37" s="950"/>
      <c r="AN37" s="950"/>
      <c r="AO37" s="950"/>
    </row>
    <row r="38">
      <c r="A38" s="939"/>
      <c r="B38" s="939"/>
      <c r="C38" s="895"/>
      <c r="D38" s="939"/>
      <c r="E38" s="940"/>
      <c r="F38" s="939"/>
      <c r="G38" s="941"/>
      <c r="H38" s="939"/>
      <c r="I38" s="939"/>
      <c r="J38" s="942"/>
      <c r="K38" s="942"/>
      <c r="L38" s="942"/>
      <c r="M38" s="943"/>
      <c r="N38" s="939"/>
      <c r="O38" s="939"/>
      <c r="P38" s="944"/>
      <c r="Q38" s="944"/>
      <c r="R38" s="944"/>
      <c r="S38" s="945"/>
      <c r="T38" s="945"/>
      <c r="U38" s="939"/>
      <c r="V38" s="946"/>
      <c r="W38" s="939"/>
      <c r="X38" s="947"/>
      <c r="Y38" s="948"/>
      <c r="Z38" s="948"/>
      <c r="AA38" s="948"/>
      <c r="AB38" s="948"/>
      <c r="AC38" s="949"/>
      <c r="AD38" s="949"/>
      <c r="AE38" s="948"/>
      <c r="AF38" s="948"/>
      <c r="AG38" s="950"/>
      <c r="AH38" s="950"/>
      <c r="AI38" s="950"/>
      <c r="AJ38" s="950"/>
      <c r="AK38" s="950"/>
      <c r="AL38" s="950"/>
      <c r="AM38" s="950"/>
      <c r="AN38" s="950"/>
      <c r="AO38" s="950"/>
    </row>
    <row r="39">
      <c r="A39" s="939"/>
      <c r="B39" s="939"/>
      <c r="C39" s="895"/>
      <c r="D39" s="939"/>
      <c r="E39" s="940"/>
      <c r="F39" s="939"/>
      <c r="G39" s="941"/>
      <c r="H39" s="939"/>
      <c r="I39" s="939"/>
      <c r="J39" s="942"/>
      <c r="K39" s="942"/>
      <c r="L39" s="942"/>
      <c r="M39" s="943"/>
      <c r="N39" s="939"/>
      <c r="O39" s="939"/>
      <c r="P39" s="944"/>
      <c r="Q39" s="944"/>
      <c r="R39" s="944"/>
      <c r="S39" s="945"/>
      <c r="T39" s="945"/>
      <c r="U39" s="939"/>
      <c r="V39" s="946"/>
      <c r="W39" s="939"/>
      <c r="X39" s="947"/>
      <c r="Y39" s="948"/>
      <c r="Z39" s="948"/>
      <c r="AA39" s="948"/>
      <c r="AB39" s="948"/>
      <c r="AC39" s="949"/>
      <c r="AD39" s="949"/>
      <c r="AE39" s="948"/>
      <c r="AF39" s="948"/>
      <c r="AG39" s="950"/>
      <c r="AH39" s="950"/>
      <c r="AI39" s="950"/>
      <c r="AJ39" s="950"/>
      <c r="AK39" s="950"/>
      <c r="AL39" s="950"/>
      <c r="AM39" s="950"/>
      <c r="AN39" s="950"/>
      <c r="AO39" s="950"/>
    </row>
    <row r="40">
      <c r="A40" s="939"/>
      <c r="B40" s="939"/>
      <c r="C40" s="895"/>
      <c r="D40" s="939"/>
      <c r="E40" s="940"/>
      <c r="F40" s="939"/>
      <c r="G40" s="941"/>
      <c r="H40" s="939"/>
      <c r="I40" s="939"/>
      <c r="J40" s="942"/>
      <c r="K40" s="942"/>
      <c r="L40" s="942"/>
      <c r="M40" s="943"/>
      <c r="N40" s="939"/>
      <c r="O40" s="939"/>
      <c r="P40" s="944"/>
      <c r="Q40" s="944"/>
      <c r="R40" s="944"/>
      <c r="S40" s="945"/>
      <c r="T40" s="945"/>
      <c r="U40" s="939"/>
      <c r="V40" s="946"/>
      <c r="W40" s="939"/>
      <c r="X40" s="947"/>
      <c r="Y40" s="948"/>
      <c r="Z40" s="948"/>
      <c r="AA40" s="948"/>
      <c r="AB40" s="948"/>
      <c r="AC40" s="949"/>
      <c r="AD40" s="949"/>
      <c r="AE40" s="948"/>
      <c r="AF40" s="948"/>
      <c r="AG40" s="950"/>
      <c r="AH40" s="950"/>
      <c r="AI40" s="950"/>
      <c r="AJ40" s="950"/>
      <c r="AK40" s="950"/>
      <c r="AL40" s="950"/>
      <c r="AM40" s="950"/>
      <c r="AN40" s="950"/>
      <c r="AO40" s="950"/>
    </row>
    <row r="41">
      <c r="A41" s="939"/>
      <c r="B41" s="939"/>
      <c r="C41" s="895"/>
      <c r="D41" s="939"/>
      <c r="E41" s="940"/>
      <c r="F41" s="939"/>
      <c r="G41" s="941"/>
      <c r="H41" s="939"/>
      <c r="I41" s="939"/>
      <c r="J41" s="942"/>
      <c r="K41" s="942"/>
      <c r="L41" s="942"/>
      <c r="M41" s="943"/>
      <c r="N41" s="939"/>
      <c r="O41" s="939"/>
      <c r="P41" s="944"/>
      <c r="Q41" s="944"/>
      <c r="R41" s="944"/>
      <c r="S41" s="945"/>
      <c r="T41" s="945"/>
      <c r="U41" s="939"/>
      <c r="V41" s="946"/>
      <c r="W41" s="939"/>
      <c r="X41" s="947"/>
      <c r="Y41" s="948"/>
      <c r="Z41" s="948"/>
      <c r="AA41" s="948"/>
      <c r="AB41" s="948"/>
      <c r="AC41" s="949"/>
      <c r="AD41" s="949"/>
      <c r="AE41" s="948"/>
      <c r="AF41" s="948"/>
      <c r="AG41" s="950"/>
      <c r="AH41" s="950"/>
      <c r="AI41" s="950"/>
      <c r="AJ41" s="950"/>
      <c r="AK41" s="950"/>
      <c r="AL41" s="950"/>
      <c r="AM41" s="950"/>
      <c r="AN41" s="950"/>
      <c r="AO41" s="950"/>
    </row>
    <row r="42">
      <c r="A42" s="939"/>
      <c r="B42" s="939"/>
      <c r="C42" s="895"/>
      <c r="D42" s="939"/>
      <c r="E42" s="940"/>
      <c r="F42" s="939"/>
      <c r="G42" s="941"/>
      <c r="H42" s="939"/>
      <c r="I42" s="939"/>
      <c r="J42" s="942"/>
      <c r="K42" s="942"/>
      <c r="L42" s="942"/>
      <c r="M42" s="943"/>
      <c r="N42" s="939"/>
      <c r="O42" s="939"/>
      <c r="P42" s="944"/>
      <c r="Q42" s="944"/>
      <c r="R42" s="944"/>
      <c r="S42" s="945"/>
      <c r="T42" s="945"/>
      <c r="U42" s="939"/>
      <c r="V42" s="946"/>
      <c r="W42" s="939"/>
      <c r="X42" s="947"/>
      <c r="Y42" s="948"/>
      <c r="Z42" s="948"/>
      <c r="AA42" s="948"/>
      <c r="AB42" s="948"/>
      <c r="AC42" s="949"/>
      <c r="AD42" s="949"/>
      <c r="AE42" s="948"/>
      <c r="AF42" s="948"/>
      <c r="AG42" s="950"/>
      <c r="AH42" s="950"/>
      <c r="AI42" s="950"/>
      <c r="AJ42" s="950"/>
      <c r="AK42" s="950"/>
      <c r="AL42" s="950"/>
      <c r="AM42" s="950"/>
      <c r="AN42" s="950"/>
      <c r="AO42" s="950"/>
    </row>
    <row r="43">
      <c r="A43" s="939"/>
      <c r="B43" s="939"/>
      <c r="C43" s="895"/>
      <c r="D43" s="939"/>
      <c r="E43" s="940"/>
      <c r="F43" s="939"/>
      <c r="G43" s="941"/>
      <c r="H43" s="939"/>
      <c r="I43" s="939"/>
      <c r="J43" s="942"/>
      <c r="K43" s="942"/>
      <c r="L43" s="942"/>
      <c r="M43" s="943"/>
      <c r="N43" s="939"/>
      <c r="O43" s="939"/>
      <c r="P43" s="944"/>
      <c r="Q43" s="944"/>
      <c r="R43" s="944"/>
      <c r="S43" s="945"/>
      <c r="T43" s="945"/>
      <c r="U43" s="939"/>
      <c r="V43" s="946"/>
      <c r="W43" s="939"/>
      <c r="X43" s="947"/>
      <c r="Y43" s="948"/>
      <c r="Z43" s="948"/>
      <c r="AA43" s="948"/>
      <c r="AB43" s="948"/>
      <c r="AC43" s="949"/>
      <c r="AD43" s="949"/>
      <c r="AE43" s="948"/>
      <c r="AF43" s="948"/>
      <c r="AG43" s="950"/>
      <c r="AH43" s="950"/>
      <c r="AI43" s="950"/>
      <c r="AJ43" s="950"/>
      <c r="AK43" s="950"/>
      <c r="AL43" s="950"/>
      <c r="AM43" s="950"/>
      <c r="AN43" s="950"/>
      <c r="AO43" s="950"/>
    </row>
    <row r="44">
      <c r="A44" s="939"/>
      <c r="B44" s="939"/>
      <c r="C44" s="895"/>
      <c r="D44" s="939"/>
      <c r="E44" s="940"/>
      <c r="F44" s="939"/>
      <c r="G44" s="941"/>
      <c r="H44" s="939"/>
      <c r="I44" s="939"/>
      <c r="J44" s="942"/>
      <c r="K44" s="942"/>
      <c r="L44" s="942"/>
      <c r="M44" s="943"/>
      <c r="N44" s="939"/>
      <c r="O44" s="951"/>
      <c r="P44" s="944"/>
      <c r="Q44" s="944"/>
      <c r="R44" s="944"/>
      <c r="S44" s="945"/>
      <c r="T44" s="945"/>
      <c r="U44" s="939"/>
      <c r="V44" s="946"/>
      <c r="W44" s="939"/>
      <c r="X44" s="947"/>
      <c r="Y44" s="948"/>
      <c r="Z44" s="948"/>
      <c r="AA44" s="948"/>
      <c r="AB44" s="948"/>
      <c r="AC44" s="949"/>
      <c r="AD44" s="949"/>
      <c r="AE44" s="948"/>
      <c r="AF44" s="948"/>
      <c r="AG44" s="950"/>
      <c r="AH44" s="950"/>
      <c r="AI44" s="950"/>
      <c r="AJ44" s="950"/>
      <c r="AK44" s="950"/>
      <c r="AL44" s="950"/>
      <c r="AM44" s="950"/>
      <c r="AN44" s="950"/>
      <c r="AO44" s="950"/>
    </row>
    <row r="45">
      <c r="A45" s="939"/>
      <c r="B45" s="939"/>
      <c r="C45" s="895"/>
      <c r="D45" s="939"/>
      <c r="E45" s="940"/>
      <c r="F45" s="939"/>
      <c r="G45" s="941"/>
      <c r="H45" s="939"/>
      <c r="I45" s="939"/>
      <c r="J45" s="942"/>
      <c r="K45" s="942"/>
      <c r="L45" s="942"/>
      <c r="M45" s="943"/>
      <c r="N45" s="939"/>
      <c r="O45" s="939"/>
      <c r="P45" s="944"/>
      <c r="Q45" s="944"/>
      <c r="R45" s="944"/>
      <c r="S45" s="945"/>
      <c r="T45" s="945"/>
      <c r="U45" s="939"/>
      <c r="V45" s="946"/>
      <c r="W45" s="939"/>
      <c r="X45" s="947"/>
      <c r="Y45" s="948"/>
      <c r="Z45" s="948"/>
      <c r="AA45" s="948"/>
      <c r="AB45" s="948"/>
      <c r="AC45" s="949"/>
      <c r="AD45" s="949"/>
      <c r="AE45" s="948"/>
      <c r="AF45" s="948"/>
      <c r="AG45" s="950"/>
      <c r="AH45" s="950"/>
      <c r="AI45" s="950"/>
      <c r="AJ45" s="950"/>
      <c r="AK45" s="950"/>
      <c r="AL45" s="950"/>
      <c r="AM45" s="950"/>
      <c r="AN45" s="950"/>
      <c r="AO45" s="950"/>
    </row>
    <row r="46">
      <c r="A46" s="744"/>
      <c r="B46" s="744"/>
      <c r="C46" s="757"/>
      <c r="D46" s="744"/>
      <c r="E46" s="780"/>
      <c r="F46" s="744"/>
      <c r="G46" s="930"/>
      <c r="H46" s="744"/>
      <c r="I46" s="744"/>
      <c r="J46" s="781"/>
      <c r="K46" s="781"/>
      <c r="L46" s="781"/>
      <c r="M46" s="931"/>
      <c r="N46" s="744"/>
      <c r="O46" s="744"/>
      <c r="P46" s="755"/>
      <c r="Q46" s="755"/>
      <c r="R46" s="755"/>
      <c r="S46" s="932"/>
      <c r="T46" s="932"/>
      <c r="U46" s="753"/>
      <c r="V46" s="754"/>
      <c r="W46" s="744"/>
      <c r="X46" s="756"/>
      <c r="Y46" s="757"/>
      <c r="Z46" s="757"/>
      <c r="AA46" s="757"/>
      <c r="AB46" s="757"/>
      <c r="AC46" s="772"/>
      <c r="AD46" s="772"/>
      <c r="AE46" s="757"/>
      <c r="AF46" s="757"/>
    </row>
    <row r="47">
      <c r="A47" s="744"/>
      <c r="B47" s="744"/>
      <c r="C47" s="757"/>
      <c r="D47" s="744"/>
      <c r="E47" s="780"/>
      <c r="F47" s="744"/>
      <c r="G47" s="930"/>
      <c r="H47" s="744"/>
      <c r="I47" s="744"/>
      <c r="J47" s="781"/>
      <c r="K47" s="781"/>
      <c r="L47" s="781"/>
      <c r="M47" s="931"/>
      <c r="N47" s="744"/>
      <c r="O47" s="744"/>
      <c r="P47" s="755"/>
      <c r="Q47" s="755"/>
      <c r="R47" s="755"/>
      <c r="S47" s="932"/>
      <c r="T47" s="932"/>
      <c r="U47" s="753"/>
      <c r="V47" s="754"/>
      <c r="W47" s="744"/>
      <c r="X47" s="756"/>
      <c r="Y47" s="757"/>
      <c r="Z47" s="757"/>
      <c r="AA47" s="757"/>
      <c r="AB47" s="757"/>
      <c r="AC47" s="772"/>
      <c r="AD47" s="772"/>
      <c r="AE47" s="757"/>
      <c r="AF47" s="757"/>
    </row>
    <row r="48">
      <c r="A48" s="744"/>
      <c r="B48" s="744"/>
      <c r="C48" s="757"/>
      <c r="D48" s="744"/>
      <c r="E48" s="780"/>
      <c r="F48" s="744"/>
      <c r="G48" s="930"/>
      <c r="H48" s="744"/>
      <c r="I48" s="744"/>
      <c r="J48" s="781"/>
      <c r="K48" s="781"/>
      <c r="L48" s="781"/>
      <c r="M48" s="931"/>
      <c r="N48" s="744"/>
      <c r="O48" s="744"/>
      <c r="P48" s="755"/>
      <c r="Q48" s="755"/>
      <c r="R48" s="755"/>
      <c r="S48" s="932"/>
      <c r="T48" s="932"/>
      <c r="U48" s="753"/>
      <c r="V48" s="754"/>
      <c r="W48" s="744"/>
      <c r="X48" s="756"/>
      <c r="Y48" s="757"/>
      <c r="Z48" s="757"/>
      <c r="AA48" s="757"/>
      <c r="AB48" s="757"/>
      <c r="AC48" s="772"/>
      <c r="AD48" s="772"/>
      <c r="AE48" s="757"/>
      <c r="AF48" s="757"/>
    </row>
    <row r="49">
      <c r="A49" s="744"/>
      <c r="B49" s="744"/>
      <c r="C49" s="757"/>
      <c r="D49" s="744"/>
      <c r="E49" s="780"/>
      <c r="F49" s="744"/>
      <c r="G49" s="930"/>
      <c r="H49" s="744"/>
      <c r="I49" s="744"/>
      <c r="J49" s="781"/>
      <c r="K49" s="781"/>
      <c r="L49" s="781"/>
      <c r="M49" s="931"/>
      <c r="N49" s="744"/>
      <c r="O49" s="744"/>
      <c r="P49" s="755"/>
      <c r="Q49" s="755"/>
      <c r="R49" s="755"/>
      <c r="S49" s="932"/>
      <c r="T49" s="932"/>
      <c r="U49" s="753"/>
      <c r="V49" s="754"/>
      <c r="W49" s="744"/>
      <c r="X49" s="756"/>
      <c r="Y49" s="757"/>
      <c r="Z49" s="757"/>
      <c r="AA49" s="757"/>
      <c r="AB49" s="757"/>
      <c r="AC49" s="772"/>
      <c r="AD49" s="772"/>
      <c r="AE49" s="757"/>
      <c r="AF49" s="757"/>
    </row>
    <row r="50">
      <c r="A50" s="744"/>
      <c r="B50" s="744"/>
      <c r="C50" s="757"/>
      <c r="D50" s="744"/>
      <c r="E50" s="780"/>
      <c r="F50" s="744"/>
      <c r="G50" s="930"/>
      <c r="H50" s="744"/>
      <c r="I50" s="744"/>
      <c r="J50" s="781"/>
      <c r="K50" s="781"/>
      <c r="L50" s="781"/>
      <c r="M50" s="931"/>
      <c r="N50" s="744"/>
      <c r="O50" s="744"/>
      <c r="P50" s="755"/>
      <c r="Q50" s="755"/>
      <c r="R50" s="755"/>
      <c r="S50" s="932"/>
      <c r="T50" s="932"/>
      <c r="U50" s="753"/>
      <c r="V50" s="754"/>
      <c r="W50" s="744"/>
      <c r="X50" s="756"/>
      <c r="Y50" s="757"/>
      <c r="Z50" s="757"/>
      <c r="AA50" s="757"/>
      <c r="AB50" s="757"/>
      <c r="AC50" s="772"/>
      <c r="AD50" s="772"/>
      <c r="AE50" s="757"/>
      <c r="AF50" s="757"/>
    </row>
    <row r="51">
      <c r="A51" s="744"/>
      <c r="B51" s="744"/>
      <c r="C51" s="757"/>
      <c r="D51" s="744"/>
      <c r="E51" s="780"/>
      <c r="F51" s="744"/>
      <c r="G51" s="930"/>
      <c r="H51" s="744"/>
      <c r="I51" s="744"/>
      <c r="J51" s="781"/>
      <c r="K51" s="781"/>
      <c r="L51" s="781"/>
      <c r="M51" s="931"/>
      <c r="N51" s="744"/>
      <c r="O51" s="744"/>
      <c r="P51" s="755"/>
      <c r="Q51" s="755"/>
      <c r="R51" s="755"/>
      <c r="S51" s="932"/>
      <c r="T51" s="932"/>
      <c r="U51" s="753"/>
      <c r="V51" s="754"/>
      <c r="W51" s="744"/>
      <c r="X51" s="756"/>
      <c r="Y51" s="757"/>
      <c r="Z51" s="757"/>
      <c r="AA51" s="757"/>
      <c r="AB51" s="757"/>
      <c r="AC51" s="772"/>
      <c r="AD51" s="772"/>
      <c r="AE51" s="757"/>
      <c r="AF51" s="757"/>
    </row>
    <row r="52">
      <c r="A52" s="744"/>
      <c r="B52" s="744"/>
      <c r="C52" s="757"/>
      <c r="D52" s="744"/>
      <c r="E52" s="780"/>
      <c r="F52" s="744"/>
      <c r="G52" s="930"/>
      <c r="H52" s="744"/>
      <c r="I52" s="744"/>
      <c r="J52" s="781"/>
      <c r="K52" s="781"/>
      <c r="L52" s="781"/>
      <c r="M52" s="931"/>
      <c r="N52" s="744"/>
      <c r="O52" s="744"/>
      <c r="P52" s="755"/>
      <c r="Q52" s="755"/>
      <c r="R52" s="755"/>
      <c r="S52" s="932"/>
      <c r="T52" s="932"/>
      <c r="U52" s="753"/>
      <c r="V52" s="754"/>
      <c r="W52" s="744"/>
      <c r="X52" s="756"/>
      <c r="Y52" s="757"/>
      <c r="Z52" s="757"/>
      <c r="AA52" s="757"/>
      <c r="AB52" s="757"/>
      <c r="AC52" s="772"/>
      <c r="AD52" s="772"/>
      <c r="AE52" s="757"/>
      <c r="AF52" s="757"/>
    </row>
    <row r="53">
      <c r="A53" s="744"/>
      <c r="B53" s="744"/>
      <c r="C53" s="757"/>
      <c r="D53" s="744"/>
      <c r="E53" s="780"/>
      <c r="F53" s="744"/>
      <c r="G53" s="930"/>
      <c r="H53" s="744"/>
      <c r="I53" s="744"/>
      <c r="J53" s="781"/>
      <c r="K53" s="781"/>
      <c r="L53" s="781"/>
      <c r="M53" s="931"/>
      <c r="N53" s="744"/>
      <c r="O53" s="744"/>
      <c r="P53" s="755"/>
      <c r="Q53" s="755"/>
      <c r="R53" s="755"/>
      <c r="S53" s="932"/>
      <c r="T53" s="932"/>
      <c r="U53" s="753"/>
      <c r="V53" s="754"/>
      <c r="W53" s="744"/>
      <c r="X53" s="756"/>
      <c r="Y53" s="757"/>
      <c r="Z53" s="757"/>
      <c r="AA53" s="757"/>
      <c r="AB53" s="757"/>
      <c r="AC53" s="772"/>
      <c r="AD53" s="772"/>
      <c r="AE53" s="757"/>
      <c r="AF53" s="757"/>
    </row>
    <row r="54">
      <c r="A54" s="744"/>
      <c r="B54" s="744"/>
      <c r="C54" s="757"/>
      <c r="D54" s="744"/>
      <c r="E54" s="780"/>
      <c r="F54" s="744"/>
      <c r="G54" s="930"/>
      <c r="H54" s="744"/>
      <c r="I54" s="744"/>
      <c r="J54" s="781"/>
      <c r="K54" s="781"/>
      <c r="L54" s="781"/>
      <c r="M54" s="931"/>
      <c r="N54" s="744"/>
      <c r="O54" s="744"/>
      <c r="P54" s="755"/>
      <c r="Q54" s="755"/>
      <c r="R54" s="755"/>
      <c r="S54" s="932"/>
      <c r="T54" s="932"/>
      <c r="U54" s="753"/>
      <c r="V54" s="754"/>
      <c r="W54" s="744"/>
      <c r="X54" s="756"/>
      <c r="Y54" s="757"/>
      <c r="Z54" s="757"/>
      <c r="AA54" s="757"/>
      <c r="AB54" s="757"/>
      <c r="AC54" s="772"/>
      <c r="AD54" s="772"/>
      <c r="AE54" s="757"/>
      <c r="AF54" s="757"/>
    </row>
    <row r="55">
      <c r="A55" s="744"/>
      <c r="B55" s="744"/>
      <c r="C55" s="757"/>
      <c r="D55" s="744"/>
      <c r="E55" s="780"/>
      <c r="F55" s="744"/>
      <c r="G55" s="930"/>
      <c r="H55" s="744"/>
      <c r="I55" s="744"/>
      <c r="J55" s="781"/>
      <c r="K55" s="781"/>
      <c r="L55" s="781"/>
      <c r="M55" s="931"/>
      <c r="N55" s="744"/>
      <c r="O55" s="744"/>
      <c r="P55" s="755"/>
      <c r="Q55" s="755"/>
      <c r="R55" s="755"/>
      <c r="S55" s="932"/>
      <c r="T55" s="932"/>
      <c r="U55" s="753"/>
      <c r="V55" s="754"/>
      <c r="W55" s="744"/>
      <c r="X55" s="756"/>
      <c r="Y55" s="757"/>
      <c r="Z55" s="757"/>
      <c r="AA55" s="757"/>
      <c r="AB55" s="757"/>
      <c r="AC55" s="772"/>
      <c r="AD55" s="772"/>
      <c r="AE55" s="757"/>
      <c r="AF55" s="757"/>
    </row>
    <row r="56">
      <c r="A56" s="744"/>
      <c r="B56" s="744"/>
      <c r="C56" s="757"/>
      <c r="D56" s="744"/>
      <c r="E56" s="780"/>
      <c r="F56" s="744"/>
      <c r="G56" s="930"/>
      <c r="H56" s="744"/>
      <c r="I56" s="744"/>
      <c r="J56" s="781"/>
      <c r="K56" s="781"/>
      <c r="L56" s="781"/>
      <c r="M56" s="931"/>
      <c r="N56" s="744"/>
      <c r="O56" s="744"/>
      <c r="P56" s="755"/>
      <c r="Q56" s="755"/>
      <c r="R56" s="755"/>
      <c r="S56" s="932"/>
      <c r="T56" s="932"/>
      <c r="U56" s="753"/>
      <c r="V56" s="754"/>
      <c r="W56" s="744"/>
      <c r="X56" s="756"/>
      <c r="Y56" s="757"/>
      <c r="Z56" s="757"/>
      <c r="AA56" s="757"/>
      <c r="AB56" s="757"/>
      <c r="AC56" s="772"/>
      <c r="AD56" s="772"/>
      <c r="AE56" s="757"/>
      <c r="AF56" s="757"/>
    </row>
    <row r="57">
      <c r="A57" s="744"/>
      <c r="B57" s="744"/>
      <c r="C57" s="757"/>
      <c r="D57" s="744"/>
      <c r="E57" s="780"/>
      <c r="F57" s="744"/>
      <c r="G57" s="930"/>
      <c r="H57" s="744"/>
      <c r="I57" s="744"/>
      <c r="J57" s="781"/>
      <c r="K57" s="781"/>
      <c r="L57" s="781"/>
      <c r="M57" s="931"/>
      <c r="N57" s="744"/>
      <c r="O57" s="744"/>
      <c r="P57" s="755"/>
      <c r="Q57" s="755"/>
      <c r="R57" s="755"/>
      <c r="S57" s="932"/>
      <c r="T57" s="932"/>
      <c r="U57" s="753"/>
      <c r="V57" s="754"/>
      <c r="W57" s="744"/>
      <c r="X57" s="756"/>
      <c r="Y57" s="757"/>
      <c r="Z57" s="757"/>
      <c r="AA57" s="757"/>
      <c r="AB57" s="757"/>
      <c r="AC57" s="772"/>
      <c r="AD57" s="772"/>
      <c r="AE57" s="757"/>
      <c r="AF57" s="757"/>
    </row>
    <row r="58">
      <c r="A58" s="744"/>
      <c r="B58" s="744"/>
      <c r="C58" s="757"/>
      <c r="D58" s="744"/>
      <c r="E58" s="780"/>
      <c r="F58" s="744"/>
      <c r="G58" s="930"/>
      <c r="H58" s="744"/>
      <c r="I58" s="744"/>
      <c r="J58" s="781"/>
      <c r="K58" s="781"/>
      <c r="L58" s="781"/>
      <c r="M58" s="931"/>
      <c r="N58" s="744"/>
      <c r="O58" s="744"/>
      <c r="P58" s="755"/>
      <c r="Q58" s="755"/>
      <c r="R58" s="755"/>
      <c r="S58" s="932"/>
      <c r="T58" s="932"/>
      <c r="U58" s="753"/>
      <c r="V58" s="754"/>
      <c r="W58" s="744"/>
      <c r="X58" s="756"/>
      <c r="Y58" s="757"/>
      <c r="Z58" s="757"/>
      <c r="AA58" s="757"/>
      <c r="AB58" s="757"/>
      <c r="AC58" s="772"/>
      <c r="AD58" s="772"/>
      <c r="AE58" s="757"/>
      <c r="AF58" s="757"/>
    </row>
    <row r="59">
      <c r="A59" s="744"/>
      <c r="B59" s="744"/>
      <c r="C59" s="757"/>
      <c r="D59" s="744"/>
      <c r="E59" s="780"/>
      <c r="F59" s="744"/>
      <c r="G59" s="930"/>
      <c r="H59" s="744"/>
      <c r="I59" s="744"/>
      <c r="J59" s="781"/>
      <c r="K59" s="781"/>
      <c r="L59" s="781"/>
      <c r="M59" s="931"/>
      <c r="N59" s="744"/>
      <c r="O59" s="744"/>
      <c r="P59" s="755"/>
      <c r="Q59" s="755"/>
      <c r="R59" s="755"/>
      <c r="S59" s="932"/>
      <c r="T59" s="932"/>
      <c r="U59" s="753"/>
      <c r="V59" s="754"/>
      <c r="W59" s="744"/>
      <c r="X59" s="756"/>
      <c r="Y59" s="757"/>
      <c r="Z59" s="757"/>
      <c r="AA59" s="757"/>
      <c r="AB59" s="757"/>
      <c r="AC59" s="772"/>
      <c r="AD59" s="772"/>
      <c r="AE59" s="757"/>
      <c r="AF59" s="757"/>
    </row>
    <row r="60">
      <c r="A60" s="744"/>
      <c r="B60" s="744"/>
      <c r="C60" s="757"/>
      <c r="D60" s="744"/>
      <c r="E60" s="780"/>
      <c r="F60" s="744"/>
      <c r="G60" s="930"/>
      <c r="H60" s="744"/>
      <c r="I60" s="744"/>
      <c r="J60" s="781"/>
      <c r="K60" s="781"/>
      <c r="L60" s="781"/>
      <c r="M60" s="931"/>
      <c r="N60" s="744"/>
      <c r="O60" s="744"/>
      <c r="P60" s="755"/>
      <c r="Q60" s="755"/>
      <c r="R60" s="755"/>
      <c r="S60" s="932"/>
      <c r="T60" s="932"/>
      <c r="U60" s="753"/>
      <c r="V60" s="754"/>
      <c r="W60" s="744"/>
      <c r="X60" s="756"/>
      <c r="Y60" s="757"/>
      <c r="Z60" s="757"/>
      <c r="AA60" s="757"/>
      <c r="AB60" s="757"/>
      <c r="AC60" s="772"/>
      <c r="AD60" s="772"/>
      <c r="AE60" s="757"/>
      <c r="AF60" s="757"/>
    </row>
    <row r="61">
      <c r="A61" s="744"/>
      <c r="B61" s="744"/>
      <c r="C61" s="757"/>
      <c r="D61" s="744"/>
      <c r="E61" s="780"/>
      <c r="F61" s="744"/>
      <c r="G61" s="930"/>
      <c r="H61" s="744"/>
      <c r="I61" s="744"/>
      <c r="J61" s="781"/>
      <c r="K61" s="781"/>
      <c r="L61" s="781"/>
      <c r="M61" s="931"/>
      <c r="N61" s="744"/>
      <c r="O61" s="744"/>
      <c r="P61" s="755"/>
      <c r="Q61" s="755"/>
      <c r="R61" s="755"/>
      <c r="S61" s="932"/>
      <c r="T61" s="932"/>
      <c r="U61" s="753"/>
      <c r="V61" s="754"/>
      <c r="W61" s="744"/>
      <c r="X61" s="756"/>
      <c r="Y61" s="757"/>
      <c r="Z61" s="757"/>
      <c r="AA61" s="757"/>
      <c r="AB61" s="757"/>
      <c r="AC61" s="772"/>
      <c r="AD61" s="772"/>
      <c r="AE61" s="757"/>
      <c r="AF61" s="757"/>
    </row>
    <row r="62">
      <c r="A62" s="744"/>
      <c r="B62" s="744"/>
      <c r="C62" s="757"/>
      <c r="D62" s="744"/>
      <c r="E62" s="780"/>
      <c r="F62" s="744"/>
      <c r="G62" s="930"/>
      <c r="H62" s="744"/>
      <c r="I62" s="744"/>
      <c r="J62" s="781"/>
      <c r="K62" s="781"/>
      <c r="L62" s="781"/>
      <c r="M62" s="931"/>
      <c r="N62" s="744"/>
      <c r="O62" s="744"/>
      <c r="P62" s="755"/>
      <c r="Q62" s="755"/>
      <c r="R62" s="755"/>
      <c r="S62" s="932"/>
      <c r="T62" s="932"/>
      <c r="U62" s="753"/>
      <c r="V62" s="754"/>
      <c r="W62" s="744"/>
      <c r="X62" s="756"/>
      <c r="Y62" s="757"/>
      <c r="Z62" s="757"/>
      <c r="AA62" s="757"/>
      <c r="AB62" s="757"/>
      <c r="AC62" s="772"/>
      <c r="AD62" s="772"/>
      <c r="AE62" s="757"/>
      <c r="AF62" s="757"/>
    </row>
    <row r="63">
      <c r="A63" s="744"/>
      <c r="B63" s="744"/>
      <c r="C63" s="757"/>
      <c r="D63" s="744"/>
      <c r="E63" s="780"/>
      <c r="F63" s="744"/>
      <c r="G63" s="930"/>
      <c r="H63" s="744"/>
      <c r="I63" s="744"/>
      <c r="J63" s="781"/>
      <c r="K63" s="781"/>
      <c r="L63" s="781"/>
      <c r="M63" s="931"/>
      <c r="N63" s="744"/>
      <c r="O63" s="744"/>
      <c r="P63" s="755"/>
      <c r="Q63" s="755"/>
      <c r="R63" s="755"/>
      <c r="S63" s="932"/>
      <c r="T63" s="932"/>
      <c r="U63" s="753"/>
      <c r="V63" s="754"/>
      <c r="W63" s="744"/>
      <c r="X63" s="756"/>
      <c r="Y63" s="757"/>
      <c r="Z63" s="757"/>
      <c r="AA63" s="757"/>
      <c r="AB63" s="757"/>
      <c r="AC63" s="772"/>
      <c r="AD63" s="772"/>
      <c r="AE63" s="757"/>
      <c r="AF63" s="757"/>
    </row>
    <row r="64">
      <c r="A64" s="744"/>
      <c r="B64" s="744"/>
      <c r="C64" s="757"/>
      <c r="D64" s="744"/>
      <c r="E64" s="780"/>
      <c r="F64" s="744"/>
      <c r="G64" s="930"/>
      <c r="H64" s="744"/>
      <c r="I64" s="744"/>
      <c r="J64" s="781"/>
      <c r="K64" s="781"/>
      <c r="L64" s="781"/>
      <c r="M64" s="931"/>
      <c r="N64" s="744"/>
      <c r="O64" s="744"/>
      <c r="P64" s="755"/>
      <c r="Q64" s="755"/>
      <c r="R64" s="755"/>
      <c r="S64" s="932"/>
      <c r="T64" s="932"/>
      <c r="U64" s="753"/>
      <c r="V64" s="754"/>
      <c r="W64" s="744"/>
      <c r="X64" s="756"/>
      <c r="Y64" s="757"/>
      <c r="Z64" s="757"/>
      <c r="AA64" s="757"/>
      <c r="AB64" s="757"/>
      <c r="AC64" s="772"/>
      <c r="AD64" s="772"/>
      <c r="AE64" s="757"/>
      <c r="AF64" s="757"/>
    </row>
    <row r="65">
      <c r="A65" s="744"/>
      <c r="B65" s="744"/>
      <c r="C65" s="757"/>
      <c r="D65" s="744"/>
      <c r="E65" s="780"/>
      <c r="F65" s="744"/>
      <c r="G65" s="930"/>
      <c r="H65" s="744"/>
      <c r="I65" s="744"/>
      <c r="J65" s="781"/>
      <c r="K65" s="781"/>
      <c r="L65" s="781"/>
      <c r="M65" s="931"/>
      <c r="N65" s="744"/>
      <c r="O65" s="744"/>
      <c r="P65" s="755"/>
      <c r="Q65" s="755"/>
      <c r="R65" s="755"/>
      <c r="S65" s="932"/>
      <c r="T65" s="932"/>
      <c r="U65" s="753"/>
      <c r="V65" s="754"/>
      <c r="W65" s="744"/>
      <c r="X65" s="756"/>
      <c r="Y65" s="757"/>
      <c r="Z65" s="757"/>
      <c r="AA65" s="757"/>
      <c r="AB65" s="757"/>
      <c r="AC65" s="772"/>
      <c r="AD65" s="772"/>
      <c r="AE65" s="757"/>
      <c r="AF65" s="757"/>
    </row>
    <row r="66">
      <c r="A66" s="744"/>
      <c r="B66" s="744"/>
      <c r="C66" s="757"/>
      <c r="D66" s="744"/>
      <c r="E66" s="780"/>
      <c r="F66" s="744"/>
      <c r="G66" s="930"/>
      <c r="H66" s="744"/>
      <c r="I66" s="744"/>
      <c r="J66" s="781"/>
      <c r="K66" s="781"/>
      <c r="L66" s="781"/>
      <c r="M66" s="931"/>
      <c r="N66" s="744"/>
      <c r="O66" s="744"/>
      <c r="P66" s="755"/>
      <c r="Q66" s="755"/>
      <c r="R66" s="755"/>
      <c r="S66" s="932"/>
      <c r="T66" s="932"/>
      <c r="U66" s="753"/>
      <c r="V66" s="754"/>
      <c r="W66" s="744"/>
      <c r="X66" s="756"/>
      <c r="Y66" s="757"/>
      <c r="Z66" s="757"/>
      <c r="AA66" s="757"/>
      <c r="AB66" s="757"/>
      <c r="AC66" s="772"/>
      <c r="AD66" s="772"/>
      <c r="AE66" s="757"/>
      <c r="AF66" s="757"/>
    </row>
    <row r="67">
      <c r="A67" s="744"/>
      <c r="B67" s="744"/>
      <c r="C67" s="757"/>
      <c r="D67" s="744"/>
      <c r="E67" s="780"/>
      <c r="F67" s="744"/>
      <c r="G67" s="930"/>
      <c r="H67" s="744"/>
      <c r="I67" s="744"/>
      <c r="J67" s="781"/>
      <c r="K67" s="781"/>
      <c r="L67" s="781"/>
      <c r="M67" s="931"/>
      <c r="N67" s="744"/>
      <c r="O67" s="744"/>
      <c r="P67" s="755"/>
      <c r="Q67" s="755"/>
      <c r="R67" s="755"/>
      <c r="S67" s="932"/>
      <c r="T67" s="932"/>
      <c r="U67" s="753"/>
      <c r="V67" s="754"/>
      <c r="W67" s="744"/>
      <c r="X67" s="756"/>
      <c r="Y67" s="757"/>
      <c r="Z67" s="757"/>
      <c r="AA67" s="757"/>
      <c r="AB67" s="757"/>
      <c r="AC67" s="772"/>
      <c r="AD67" s="772"/>
      <c r="AE67" s="757"/>
      <c r="AF67" s="757"/>
    </row>
    <row r="68">
      <c r="A68" s="744"/>
      <c r="B68" s="744"/>
      <c r="C68" s="757"/>
      <c r="D68" s="744"/>
      <c r="E68" s="780"/>
      <c r="F68" s="744"/>
      <c r="G68" s="930"/>
      <c r="H68" s="744"/>
      <c r="I68" s="744"/>
      <c r="J68" s="781"/>
      <c r="K68" s="781"/>
      <c r="L68" s="781"/>
      <c r="M68" s="931"/>
      <c r="N68" s="744"/>
      <c r="O68" s="744"/>
      <c r="P68" s="755"/>
      <c r="Q68" s="755"/>
      <c r="R68" s="755"/>
      <c r="S68" s="932"/>
      <c r="T68" s="932"/>
      <c r="U68" s="753"/>
      <c r="V68" s="754"/>
      <c r="W68" s="744"/>
      <c r="X68" s="756"/>
      <c r="Y68" s="757"/>
      <c r="Z68" s="757"/>
      <c r="AA68" s="757"/>
      <c r="AB68" s="757"/>
      <c r="AC68" s="772"/>
      <c r="AD68" s="772"/>
      <c r="AE68" s="757"/>
      <c r="AF68" s="757"/>
    </row>
    <row r="69">
      <c r="A69" s="744"/>
      <c r="B69" s="744"/>
      <c r="C69" s="757"/>
      <c r="D69" s="744"/>
      <c r="E69" s="780"/>
      <c r="F69" s="744"/>
      <c r="G69" s="930"/>
      <c r="H69" s="744"/>
      <c r="I69" s="744"/>
      <c r="J69" s="781"/>
      <c r="K69" s="781"/>
      <c r="L69" s="781"/>
      <c r="M69" s="931"/>
      <c r="N69" s="744"/>
      <c r="O69" s="744"/>
      <c r="P69" s="755"/>
      <c r="Q69" s="755"/>
      <c r="R69" s="755"/>
      <c r="S69" s="932"/>
      <c r="T69" s="932"/>
      <c r="U69" s="753"/>
      <c r="V69" s="754"/>
      <c r="W69" s="744"/>
      <c r="X69" s="756"/>
      <c r="Y69" s="757"/>
      <c r="Z69" s="757"/>
      <c r="AA69" s="757"/>
      <c r="AB69" s="757"/>
      <c r="AC69" s="772"/>
      <c r="AD69" s="772"/>
      <c r="AE69" s="757"/>
      <c r="AF69" s="757"/>
    </row>
    <row r="70">
      <c r="A70" s="744"/>
      <c r="B70" s="744"/>
      <c r="C70" s="757"/>
      <c r="D70" s="744"/>
      <c r="E70" s="780"/>
      <c r="F70" s="744"/>
      <c r="G70" s="930"/>
      <c r="H70" s="744"/>
      <c r="I70" s="744"/>
      <c r="J70" s="781"/>
      <c r="K70" s="781"/>
      <c r="L70" s="781"/>
      <c r="M70" s="931"/>
      <c r="N70" s="744"/>
      <c r="O70" s="744"/>
      <c r="P70" s="755"/>
      <c r="Q70" s="755"/>
      <c r="R70" s="755"/>
      <c r="S70" s="932"/>
      <c r="T70" s="932"/>
      <c r="U70" s="753"/>
      <c r="V70" s="754"/>
      <c r="W70" s="744"/>
      <c r="X70" s="756"/>
      <c r="Y70" s="757"/>
      <c r="Z70" s="757"/>
      <c r="AA70" s="757"/>
      <c r="AB70" s="757"/>
      <c r="AC70" s="772"/>
      <c r="AD70" s="772"/>
      <c r="AE70" s="757"/>
      <c r="AF70" s="757"/>
    </row>
    <row r="71">
      <c r="A71" s="744"/>
      <c r="B71" s="744"/>
      <c r="C71" s="757"/>
      <c r="D71" s="744"/>
      <c r="E71" s="780"/>
      <c r="F71" s="744"/>
      <c r="G71" s="930"/>
      <c r="H71" s="744"/>
      <c r="I71" s="744"/>
      <c r="J71" s="781"/>
      <c r="K71" s="781"/>
      <c r="L71" s="781"/>
      <c r="M71" s="931"/>
      <c r="N71" s="744"/>
      <c r="O71" s="744"/>
      <c r="P71" s="755"/>
      <c r="Q71" s="755"/>
      <c r="R71" s="755"/>
      <c r="S71" s="932"/>
      <c r="T71" s="932"/>
      <c r="U71" s="753"/>
      <c r="V71" s="754"/>
      <c r="W71" s="744"/>
      <c r="X71" s="756"/>
      <c r="Y71" s="757"/>
      <c r="Z71" s="757"/>
      <c r="AA71" s="757"/>
      <c r="AB71" s="757"/>
      <c r="AC71" s="772"/>
      <c r="AD71" s="772"/>
      <c r="AE71" s="757"/>
      <c r="AF71" s="757"/>
    </row>
    <row r="72">
      <c r="A72" s="744"/>
      <c r="B72" s="744"/>
      <c r="C72" s="757"/>
      <c r="D72" s="744"/>
      <c r="E72" s="780"/>
      <c r="F72" s="744"/>
      <c r="G72" s="930"/>
      <c r="H72" s="744"/>
      <c r="I72" s="744"/>
      <c r="J72" s="781"/>
      <c r="K72" s="781"/>
      <c r="L72" s="781"/>
      <c r="M72" s="931"/>
      <c r="N72" s="744"/>
      <c r="O72" s="744"/>
      <c r="P72" s="755"/>
      <c r="Q72" s="755"/>
      <c r="R72" s="755"/>
      <c r="S72" s="932"/>
      <c r="T72" s="932"/>
      <c r="U72" s="753"/>
      <c r="V72" s="754"/>
      <c r="W72" s="744"/>
      <c r="X72" s="756"/>
      <c r="Y72" s="757"/>
      <c r="Z72" s="757"/>
      <c r="AA72" s="757"/>
      <c r="AB72" s="757"/>
      <c r="AC72" s="772"/>
      <c r="AD72" s="772"/>
      <c r="AE72" s="757"/>
      <c r="AF72" s="757"/>
    </row>
    <row r="73">
      <c r="A73" s="744"/>
      <c r="B73" s="744"/>
      <c r="C73" s="757"/>
      <c r="D73" s="744"/>
      <c r="E73" s="780"/>
      <c r="F73" s="744"/>
      <c r="G73" s="930"/>
      <c r="H73" s="744"/>
      <c r="I73" s="744"/>
      <c r="J73" s="781"/>
      <c r="K73" s="781"/>
      <c r="L73" s="781"/>
      <c r="M73" s="931"/>
      <c r="N73" s="744"/>
      <c r="O73" s="744"/>
      <c r="P73" s="755"/>
      <c r="Q73" s="755"/>
      <c r="R73" s="755"/>
      <c r="S73" s="932"/>
      <c r="T73" s="932"/>
      <c r="U73" s="753"/>
      <c r="V73" s="754"/>
      <c r="W73" s="744"/>
      <c r="X73" s="756"/>
      <c r="Y73" s="757"/>
      <c r="Z73" s="757"/>
      <c r="AA73" s="757"/>
      <c r="AB73" s="757"/>
      <c r="AC73" s="772"/>
      <c r="AD73" s="772"/>
      <c r="AE73" s="757"/>
      <c r="AF73" s="757"/>
    </row>
    <row r="74">
      <c r="A74" s="744"/>
      <c r="B74" s="744"/>
      <c r="C74" s="757"/>
      <c r="D74" s="744"/>
      <c r="E74" s="780"/>
      <c r="F74" s="744"/>
      <c r="G74" s="930"/>
      <c r="H74" s="744"/>
      <c r="I74" s="744"/>
      <c r="J74" s="781"/>
      <c r="K74" s="781"/>
      <c r="L74" s="781"/>
      <c r="M74" s="931"/>
      <c r="N74" s="744"/>
      <c r="O74" s="744"/>
      <c r="P74" s="755"/>
      <c r="Q74" s="755"/>
      <c r="R74" s="755"/>
      <c r="S74" s="932"/>
      <c r="T74" s="932"/>
      <c r="U74" s="753"/>
      <c r="V74" s="754"/>
      <c r="W74" s="744"/>
      <c r="X74" s="756"/>
      <c r="Y74" s="757"/>
      <c r="Z74" s="757"/>
      <c r="AA74" s="757"/>
      <c r="AB74" s="757"/>
      <c r="AC74" s="772"/>
      <c r="AD74" s="772"/>
      <c r="AE74" s="757"/>
      <c r="AF74" s="757"/>
    </row>
    <row r="75">
      <c r="A75" s="744"/>
      <c r="B75" s="744"/>
      <c r="C75" s="757"/>
      <c r="D75" s="744"/>
      <c r="E75" s="780"/>
      <c r="F75" s="744"/>
      <c r="G75" s="930"/>
      <c r="H75" s="744"/>
      <c r="I75" s="744"/>
      <c r="J75" s="781"/>
      <c r="K75" s="781"/>
      <c r="L75" s="781"/>
      <c r="M75" s="931"/>
      <c r="N75" s="744"/>
      <c r="O75" s="744"/>
      <c r="P75" s="755"/>
      <c r="Q75" s="755"/>
      <c r="R75" s="755"/>
      <c r="S75" s="932"/>
      <c r="T75" s="932"/>
      <c r="U75" s="753"/>
      <c r="V75" s="754"/>
      <c r="W75" s="744"/>
      <c r="X75" s="756"/>
      <c r="Y75" s="757"/>
      <c r="Z75" s="757"/>
      <c r="AA75" s="757"/>
      <c r="AB75" s="757"/>
      <c r="AC75" s="772"/>
      <c r="AD75" s="772"/>
      <c r="AE75" s="757"/>
      <c r="AF75" s="757"/>
    </row>
    <row r="76">
      <c r="A76" s="744"/>
      <c r="B76" s="744"/>
      <c r="C76" s="757"/>
      <c r="D76" s="744"/>
      <c r="E76" s="780"/>
      <c r="F76" s="744"/>
      <c r="G76" s="930"/>
      <c r="H76" s="744"/>
      <c r="I76" s="744"/>
      <c r="J76" s="781"/>
      <c r="K76" s="781"/>
      <c r="L76" s="781"/>
      <c r="M76" s="931"/>
      <c r="N76" s="744"/>
      <c r="O76" s="744"/>
      <c r="P76" s="755"/>
      <c r="Q76" s="755"/>
      <c r="R76" s="755"/>
      <c r="S76" s="932"/>
      <c r="T76" s="932"/>
      <c r="U76" s="753"/>
      <c r="V76" s="754"/>
      <c r="W76" s="744"/>
      <c r="X76" s="756"/>
      <c r="Y76" s="757"/>
      <c r="Z76" s="757"/>
      <c r="AA76" s="757"/>
      <c r="AB76" s="757"/>
      <c r="AC76" s="772"/>
      <c r="AD76" s="772"/>
      <c r="AE76" s="757"/>
      <c r="AF76" s="757"/>
    </row>
    <row r="77">
      <c r="A77" s="744"/>
      <c r="B77" s="744"/>
      <c r="C77" s="757"/>
      <c r="D77" s="744"/>
      <c r="E77" s="780"/>
      <c r="F77" s="744"/>
      <c r="G77" s="930"/>
      <c r="H77" s="744"/>
      <c r="I77" s="744"/>
      <c r="J77" s="781"/>
      <c r="K77" s="781"/>
      <c r="L77" s="781"/>
      <c r="M77" s="931"/>
      <c r="N77" s="744"/>
      <c r="O77" s="744"/>
      <c r="P77" s="755"/>
      <c r="Q77" s="755"/>
      <c r="R77" s="755"/>
      <c r="S77" s="932"/>
      <c r="T77" s="932"/>
      <c r="U77" s="753"/>
      <c r="V77" s="754"/>
      <c r="W77" s="744"/>
      <c r="X77" s="756"/>
      <c r="Y77" s="757"/>
      <c r="Z77" s="757"/>
      <c r="AA77" s="757"/>
      <c r="AB77" s="757"/>
      <c r="AC77" s="772"/>
      <c r="AD77" s="772"/>
      <c r="AE77" s="757"/>
      <c r="AF77" s="757"/>
    </row>
    <row r="78">
      <c r="A78" s="744"/>
      <c r="B78" s="744"/>
      <c r="C78" s="757"/>
      <c r="D78" s="744"/>
      <c r="E78" s="780"/>
      <c r="F78" s="744"/>
      <c r="G78" s="930"/>
      <c r="H78" s="744"/>
      <c r="I78" s="744"/>
      <c r="J78" s="781"/>
      <c r="K78" s="781"/>
      <c r="L78" s="781"/>
      <c r="M78" s="931"/>
      <c r="N78" s="744"/>
      <c r="O78" s="744"/>
      <c r="P78" s="755"/>
      <c r="Q78" s="755"/>
      <c r="R78" s="755"/>
      <c r="S78" s="932"/>
      <c r="T78" s="932"/>
      <c r="U78" s="753"/>
      <c r="V78" s="754"/>
      <c r="W78" s="744"/>
      <c r="X78" s="756"/>
      <c r="Y78" s="757"/>
      <c r="Z78" s="757"/>
      <c r="AA78" s="757"/>
      <c r="AB78" s="757"/>
      <c r="AC78" s="772"/>
      <c r="AD78" s="772"/>
      <c r="AE78" s="757"/>
      <c r="AF78" s="757"/>
    </row>
    <row r="79">
      <c r="A79" s="744"/>
      <c r="B79" s="744"/>
      <c r="C79" s="757"/>
      <c r="D79" s="744"/>
      <c r="E79" s="780"/>
      <c r="F79" s="744"/>
      <c r="G79" s="930"/>
      <c r="H79" s="744"/>
      <c r="I79" s="744"/>
      <c r="J79" s="781"/>
      <c r="K79" s="781"/>
      <c r="L79" s="781"/>
      <c r="M79" s="931"/>
      <c r="N79" s="744"/>
      <c r="O79" s="744"/>
      <c r="P79" s="755"/>
      <c r="Q79" s="755"/>
      <c r="R79" s="755"/>
      <c r="S79" s="932"/>
      <c r="T79" s="932"/>
      <c r="U79" s="753"/>
      <c r="V79" s="754"/>
      <c r="W79" s="744"/>
      <c r="X79" s="756"/>
      <c r="Y79" s="757"/>
      <c r="Z79" s="757"/>
      <c r="AA79" s="757"/>
      <c r="AB79" s="757"/>
      <c r="AC79" s="772"/>
      <c r="AD79" s="772"/>
      <c r="AE79" s="757"/>
      <c r="AF79" s="757"/>
    </row>
    <row r="80">
      <c r="A80" s="744"/>
      <c r="B80" s="744"/>
      <c r="C80" s="757"/>
      <c r="D80" s="744"/>
      <c r="E80" s="780"/>
      <c r="F80" s="744"/>
      <c r="G80" s="930"/>
      <c r="H80" s="744"/>
      <c r="I80" s="744"/>
      <c r="J80" s="781"/>
      <c r="K80" s="781"/>
      <c r="L80" s="781"/>
      <c r="M80" s="931"/>
      <c r="N80" s="744"/>
      <c r="O80" s="744"/>
      <c r="P80" s="755"/>
      <c r="Q80" s="755"/>
      <c r="R80" s="755"/>
      <c r="S80" s="932"/>
      <c r="T80" s="932"/>
      <c r="U80" s="753"/>
      <c r="V80" s="754"/>
      <c r="W80" s="744"/>
      <c r="X80" s="756"/>
      <c r="Y80" s="757"/>
      <c r="Z80" s="757"/>
      <c r="AA80" s="757"/>
      <c r="AB80" s="757"/>
      <c r="AC80" s="772"/>
      <c r="AD80" s="772"/>
      <c r="AE80" s="757"/>
      <c r="AF80" s="757"/>
    </row>
    <row r="81">
      <c r="A81" s="744"/>
      <c r="B81" s="744"/>
      <c r="C81" s="757"/>
      <c r="D81" s="744"/>
      <c r="E81" s="780"/>
      <c r="F81" s="744"/>
      <c r="G81" s="930"/>
      <c r="H81" s="744"/>
      <c r="I81" s="744"/>
      <c r="J81" s="781"/>
      <c r="K81" s="781"/>
      <c r="L81" s="781"/>
      <c r="M81" s="931"/>
      <c r="N81" s="744"/>
      <c r="O81" s="744"/>
      <c r="P81" s="755"/>
      <c r="Q81" s="755"/>
      <c r="R81" s="755"/>
      <c r="S81" s="932"/>
      <c r="T81" s="932"/>
      <c r="U81" s="753"/>
      <c r="V81" s="754"/>
      <c r="W81" s="744"/>
      <c r="X81" s="756"/>
      <c r="Y81" s="757"/>
      <c r="Z81" s="757"/>
      <c r="AA81" s="757"/>
      <c r="AB81" s="757"/>
      <c r="AC81" s="772"/>
      <c r="AD81" s="772"/>
      <c r="AE81" s="757"/>
      <c r="AF81" s="757"/>
    </row>
    <row r="82">
      <c r="A82" s="744"/>
      <c r="B82" s="744"/>
      <c r="C82" s="757"/>
      <c r="D82" s="744"/>
      <c r="E82" s="780"/>
      <c r="F82" s="744"/>
      <c r="G82" s="930"/>
      <c r="H82" s="744"/>
      <c r="I82" s="744"/>
      <c r="J82" s="781"/>
      <c r="K82" s="781"/>
      <c r="L82" s="781"/>
      <c r="M82" s="931"/>
      <c r="N82" s="744"/>
      <c r="O82" s="744"/>
      <c r="P82" s="755"/>
      <c r="Q82" s="755"/>
      <c r="R82" s="755"/>
      <c r="S82" s="932"/>
      <c r="T82" s="932"/>
      <c r="U82" s="753"/>
      <c r="V82" s="754"/>
      <c r="W82" s="744"/>
      <c r="X82" s="756"/>
      <c r="Y82" s="757"/>
      <c r="Z82" s="757"/>
      <c r="AA82" s="757"/>
      <c r="AB82" s="757"/>
      <c r="AC82" s="772"/>
      <c r="AD82" s="772"/>
      <c r="AE82" s="757"/>
      <c r="AF82" s="757"/>
    </row>
    <row r="83">
      <c r="A83" s="744"/>
      <c r="B83" s="744"/>
      <c r="C83" s="757"/>
      <c r="D83" s="744"/>
      <c r="E83" s="780"/>
      <c r="F83" s="744"/>
      <c r="G83" s="930"/>
      <c r="H83" s="744"/>
      <c r="I83" s="744"/>
      <c r="J83" s="781"/>
      <c r="K83" s="781"/>
      <c r="L83" s="781"/>
      <c r="M83" s="931"/>
      <c r="N83" s="744"/>
      <c r="O83" s="744"/>
      <c r="P83" s="755"/>
      <c r="Q83" s="755"/>
      <c r="R83" s="755"/>
      <c r="S83" s="932"/>
      <c r="T83" s="932"/>
      <c r="U83" s="753"/>
      <c r="V83" s="754"/>
      <c r="W83" s="744"/>
      <c r="X83" s="756"/>
      <c r="Y83" s="757"/>
      <c r="Z83" s="757"/>
      <c r="AA83" s="757"/>
      <c r="AB83" s="757"/>
      <c r="AC83" s="772"/>
      <c r="AD83" s="772"/>
      <c r="AE83" s="757"/>
      <c r="AF83" s="757"/>
    </row>
    <row r="84">
      <c r="A84" s="237"/>
      <c r="B84" s="237"/>
      <c r="D84" s="237"/>
      <c r="E84" s="238"/>
      <c r="F84" s="237"/>
      <c r="G84" s="952"/>
      <c r="H84" s="237"/>
      <c r="I84" s="237"/>
      <c r="J84" s="240"/>
      <c r="K84" s="240"/>
      <c r="L84" s="240"/>
      <c r="M84" s="794"/>
      <c r="N84" s="237"/>
      <c r="O84" s="237"/>
      <c r="P84" s="243"/>
      <c r="Q84" s="243"/>
      <c r="R84" s="243"/>
      <c r="S84" s="953"/>
      <c r="T84" s="953"/>
      <c r="U84" s="803"/>
      <c r="V84" s="504"/>
      <c r="W84" s="237"/>
      <c r="X84" s="505"/>
      <c r="Y84" s="122"/>
      <c r="Z84" s="122"/>
      <c r="AC84" s="28"/>
      <c r="AD84" s="28"/>
      <c r="AF84" s="122"/>
    </row>
    <row r="85">
      <c r="A85" s="237"/>
      <c r="B85" s="237"/>
      <c r="D85" s="237"/>
      <c r="E85" s="238"/>
      <c r="F85" s="237"/>
      <c r="G85" s="952"/>
      <c r="H85" s="237"/>
      <c r="I85" s="237"/>
      <c r="J85" s="240"/>
      <c r="K85" s="240"/>
      <c r="L85" s="240"/>
      <c r="M85" s="794"/>
      <c r="N85" s="237"/>
      <c r="O85" s="237"/>
      <c r="P85" s="243"/>
      <c r="Q85" s="243"/>
      <c r="R85" s="243"/>
      <c r="S85" s="953"/>
      <c r="T85" s="953"/>
      <c r="U85" s="803"/>
      <c r="V85" s="504"/>
      <c r="W85" s="237"/>
      <c r="X85" s="505"/>
      <c r="Y85" s="122"/>
      <c r="Z85" s="122"/>
      <c r="AC85" s="28"/>
      <c r="AD85" s="28"/>
      <c r="AF85" s="122"/>
    </row>
    <row r="86">
      <c r="A86" s="237"/>
      <c r="B86" s="237"/>
      <c r="D86" s="237"/>
      <c r="E86" s="238"/>
      <c r="F86" s="237"/>
      <c r="G86" s="952"/>
      <c r="H86" s="237"/>
      <c r="I86" s="237"/>
      <c r="J86" s="240"/>
      <c r="K86" s="240"/>
      <c r="L86" s="240"/>
      <c r="M86" s="794"/>
      <c r="N86" s="237"/>
      <c r="O86" s="237"/>
      <c r="P86" s="243"/>
      <c r="Q86" s="243"/>
      <c r="R86" s="243"/>
      <c r="S86" s="953"/>
      <c r="T86" s="953"/>
      <c r="U86" s="803"/>
      <c r="V86" s="504"/>
      <c r="W86" s="237"/>
      <c r="X86" s="505"/>
      <c r="Y86" s="122"/>
      <c r="Z86" s="122"/>
      <c r="AC86" s="28"/>
      <c r="AD86" s="28"/>
      <c r="AF86" s="122"/>
    </row>
    <row r="87">
      <c r="A87" s="237"/>
      <c r="B87" s="237"/>
      <c r="D87" s="237"/>
      <c r="E87" s="238"/>
      <c r="F87" s="237"/>
      <c r="G87" s="952"/>
      <c r="H87" s="237"/>
      <c r="I87" s="237"/>
      <c r="J87" s="240"/>
      <c r="K87" s="240"/>
      <c r="L87" s="240"/>
      <c r="M87" s="794"/>
      <c r="N87" s="237"/>
      <c r="O87" s="237"/>
      <c r="P87" s="243"/>
      <c r="Q87" s="243"/>
      <c r="R87" s="243"/>
      <c r="S87" s="953"/>
      <c r="T87" s="953"/>
      <c r="U87" s="803"/>
      <c r="V87" s="504"/>
      <c r="W87" s="237"/>
      <c r="X87" s="505"/>
      <c r="Y87" s="122"/>
      <c r="Z87" s="122"/>
      <c r="AC87" s="28"/>
      <c r="AD87" s="28"/>
      <c r="AF87" s="122"/>
    </row>
    <row r="88">
      <c r="A88" s="237"/>
      <c r="B88" s="237"/>
      <c r="D88" s="237"/>
      <c r="E88" s="238"/>
      <c r="F88" s="237"/>
      <c r="G88" s="952"/>
      <c r="H88" s="237"/>
      <c r="I88" s="237"/>
      <c r="J88" s="240"/>
      <c r="K88" s="240"/>
      <c r="L88" s="240"/>
      <c r="M88" s="794"/>
      <c r="N88" s="237"/>
      <c r="O88" s="237"/>
      <c r="P88" s="243"/>
      <c r="Q88" s="243"/>
      <c r="R88" s="243"/>
      <c r="S88" s="953"/>
      <c r="T88" s="953"/>
      <c r="U88" s="803"/>
      <c r="V88" s="504"/>
      <c r="W88" s="237"/>
      <c r="X88" s="505"/>
      <c r="Y88" s="122"/>
      <c r="Z88" s="122"/>
      <c r="AC88" s="28"/>
      <c r="AD88" s="28"/>
      <c r="AF88" s="122"/>
    </row>
    <row r="89">
      <c r="A89" s="237"/>
      <c r="B89" s="237"/>
      <c r="D89" s="237"/>
      <c r="E89" s="238"/>
      <c r="F89" s="237"/>
      <c r="G89" s="952"/>
      <c r="H89" s="237"/>
      <c r="I89" s="237"/>
      <c r="J89" s="240"/>
      <c r="K89" s="240"/>
      <c r="L89" s="240"/>
      <c r="M89" s="794"/>
      <c r="N89" s="237"/>
      <c r="O89" s="237"/>
      <c r="P89" s="243"/>
      <c r="Q89" s="243"/>
      <c r="R89" s="243"/>
      <c r="S89" s="953"/>
      <c r="T89" s="953"/>
      <c r="U89" s="803"/>
      <c r="V89" s="504"/>
      <c r="W89" s="237"/>
      <c r="X89" s="505"/>
      <c r="Y89" s="122"/>
      <c r="Z89" s="122"/>
      <c r="AC89" s="28"/>
      <c r="AD89" s="28"/>
      <c r="AF89" s="122"/>
    </row>
    <row r="90">
      <c r="A90" s="237"/>
      <c r="B90" s="237"/>
      <c r="D90" s="237"/>
      <c r="E90" s="238"/>
      <c r="F90" s="237"/>
      <c r="G90" s="952"/>
      <c r="H90" s="237"/>
      <c r="I90" s="237"/>
      <c r="J90" s="240"/>
      <c r="K90" s="240"/>
      <c r="L90" s="240"/>
      <c r="M90" s="794"/>
      <c r="N90" s="237"/>
      <c r="O90" s="237"/>
      <c r="P90" s="243"/>
      <c r="Q90" s="243"/>
      <c r="R90" s="243"/>
      <c r="S90" s="953"/>
      <c r="T90" s="953"/>
      <c r="U90" s="803"/>
      <c r="V90" s="504"/>
      <c r="W90" s="237"/>
      <c r="X90" s="505"/>
      <c r="Y90" s="122"/>
      <c r="Z90" s="122"/>
      <c r="AC90" s="28"/>
      <c r="AD90" s="28"/>
      <c r="AF90" s="122"/>
    </row>
    <row r="91">
      <c r="A91" s="237"/>
      <c r="B91" s="237"/>
      <c r="D91" s="237"/>
      <c r="E91" s="238"/>
      <c r="F91" s="237"/>
      <c r="G91" s="952"/>
      <c r="H91" s="237"/>
      <c r="I91" s="237"/>
      <c r="J91" s="240"/>
      <c r="K91" s="240"/>
      <c r="L91" s="240"/>
      <c r="M91" s="794"/>
      <c r="N91" s="237"/>
      <c r="O91" s="237"/>
      <c r="P91" s="243"/>
      <c r="Q91" s="243"/>
      <c r="R91" s="243"/>
      <c r="S91" s="953"/>
      <c r="T91" s="953"/>
      <c r="U91" s="803"/>
      <c r="V91" s="504"/>
      <c r="W91" s="237"/>
      <c r="X91" s="505"/>
      <c r="Y91" s="122"/>
      <c r="Z91" s="122"/>
      <c r="AC91" s="28"/>
      <c r="AD91" s="28"/>
      <c r="AF91" s="122"/>
    </row>
    <row r="92">
      <c r="A92" s="237"/>
      <c r="B92" s="237"/>
      <c r="D92" s="237"/>
      <c r="E92" s="238"/>
      <c r="F92" s="237"/>
      <c r="G92" s="952"/>
      <c r="H92" s="237"/>
      <c r="I92" s="237"/>
      <c r="J92" s="240"/>
      <c r="K92" s="240"/>
      <c r="L92" s="240"/>
      <c r="M92" s="794"/>
      <c r="N92" s="237"/>
      <c r="O92" s="237"/>
      <c r="P92" s="243"/>
      <c r="Q92" s="243"/>
      <c r="R92" s="243"/>
      <c r="S92" s="953"/>
      <c r="T92" s="953"/>
      <c r="U92" s="803"/>
      <c r="V92" s="504"/>
      <c r="W92" s="237"/>
      <c r="X92" s="505"/>
      <c r="Y92" s="122"/>
      <c r="Z92" s="122"/>
      <c r="AC92" s="28"/>
      <c r="AD92" s="28"/>
      <c r="AF92" s="122"/>
    </row>
    <row r="93">
      <c r="A93" s="237"/>
      <c r="B93" s="237"/>
      <c r="D93" s="237"/>
      <c r="E93" s="238"/>
      <c r="F93" s="237"/>
      <c r="G93" s="952"/>
      <c r="H93" s="237"/>
      <c r="I93" s="237"/>
      <c r="J93" s="240"/>
      <c r="K93" s="240"/>
      <c r="L93" s="240"/>
      <c r="M93" s="794"/>
      <c r="N93" s="237"/>
      <c r="O93" s="237"/>
      <c r="P93" s="243"/>
      <c r="Q93" s="243"/>
      <c r="R93" s="243"/>
      <c r="S93" s="953"/>
      <c r="T93" s="953"/>
      <c r="U93" s="803"/>
      <c r="V93" s="504"/>
      <c r="W93" s="237"/>
      <c r="X93" s="505"/>
      <c r="Y93" s="122"/>
      <c r="Z93" s="122"/>
      <c r="AC93" s="28"/>
      <c r="AD93" s="28"/>
      <c r="AF93" s="122"/>
    </row>
    <row r="94">
      <c r="A94" s="237"/>
      <c r="B94" s="237"/>
      <c r="D94" s="237"/>
      <c r="E94" s="238"/>
      <c r="F94" s="237"/>
      <c r="G94" s="952"/>
      <c r="H94" s="237"/>
      <c r="I94" s="237"/>
      <c r="J94" s="240"/>
      <c r="K94" s="240"/>
      <c r="L94" s="240"/>
      <c r="M94" s="794"/>
      <c r="N94" s="237"/>
      <c r="O94" s="237"/>
      <c r="P94" s="243"/>
      <c r="Q94" s="243"/>
      <c r="R94" s="243"/>
      <c r="S94" s="953"/>
      <c r="T94" s="953"/>
      <c r="U94" s="803"/>
      <c r="V94" s="504"/>
      <c r="W94" s="237"/>
      <c r="X94" s="505"/>
      <c r="Y94" s="122"/>
      <c r="Z94" s="122"/>
      <c r="AC94" s="28"/>
      <c r="AD94" s="28"/>
      <c r="AF94" s="122"/>
    </row>
    <row r="95">
      <c r="A95" s="237"/>
      <c r="B95" s="237"/>
      <c r="D95" s="237"/>
      <c r="E95" s="238"/>
      <c r="F95" s="237"/>
      <c r="G95" s="952"/>
      <c r="H95" s="237"/>
      <c r="I95" s="237"/>
      <c r="J95" s="240"/>
      <c r="K95" s="240"/>
      <c r="L95" s="240"/>
      <c r="M95" s="794"/>
      <c r="N95" s="237"/>
      <c r="O95" s="237"/>
      <c r="P95" s="243"/>
      <c r="Q95" s="243"/>
      <c r="R95" s="243"/>
      <c r="S95" s="953"/>
      <c r="T95" s="953"/>
      <c r="U95" s="803"/>
      <c r="V95" s="504"/>
      <c r="W95" s="237"/>
      <c r="X95" s="505"/>
      <c r="Y95" s="122"/>
      <c r="Z95" s="122"/>
      <c r="AC95" s="28"/>
      <c r="AD95" s="28"/>
      <c r="AF95" s="122"/>
    </row>
    <row r="96">
      <c r="A96" s="237"/>
      <c r="B96" s="237"/>
      <c r="D96" s="237"/>
      <c r="E96" s="238"/>
      <c r="F96" s="237"/>
      <c r="G96" s="952"/>
      <c r="H96" s="237"/>
      <c r="I96" s="237"/>
      <c r="J96" s="240"/>
      <c r="K96" s="240"/>
      <c r="L96" s="240"/>
      <c r="M96" s="794"/>
      <c r="N96" s="237"/>
      <c r="O96" s="237"/>
      <c r="P96" s="243"/>
      <c r="Q96" s="243"/>
      <c r="R96" s="243"/>
      <c r="S96" s="953"/>
      <c r="T96" s="953"/>
      <c r="U96" s="803"/>
      <c r="V96" s="504"/>
      <c r="W96" s="237"/>
      <c r="X96" s="505"/>
      <c r="Y96" s="122"/>
      <c r="Z96" s="122"/>
      <c r="AC96" s="28"/>
      <c r="AD96" s="28"/>
      <c r="AF96" s="122"/>
    </row>
    <row r="97">
      <c r="A97" s="237"/>
      <c r="B97" s="237"/>
      <c r="D97" s="237"/>
      <c r="E97" s="238"/>
      <c r="F97" s="237"/>
      <c r="G97" s="952"/>
      <c r="H97" s="237"/>
      <c r="I97" s="237"/>
      <c r="J97" s="240"/>
      <c r="K97" s="240"/>
      <c r="L97" s="240"/>
      <c r="M97" s="794"/>
      <c r="N97" s="237"/>
      <c r="O97" s="237"/>
      <c r="P97" s="243"/>
      <c r="Q97" s="243"/>
      <c r="R97" s="243"/>
      <c r="S97" s="953"/>
      <c r="T97" s="953"/>
      <c r="U97" s="803"/>
      <c r="V97" s="504"/>
      <c r="W97" s="237"/>
      <c r="X97" s="505"/>
      <c r="Y97" s="122"/>
      <c r="Z97" s="122"/>
      <c r="AC97" s="28"/>
      <c r="AD97" s="28"/>
      <c r="AF97" s="122"/>
    </row>
    <row r="98">
      <c r="A98" s="237"/>
      <c r="B98" s="237"/>
      <c r="D98" s="237"/>
      <c r="E98" s="238"/>
      <c r="F98" s="237"/>
      <c r="G98" s="952"/>
      <c r="H98" s="237"/>
      <c r="I98" s="237"/>
      <c r="J98" s="240"/>
      <c r="K98" s="240"/>
      <c r="L98" s="240"/>
      <c r="M98" s="794"/>
      <c r="N98" s="237"/>
      <c r="O98" s="237"/>
      <c r="P98" s="243"/>
      <c r="Q98" s="243"/>
      <c r="R98" s="243"/>
      <c r="S98" s="953"/>
      <c r="T98" s="953"/>
      <c r="U98" s="803"/>
      <c r="V98" s="504"/>
      <c r="W98" s="237"/>
      <c r="X98" s="505"/>
      <c r="Y98" s="122"/>
      <c r="Z98" s="122"/>
      <c r="AC98" s="28"/>
      <c r="AD98" s="28"/>
      <c r="AF98" s="122"/>
    </row>
    <row r="99">
      <c r="A99" s="237"/>
      <c r="B99" s="237"/>
      <c r="D99" s="237"/>
      <c r="E99" s="238"/>
      <c r="F99" s="237"/>
      <c r="G99" s="952"/>
      <c r="H99" s="237"/>
      <c r="I99" s="237"/>
      <c r="J99" s="240"/>
      <c r="K99" s="240"/>
      <c r="L99" s="240"/>
      <c r="M99" s="794"/>
      <c r="N99" s="237"/>
      <c r="O99" s="237"/>
      <c r="P99" s="243"/>
      <c r="Q99" s="243"/>
      <c r="R99" s="243"/>
      <c r="S99" s="953"/>
      <c r="T99" s="953"/>
      <c r="U99" s="803"/>
      <c r="V99" s="504"/>
      <c r="W99" s="237"/>
      <c r="X99" s="505"/>
      <c r="Y99" s="122"/>
      <c r="Z99" s="122"/>
      <c r="AC99" s="28"/>
      <c r="AD99" s="28"/>
      <c r="AF99" s="122"/>
    </row>
    <row r="100">
      <c r="A100" s="237"/>
      <c r="B100" s="237"/>
      <c r="D100" s="237"/>
      <c r="E100" s="238"/>
      <c r="F100" s="237"/>
      <c r="G100" s="952"/>
      <c r="H100" s="237"/>
      <c r="I100" s="237"/>
      <c r="J100" s="240"/>
      <c r="K100" s="240"/>
      <c r="L100" s="240"/>
      <c r="M100" s="794"/>
      <c r="N100" s="237"/>
      <c r="O100" s="237"/>
      <c r="P100" s="243"/>
      <c r="Q100" s="243"/>
      <c r="R100" s="243"/>
      <c r="S100" s="953"/>
      <c r="T100" s="953"/>
      <c r="U100" s="803"/>
      <c r="V100" s="504"/>
      <c r="W100" s="237"/>
      <c r="X100" s="505"/>
      <c r="Y100" s="122"/>
      <c r="Z100" s="122"/>
      <c r="AC100" s="28"/>
      <c r="AD100" s="28"/>
      <c r="AF100" s="122"/>
    </row>
    <row r="101">
      <c r="A101" s="237"/>
      <c r="B101" s="237"/>
      <c r="D101" s="237"/>
      <c r="E101" s="238"/>
      <c r="F101" s="237"/>
      <c r="G101" s="952"/>
      <c r="H101" s="237"/>
      <c r="I101" s="237"/>
      <c r="J101" s="240"/>
      <c r="K101" s="240"/>
      <c r="L101" s="240"/>
      <c r="M101" s="794"/>
      <c r="N101" s="237"/>
      <c r="O101" s="237"/>
      <c r="P101" s="243"/>
      <c r="Q101" s="243"/>
      <c r="R101" s="243"/>
      <c r="S101" s="953"/>
      <c r="T101" s="953"/>
      <c r="U101" s="803"/>
      <c r="V101" s="504"/>
      <c r="W101" s="237"/>
      <c r="X101" s="505"/>
      <c r="Y101" s="122"/>
      <c r="Z101" s="122"/>
      <c r="AC101" s="28"/>
      <c r="AD101" s="28"/>
      <c r="AF101" s="122"/>
    </row>
    <row r="102">
      <c r="A102" s="237"/>
      <c r="B102" s="237"/>
      <c r="D102" s="237"/>
      <c r="E102" s="238"/>
      <c r="F102" s="237"/>
      <c r="G102" s="952"/>
      <c r="H102" s="237"/>
      <c r="I102" s="237"/>
      <c r="J102" s="240"/>
      <c r="K102" s="240"/>
      <c r="L102" s="240"/>
      <c r="M102" s="794"/>
      <c r="N102" s="237"/>
      <c r="O102" s="237"/>
      <c r="P102" s="243"/>
      <c r="Q102" s="243"/>
      <c r="R102" s="243"/>
      <c r="S102" s="953"/>
      <c r="T102" s="953"/>
      <c r="U102" s="803"/>
      <c r="V102" s="504"/>
      <c r="W102" s="237"/>
      <c r="X102" s="505"/>
      <c r="Y102" s="122"/>
      <c r="Z102" s="122"/>
      <c r="AC102" s="28"/>
      <c r="AD102" s="28"/>
      <c r="AF102" s="122"/>
    </row>
    <row r="103">
      <c r="A103" s="237"/>
      <c r="B103" s="237"/>
      <c r="D103" s="237"/>
      <c r="E103" s="238"/>
      <c r="F103" s="237"/>
      <c r="G103" s="952"/>
      <c r="H103" s="237"/>
      <c r="I103" s="237"/>
      <c r="J103" s="240"/>
      <c r="K103" s="240"/>
      <c r="L103" s="240"/>
      <c r="M103" s="794"/>
      <c r="N103" s="237"/>
      <c r="O103" s="237"/>
      <c r="P103" s="243"/>
      <c r="Q103" s="243"/>
      <c r="R103" s="243"/>
      <c r="S103" s="953"/>
      <c r="T103" s="953"/>
      <c r="U103" s="803"/>
      <c r="V103" s="504"/>
      <c r="W103" s="237"/>
      <c r="X103" s="505"/>
      <c r="Y103" s="122"/>
      <c r="Z103" s="122"/>
      <c r="AC103" s="28"/>
      <c r="AD103" s="28"/>
      <c r="AF103" s="122"/>
    </row>
    <row r="104">
      <c r="A104" s="237"/>
      <c r="B104" s="237"/>
      <c r="D104" s="237"/>
      <c r="E104" s="238"/>
      <c r="F104" s="237"/>
      <c r="G104" s="952"/>
      <c r="H104" s="237"/>
      <c r="I104" s="237"/>
      <c r="J104" s="240"/>
      <c r="K104" s="240"/>
      <c r="L104" s="240"/>
      <c r="M104" s="794"/>
      <c r="N104" s="237"/>
      <c r="O104" s="237"/>
      <c r="P104" s="243"/>
      <c r="Q104" s="243"/>
      <c r="R104" s="243"/>
      <c r="S104" s="953"/>
      <c r="T104" s="953"/>
      <c r="U104" s="803"/>
      <c r="V104" s="504"/>
      <c r="W104" s="237"/>
      <c r="X104" s="505"/>
      <c r="Y104" s="122"/>
      <c r="Z104" s="122"/>
      <c r="AC104" s="28"/>
      <c r="AD104" s="28"/>
      <c r="AF104" s="122"/>
    </row>
    <row r="105">
      <c r="A105" s="237"/>
      <c r="B105" s="237"/>
      <c r="D105" s="237"/>
      <c r="E105" s="238"/>
      <c r="F105" s="237"/>
      <c r="G105" s="952"/>
      <c r="H105" s="237"/>
      <c r="I105" s="237"/>
      <c r="J105" s="240"/>
      <c r="K105" s="240"/>
      <c r="L105" s="240"/>
      <c r="M105" s="794"/>
      <c r="N105" s="237"/>
      <c r="O105" s="237"/>
      <c r="P105" s="243"/>
      <c r="Q105" s="243"/>
      <c r="R105" s="243"/>
      <c r="S105" s="953"/>
      <c r="T105" s="953"/>
      <c r="U105" s="803"/>
      <c r="V105" s="504"/>
      <c r="W105" s="237"/>
      <c r="X105" s="505"/>
      <c r="Y105" s="122"/>
      <c r="Z105" s="122"/>
      <c r="AC105" s="28"/>
      <c r="AD105" s="28"/>
      <c r="AF105" s="122"/>
    </row>
    <row r="106">
      <c r="A106" s="237"/>
      <c r="B106" s="237"/>
      <c r="D106" s="237"/>
      <c r="E106" s="238"/>
      <c r="F106" s="237"/>
      <c r="G106" s="952"/>
      <c r="H106" s="237"/>
      <c r="I106" s="237"/>
      <c r="J106" s="240"/>
      <c r="K106" s="240"/>
      <c r="L106" s="240"/>
      <c r="M106" s="794"/>
      <c r="N106" s="237"/>
      <c r="O106" s="237"/>
      <c r="P106" s="243"/>
      <c r="Q106" s="243"/>
      <c r="R106" s="243"/>
      <c r="S106" s="953"/>
      <c r="T106" s="953"/>
      <c r="U106" s="803"/>
      <c r="V106" s="504"/>
      <c r="W106" s="237"/>
      <c r="X106" s="505"/>
      <c r="Y106" s="122"/>
      <c r="Z106" s="122"/>
      <c r="AC106" s="28"/>
      <c r="AD106" s="28"/>
      <c r="AF106" s="122"/>
    </row>
    <row r="107">
      <c r="A107" s="237"/>
      <c r="B107" s="237"/>
      <c r="D107" s="237"/>
      <c r="E107" s="238"/>
      <c r="F107" s="237"/>
      <c r="G107" s="952"/>
      <c r="H107" s="237"/>
      <c r="I107" s="237"/>
      <c r="J107" s="240"/>
      <c r="K107" s="240"/>
      <c r="L107" s="240"/>
      <c r="M107" s="794"/>
      <c r="N107" s="237"/>
      <c r="O107" s="237"/>
      <c r="P107" s="243"/>
      <c r="Q107" s="243"/>
      <c r="R107" s="243"/>
      <c r="S107" s="953"/>
      <c r="T107" s="953"/>
      <c r="U107" s="803"/>
      <c r="V107" s="504"/>
      <c r="W107" s="237"/>
      <c r="X107" s="505"/>
      <c r="Y107" s="122"/>
      <c r="Z107" s="122"/>
      <c r="AC107" s="28"/>
      <c r="AD107" s="28"/>
      <c r="AF107" s="122"/>
    </row>
    <row r="108">
      <c r="A108" s="237"/>
      <c r="B108" s="237"/>
      <c r="D108" s="237"/>
      <c r="E108" s="238"/>
      <c r="F108" s="237"/>
      <c r="G108" s="952"/>
      <c r="H108" s="237"/>
      <c r="I108" s="237"/>
      <c r="J108" s="240"/>
      <c r="K108" s="240"/>
      <c r="L108" s="240"/>
      <c r="M108" s="794"/>
      <c r="N108" s="237"/>
      <c r="O108" s="237"/>
      <c r="P108" s="243"/>
      <c r="Q108" s="243"/>
      <c r="R108" s="243"/>
      <c r="S108" s="953"/>
      <c r="T108" s="953"/>
      <c r="U108" s="803"/>
      <c r="V108" s="504"/>
      <c r="W108" s="237"/>
      <c r="X108" s="505"/>
      <c r="Y108" s="122"/>
      <c r="Z108" s="122"/>
      <c r="AC108" s="28"/>
      <c r="AD108" s="28"/>
      <c r="AF108" s="122"/>
    </row>
    <row r="109">
      <c r="A109" s="237"/>
      <c r="B109" s="237"/>
      <c r="D109" s="237"/>
      <c r="E109" s="238"/>
      <c r="F109" s="237"/>
      <c r="G109" s="952"/>
      <c r="H109" s="237"/>
      <c r="I109" s="237"/>
      <c r="J109" s="240"/>
      <c r="K109" s="240"/>
      <c r="L109" s="240"/>
      <c r="M109" s="794"/>
      <c r="N109" s="237"/>
      <c r="O109" s="237"/>
      <c r="P109" s="243"/>
      <c r="Q109" s="243"/>
      <c r="R109" s="243"/>
      <c r="S109" s="953"/>
      <c r="T109" s="953"/>
      <c r="U109" s="803"/>
      <c r="V109" s="504"/>
      <c r="W109" s="237"/>
      <c r="X109" s="505"/>
      <c r="Y109" s="122"/>
      <c r="Z109" s="122"/>
      <c r="AC109" s="28"/>
      <c r="AD109" s="28"/>
      <c r="AF109" s="122"/>
    </row>
    <row r="110">
      <c r="A110" s="237"/>
      <c r="B110" s="237"/>
      <c r="D110" s="237"/>
      <c r="E110" s="238"/>
      <c r="F110" s="237"/>
      <c r="G110" s="952"/>
      <c r="H110" s="237"/>
      <c r="I110" s="237"/>
      <c r="J110" s="240"/>
      <c r="K110" s="240"/>
      <c r="L110" s="240"/>
      <c r="M110" s="794"/>
      <c r="N110" s="237"/>
      <c r="O110" s="237"/>
      <c r="P110" s="243"/>
      <c r="Q110" s="243"/>
      <c r="R110" s="243"/>
      <c r="S110" s="953"/>
      <c r="T110" s="953"/>
      <c r="U110" s="803"/>
      <c r="V110" s="504"/>
      <c r="W110" s="237"/>
      <c r="X110" s="505"/>
      <c r="Y110" s="122"/>
      <c r="Z110" s="122"/>
      <c r="AC110" s="28"/>
      <c r="AD110" s="28"/>
      <c r="AF110" s="122"/>
    </row>
    <row r="111">
      <c r="A111" s="237"/>
      <c r="B111" s="237"/>
      <c r="D111" s="237"/>
      <c r="E111" s="238"/>
      <c r="F111" s="237"/>
      <c r="G111" s="952"/>
      <c r="H111" s="237"/>
      <c r="I111" s="237"/>
      <c r="J111" s="240"/>
      <c r="K111" s="240"/>
      <c r="L111" s="240"/>
      <c r="M111" s="794"/>
      <c r="N111" s="237"/>
      <c r="O111" s="237"/>
      <c r="P111" s="243"/>
      <c r="Q111" s="243"/>
      <c r="R111" s="243"/>
      <c r="S111" s="953"/>
      <c r="T111" s="953"/>
      <c r="U111" s="803"/>
      <c r="V111" s="504"/>
      <c r="W111" s="237"/>
      <c r="X111" s="505"/>
      <c r="Y111" s="122"/>
      <c r="Z111" s="122"/>
      <c r="AC111" s="28"/>
      <c r="AD111" s="28"/>
      <c r="AF111" s="122"/>
    </row>
    <row r="112">
      <c r="A112" s="237"/>
      <c r="B112" s="237"/>
      <c r="D112" s="237"/>
      <c r="E112" s="238"/>
      <c r="F112" s="237"/>
      <c r="G112" s="952"/>
      <c r="H112" s="237"/>
      <c r="I112" s="237"/>
      <c r="J112" s="240"/>
      <c r="K112" s="240"/>
      <c r="L112" s="240"/>
      <c r="M112" s="794"/>
      <c r="N112" s="237"/>
      <c r="O112" s="237"/>
      <c r="P112" s="243"/>
      <c r="Q112" s="243"/>
      <c r="R112" s="243"/>
      <c r="S112" s="953"/>
      <c r="T112" s="953"/>
      <c r="U112" s="803"/>
      <c r="V112" s="504"/>
      <c r="W112" s="237"/>
      <c r="X112" s="505"/>
      <c r="Y112" s="122"/>
      <c r="Z112" s="122"/>
      <c r="AC112" s="28"/>
      <c r="AD112" s="28"/>
      <c r="AF112" s="122"/>
    </row>
    <row r="113">
      <c r="A113" s="237"/>
      <c r="B113" s="237"/>
      <c r="D113" s="237"/>
      <c r="E113" s="238"/>
      <c r="F113" s="237"/>
      <c r="G113" s="952"/>
      <c r="H113" s="237"/>
      <c r="I113" s="237"/>
      <c r="J113" s="240"/>
      <c r="K113" s="240"/>
      <c r="L113" s="240"/>
      <c r="M113" s="794"/>
      <c r="N113" s="237"/>
      <c r="O113" s="237"/>
      <c r="P113" s="243"/>
      <c r="Q113" s="243"/>
      <c r="R113" s="243"/>
      <c r="S113" s="953"/>
      <c r="T113" s="953"/>
      <c r="U113" s="803"/>
      <c r="V113" s="504"/>
      <c r="W113" s="237"/>
      <c r="X113" s="505"/>
      <c r="Y113" s="122"/>
      <c r="Z113" s="122"/>
      <c r="AC113" s="28"/>
      <c r="AD113" s="28"/>
      <c r="AF113" s="122"/>
    </row>
    <row r="114">
      <c r="A114" s="237"/>
      <c r="B114" s="237"/>
      <c r="D114" s="237"/>
      <c r="E114" s="238"/>
      <c r="F114" s="237"/>
      <c r="G114" s="952"/>
      <c r="H114" s="237"/>
      <c r="I114" s="237"/>
      <c r="J114" s="240"/>
      <c r="K114" s="240"/>
      <c r="L114" s="240"/>
      <c r="M114" s="794"/>
      <c r="N114" s="237"/>
      <c r="O114" s="237"/>
      <c r="P114" s="243"/>
      <c r="Q114" s="243"/>
      <c r="R114" s="243"/>
      <c r="S114" s="953"/>
      <c r="T114" s="953"/>
      <c r="U114" s="803"/>
      <c r="V114" s="504"/>
      <c r="W114" s="237"/>
      <c r="X114" s="505"/>
      <c r="Y114" s="122"/>
      <c r="Z114" s="122"/>
      <c r="AC114" s="28"/>
      <c r="AD114" s="28"/>
      <c r="AF114" s="122"/>
    </row>
    <row r="115">
      <c r="A115" s="237"/>
      <c r="B115" s="237"/>
      <c r="D115" s="237"/>
      <c r="E115" s="238"/>
      <c r="F115" s="237"/>
      <c r="G115" s="952"/>
      <c r="H115" s="237"/>
      <c r="I115" s="237"/>
      <c r="J115" s="240"/>
      <c r="K115" s="240"/>
      <c r="L115" s="240"/>
      <c r="M115" s="794"/>
      <c r="N115" s="237"/>
      <c r="O115" s="237"/>
      <c r="P115" s="243"/>
      <c r="Q115" s="243"/>
      <c r="R115" s="243"/>
      <c r="S115" s="953"/>
      <c r="T115" s="953"/>
      <c r="U115" s="803"/>
      <c r="V115" s="504"/>
      <c r="W115" s="237"/>
      <c r="X115" s="505"/>
      <c r="Y115" s="122"/>
      <c r="Z115" s="122"/>
      <c r="AC115" s="28"/>
      <c r="AD115" s="28"/>
      <c r="AF115" s="122"/>
    </row>
    <row r="116">
      <c r="A116" s="237"/>
      <c r="B116" s="237"/>
      <c r="D116" s="237"/>
      <c r="E116" s="238"/>
      <c r="F116" s="237"/>
      <c r="G116" s="952"/>
      <c r="H116" s="237"/>
      <c r="I116" s="237"/>
      <c r="J116" s="240"/>
      <c r="K116" s="240"/>
      <c r="L116" s="240"/>
      <c r="M116" s="794"/>
      <c r="N116" s="237"/>
      <c r="O116" s="237"/>
      <c r="P116" s="243"/>
      <c r="Q116" s="243"/>
      <c r="R116" s="243"/>
      <c r="S116" s="953"/>
      <c r="T116" s="953"/>
      <c r="U116" s="803"/>
      <c r="V116" s="504"/>
      <c r="W116" s="237"/>
      <c r="X116" s="505"/>
      <c r="Y116" s="122"/>
      <c r="Z116" s="122"/>
      <c r="AC116" s="28"/>
      <c r="AD116" s="28"/>
      <c r="AF116" s="122"/>
    </row>
    <row r="117">
      <c r="A117" s="237"/>
      <c r="B117" s="237"/>
      <c r="D117" s="237"/>
      <c r="E117" s="238"/>
      <c r="F117" s="237"/>
      <c r="G117" s="952"/>
      <c r="H117" s="237"/>
      <c r="I117" s="237"/>
      <c r="J117" s="240"/>
      <c r="K117" s="240"/>
      <c r="L117" s="240"/>
      <c r="M117" s="794"/>
      <c r="N117" s="237"/>
      <c r="O117" s="237"/>
      <c r="P117" s="243"/>
      <c r="Q117" s="243"/>
      <c r="R117" s="243"/>
      <c r="S117" s="953"/>
      <c r="T117" s="953"/>
      <c r="U117" s="803"/>
      <c r="V117" s="504"/>
      <c r="W117" s="237"/>
      <c r="X117" s="505"/>
      <c r="Y117" s="122"/>
      <c r="Z117" s="122"/>
      <c r="AC117" s="28"/>
      <c r="AD117" s="28"/>
      <c r="AF117" s="122"/>
    </row>
    <row r="118">
      <c r="A118" s="237"/>
      <c r="B118" s="237"/>
      <c r="D118" s="237"/>
      <c r="E118" s="238"/>
      <c r="F118" s="237"/>
      <c r="G118" s="952"/>
      <c r="H118" s="237"/>
      <c r="I118" s="237"/>
      <c r="J118" s="240"/>
      <c r="K118" s="240"/>
      <c r="L118" s="240"/>
      <c r="M118" s="794"/>
      <c r="N118" s="237"/>
      <c r="O118" s="237"/>
      <c r="P118" s="243"/>
      <c r="Q118" s="243"/>
      <c r="R118" s="243"/>
      <c r="S118" s="953"/>
      <c r="T118" s="953"/>
      <c r="U118" s="803"/>
      <c r="V118" s="504"/>
      <c r="W118" s="237"/>
      <c r="X118" s="505"/>
      <c r="Y118" s="122"/>
      <c r="Z118" s="122"/>
      <c r="AC118" s="28"/>
      <c r="AD118" s="28"/>
      <c r="AF118" s="122"/>
    </row>
    <row r="119">
      <c r="A119" s="237"/>
      <c r="B119" s="237"/>
      <c r="D119" s="237"/>
      <c r="E119" s="238"/>
      <c r="F119" s="237"/>
      <c r="G119" s="952"/>
      <c r="H119" s="237"/>
      <c r="I119" s="237"/>
      <c r="J119" s="240"/>
      <c r="K119" s="240"/>
      <c r="L119" s="240"/>
      <c r="M119" s="794"/>
      <c r="N119" s="237"/>
      <c r="O119" s="237"/>
      <c r="P119" s="243"/>
      <c r="Q119" s="243"/>
      <c r="R119" s="243"/>
      <c r="S119" s="953"/>
      <c r="T119" s="953"/>
      <c r="U119" s="803"/>
      <c r="V119" s="504"/>
      <c r="W119" s="237"/>
      <c r="X119" s="505"/>
      <c r="Y119" s="122"/>
      <c r="Z119" s="122"/>
      <c r="AC119" s="28"/>
      <c r="AD119" s="28"/>
      <c r="AF119" s="122"/>
    </row>
    <row r="120">
      <c r="A120" s="237"/>
      <c r="B120" s="237"/>
      <c r="D120" s="237"/>
      <c r="E120" s="238"/>
      <c r="F120" s="237"/>
      <c r="G120" s="952"/>
      <c r="H120" s="237"/>
      <c r="I120" s="237"/>
      <c r="J120" s="240"/>
      <c r="K120" s="240"/>
      <c r="L120" s="240"/>
      <c r="M120" s="794"/>
      <c r="N120" s="237"/>
      <c r="O120" s="237"/>
      <c r="P120" s="243"/>
      <c r="Q120" s="243"/>
      <c r="R120" s="243"/>
      <c r="S120" s="953"/>
      <c r="T120" s="953"/>
      <c r="U120" s="803"/>
      <c r="V120" s="504"/>
      <c r="W120" s="237"/>
      <c r="X120" s="505"/>
      <c r="Y120" s="122"/>
      <c r="Z120" s="122"/>
      <c r="AC120" s="28"/>
      <c r="AD120" s="28"/>
      <c r="AF120" s="122"/>
    </row>
    <row r="121">
      <c r="A121" s="237"/>
      <c r="B121" s="237"/>
      <c r="D121" s="237"/>
      <c r="E121" s="238"/>
      <c r="F121" s="237"/>
      <c r="G121" s="952"/>
      <c r="H121" s="237"/>
      <c r="I121" s="237"/>
      <c r="J121" s="240"/>
      <c r="K121" s="240"/>
      <c r="L121" s="240"/>
      <c r="M121" s="794"/>
      <c r="N121" s="237"/>
      <c r="O121" s="237"/>
      <c r="P121" s="243"/>
      <c r="Q121" s="243"/>
      <c r="R121" s="243"/>
      <c r="S121" s="953"/>
      <c r="T121" s="953"/>
      <c r="U121" s="803"/>
      <c r="V121" s="504"/>
      <c r="W121" s="237"/>
      <c r="X121" s="505"/>
      <c r="Y121" s="122"/>
      <c r="Z121" s="122"/>
      <c r="AC121" s="28"/>
      <c r="AD121" s="28"/>
      <c r="AF121" s="122"/>
    </row>
    <row r="122">
      <c r="A122" s="237"/>
      <c r="B122" s="237"/>
      <c r="D122" s="237"/>
      <c r="E122" s="238"/>
      <c r="F122" s="237"/>
      <c r="G122" s="952"/>
      <c r="H122" s="237"/>
      <c r="I122" s="237"/>
      <c r="J122" s="240"/>
      <c r="K122" s="240"/>
      <c r="L122" s="240"/>
      <c r="M122" s="794"/>
      <c r="N122" s="237"/>
      <c r="O122" s="237"/>
      <c r="P122" s="243"/>
      <c r="Q122" s="243"/>
      <c r="R122" s="243"/>
      <c r="S122" s="953"/>
      <c r="T122" s="953"/>
      <c r="U122" s="803"/>
      <c r="V122" s="504"/>
      <c r="W122" s="237"/>
      <c r="X122" s="505"/>
      <c r="Y122" s="122"/>
      <c r="Z122" s="122"/>
      <c r="AC122" s="28"/>
      <c r="AD122" s="28"/>
      <c r="AF122" s="122"/>
    </row>
    <row r="123">
      <c r="A123" s="237"/>
      <c r="B123" s="237"/>
      <c r="D123" s="237"/>
      <c r="E123" s="238"/>
      <c r="F123" s="237"/>
      <c r="G123" s="952"/>
      <c r="H123" s="237"/>
      <c r="I123" s="237"/>
      <c r="J123" s="240"/>
      <c r="K123" s="240"/>
      <c r="L123" s="240"/>
      <c r="M123" s="794"/>
      <c r="N123" s="237"/>
      <c r="O123" s="237"/>
      <c r="P123" s="243"/>
      <c r="Q123" s="243"/>
      <c r="R123" s="243"/>
      <c r="S123" s="953"/>
      <c r="T123" s="953"/>
      <c r="U123" s="803"/>
      <c r="V123" s="504"/>
      <c r="W123" s="237"/>
      <c r="X123" s="505"/>
      <c r="Y123" s="122"/>
      <c r="Z123" s="122"/>
      <c r="AC123" s="28"/>
      <c r="AD123" s="28"/>
      <c r="AF123" s="122"/>
    </row>
    <row r="124">
      <c r="A124" s="237"/>
      <c r="B124" s="237"/>
      <c r="D124" s="237"/>
      <c r="E124" s="238"/>
      <c r="F124" s="237"/>
      <c r="G124" s="952"/>
      <c r="H124" s="237"/>
      <c r="I124" s="237"/>
      <c r="J124" s="240"/>
      <c r="K124" s="240"/>
      <c r="L124" s="240"/>
      <c r="M124" s="794"/>
      <c r="N124" s="237"/>
      <c r="O124" s="237"/>
      <c r="P124" s="243"/>
      <c r="Q124" s="243"/>
      <c r="R124" s="243"/>
      <c r="S124" s="953"/>
      <c r="T124" s="953"/>
      <c r="U124" s="803"/>
      <c r="V124" s="504"/>
      <c r="W124" s="237"/>
      <c r="X124" s="505"/>
      <c r="Y124" s="122"/>
      <c r="Z124" s="122"/>
      <c r="AC124" s="28"/>
      <c r="AD124" s="28"/>
      <c r="AF124" s="122"/>
    </row>
    <row r="125">
      <c r="A125" s="237"/>
      <c r="B125" s="237"/>
      <c r="D125" s="237"/>
      <c r="E125" s="238"/>
      <c r="F125" s="237"/>
      <c r="G125" s="952"/>
      <c r="H125" s="237"/>
      <c r="I125" s="237"/>
      <c r="J125" s="240"/>
      <c r="K125" s="240"/>
      <c r="L125" s="240"/>
      <c r="M125" s="794"/>
      <c r="N125" s="237"/>
      <c r="O125" s="237"/>
      <c r="P125" s="243"/>
      <c r="Q125" s="243"/>
      <c r="R125" s="243"/>
      <c r="S125" s="953"/>
      <c r="T125" s="953"/>
      <c r="U125" s="803"/>
      <c r="V125" s="504"/>
      <c r="W125" s="237"/>
      <c r="X125" s="505"/>
      <c r="Y125" s="122"/>
      <c r="Z125" s="122"/>
      <c r="AC125" s="28"/>
      <c r="AD125" s="28"/>
      <c r="AF125" s="122"/>
    </row>
    <row r="126">
      <c r="A126" s="237"/>
      <c r="B126" s="237"/>
      <c r="D126" s="237"/>
      <c r="E126" s="238"/>
      <c r="F126" s="237"/>
      <c r="G126" s="952"/>
      <c r="H126" s="237"/>
      <c r="I126" s="237"/>
      <c r="J126" s="240"/>
      <c r="K126" s="240"/>
      <c r="L126" s="240"/>
      <c r="M126" s="794"/>
      <c r="N126" s="237"/>
      <c r="O126" s="237"/>
      <c r="P126" s="243"/>
      <c r="Q126" s="243"/>
      <c r="R126" s="243"/>
      <c r="S126" s="953"/>
      <c r="T126" s="953"/>
      <c r="U126" s="803"/>
      <c r="V126" s="504"/>
      <c r="W126" s="237"/>
      <c r="X126" s="505"/>
      <c r="Y126" s="122"/>
      <c r="Z126" s="122"/>
      <c r="AC126" s="28"/>
      <c r="AD126" s="28"/>
      <c r="AF126" s="122"/>
    </row>
    <row r="127">
      <c r="A127" s="237"/>
      <c r="B127" s="237"/>
      <c r="D127" s="237"/>
      <c r="E127" s="238"/>
      <c r="F127" s="237"/>
      <c r="G127" s="952"/>
      <c r="H127" s="237"/>
      <c r="I127" s="237"/>
      <c r="J127" s="240"/>
      <c r="K127" s="240"/>
      <c r="L127" s="240"/>
      <c r="M127" s="794"/>
      <c r="N127" s="237"/>
      <c r="O127" s="237"/>
      <c r="P127" s="243"/>
      <c r="Q127" s="243"/>
      <c r="R127" s="243"/>
      <c r="S127" s="953"/>
      <c r="T127" s="953"/>
      <c r="U127" s="803"/>
      <c r="V127" s="504"/>
      <c r="W127" s="237"/>
      <c r="X127" s="505"/>
      <c r="Y127" s="122"/>
      <c r="Z127" s="122"/>
      <c r="AC127" s="28"/>
      <c r="AD127" s="28"/>
      <c r="AF127" s="122"/>
    </row>
    <row r="128">
      <c r="A128" s="237"/>
      <c r="B128" s="237"/>
      <c r="D128" s="237"/>
      <c r="E128" s="238"/>
      <c r="F128" s="237"/>
      <c r="G128" s="952"/>
      <c r="H128" s="237"/>
      <c r="I128" s="237"/>
      <c r="J128" s="240"/>
      <c r="K128" s="240"/>
      <c r="L128" s="240"/>
      <c r="M128" s="794"/>
      <c r="N128" s="237"/>
      <c r="O128" s="237"/>
      <c r="P128" s="243"/>
      <c r="Q128" s="243"/>
      <c r="R128" s="243"/>
      <c r="S128" s="953"/>
      <c r="T128" s="953"/>
      <c r="U128" s="803"/>
      <c r="V128" s="504"/>
      <c r="W128" s="237"/>
      <c r="X128" s="505"/>
      <c r="Y128" s="122"/>
      <c r="Z128" s="122"/>
      <c r="AC128" s="28"/>
      <c r="AD128" s="28"/>
      <c r="AF128" s="122"/>
    </row>
    <row r="129">
      <c r="A129" s="237"/>
      <c r="B129" s="237"/>
      <c r="D129" s="237"/>
      <c r="E129" s="238"/>
      <c r="F129" s="237"/>
      <c r="G129" s="952"/>
      <c r="H129" s="237"/>
      <c r="I129" s="237"/>
      <c r="J129" s="240"/>
      <c r="K129" s="240"/>
      <c r="L129" s="240"/>
      <c r="M129" s="794"/>
      <c r="N129" s="237"/>
      <c r="O129" s="237"/>
      <c r="P129" s="243"/>
      <c r="Q129" s="243"/>
      <c r="R129" s="243"/>
      <c r="S129" s="953"/>
      <c r="T129" s="953"/>
      <c r="U129" s="803"/>
      <c r="V129" s="504"/>
      <c r="W129" s="237"/>
      <c r="X129" s="505"/>
      <c r="Y129" s="122"/>
      <c r="Z129" s="122"/>
      <c r="AC129" s="28"/>
      <c r="AD129" s="28"/>
      <c r="AF129" s="122"/>
    </row>
    <row r="130">
      <c r="A130" s="237"/>
      <c r="B130" s="237"/>
      <c r="D130" s="237"/>
      <c r="E130" s="238"/>
      <c r="F130" s="237"/>
      <c r="G130" s="952"/>
      <c r="H130" s="237"/>
      <c r="I130" s="237"/>
      <c r="J130" s="240"/>
      <c r="K130" s="240"/>
      <c r="L130" s="240"/>
      <c r="M130" s="794"/>
      <c r="N130" s="237"/>
      <c r="O130" s="237"/>
      <c r="P130" s="243"/>
      <c r="Q130" s="243"/>
      <c r="R130" s="243"/>
      <c r="S130" s="953"/>
      <c r="T130" s="953"/>
      <c r="U130" s="803"/>
      <c r="V130" s="504"/>
      <c r="W130" s="237"/>
      <c r="X130" s="505"/>
      <c r="Y130" s="122"/>
      <c r="Z130" s="122"/>
      <c r="AC130" s="28"/>
      <c r="AD130" s="28"/>
      <c r="AF130" s="122"/>
    </row>
    <row r="131">
      <c r="A131" s="237"/>
      <c r="B131" s="237"/>
      <c r="D131" s="237"/>
      <c r="E131" s="238"/>
      <c r="F131" s="237"/>
      <c r="G131" s="952"/>
      <c r="H131" s="237"/>
      <c r="I131" s="237"/>
      <c r="J131" s="240"/>
      <c r="K131" s="240"/>
      <c r="L131" s="240"/>
      <c r="M131" s="794"/>
      <c r="N131" s="237"/>
      <c r="O131" s="237"/>
      <c r="P131" s="243"/>
      <c r="Q131" s="243"/>
      <c r="R131" s="243"/>
      <c r="S131" s="953"/>
      <c r="T131" s="953"/>
      <c r="U131" s="803"/>
      <c r="V131" s="504"/>
      <c r="W131" s="237"/>
      <c r="X131" s="505"/>
      <c r="Y131" s="122"/>
      <c r="Z131" s="122"/>
      <c r="AC131" s="28"/>
      <c r="AD131" s="28"/>
      <c r="AF131" s="122"/>
    </row>
    <row r="132">
      <c r="A132" s="237"/>
      <c r="B132" s="237"/>
      <c r="D132" s="237"/>
      <c r="E132" s="238"/>
      <c r="F132" s="237"/>
      <c r="G132" s="952"/>
      <c r="H132" s="237"/>
      <c r="I132" s="237"/>
      <c r="J132" s="240"/>
      <c r="K132" s="240"/>
      <c r="L132" s="240"/>
      <c r="M132" s="794"/>
      <c r="N132" s="237"/>
      <c r="O132" s="237"/>
      <c r="P132" s="243"/>
      <c r="Q132" s="243"/>
      <c r="R132" s="243"/>
      <c r="S132" s="953"/>
      <c r="T132" s="953"/>
      <c r="U132" s="803"/>
      <c r="V132" s="504"/>
      <c r="W132" s="237"/>
      <c r="X132" s="505"/>
      <c r="Y132" s="122"/>
      <c r="Z132" s="122"/>
      <c r="AC132" s="28"/>
      <c r="AD132" s="28"/>
      <c r="AF132" s="122"/>
    </row>
    <row r="133">
      <c r="A133" s="237"/>
      <c r="B133" s="237"/>
      <c r="D133" s="237"/>
      <c r="E133" s="238"/>
      <c r="F133" s="237"/>
      <c r="G133" s="952"/>
      <c r="H133" s="237"/>
      <c r="I133" s="237"/>
      <c r="J133" s="240"/>
      <c r="K133" s="240"/>
      <c r="L133" s="240"/>
      <c r="M133" s="794"/>
      <c r="N133" s="237"/>
      <c r="O133" s="237"/>
      <c r="P133" s="243"/>
      <c r="Q133" s="243"/>
      <c r="R133" s="243"/>
      <c r="S133" s="953"/>
      <c r="T133" s="953"/>
      <c r="U133" s="803"/>
      <c r="V133" s="504"/>
      <c r="W133" s="237"/>
      <c r="X133" s="505"/>
      <c r="Y133" s="122"/>
      <c r="Z133" s="122"/>
      <c r="AC133" s="28"/>
      <c r="AD133" s="28"/>
      <c r="AF133" s="122"/>
    </row>
    <row r="134">
      <c r="A134" s="237"/>
      <c r="B134" s="237"/>
      <c r="D134" s="237"/>
      <c r="E134" s="238"/>
      <c r="F134" s="237"/>
      <c r="G134" s="952"/>
      <c r="H134" s="237"/>
      <c r="I134" s="237"/>
      <c r="J134" s="240"/>
      <c r="K134" s="240"/>
      <c r="L134" s="240"/>
      <c r="M134" s="794"/>
      <c r="N134" s="237"/>
      <c r="O134" s="237"/>
      <c r="P134" s="243"/>
      <c r="Q134" s="243"/>
      <c r="R134" s="243"/>
      <c r="S134" s="953"/>
      <c r="T134" s="953"/>
      <c r="U134" s="803"/>
      <c r="V134" s="504"/>
      <c r="W134" s="237"/>
      <c r="X134" s="505"/>
      <c r="Y134" s="122"/>
      <c r="Z134" s="122"/>
      <c r="AC134" s="28"/>
      <c r="AD134" s="28"/>
      <c r="AF134" s="122"/>
    </row>
    <row r="135">
      <c r="A135" s="237"/>
      <c r="B135" s="237"/>
      <c r="D135" s="237"/>
      <c r="E135" s="238"/>
      <c r="F135" s="237"/>
      <c r="G135" s="952"/>
      <c r="H135" s="237"/>
      <c r="I135" s="237"/>
      <c r="J135" s="240"/>
      <c r="K135" s="240"/>
      <c r="L135" s="240"/>
      <c r="M135" s="794"/>
      <c r="N135" s="237"/>
      <c r="O135" s="237"/>
      <c r="P135" s="243"/>
      <c r="Q135" s="243"/>
      <c r="R135" s="243"/>
      <c r="S135" s="953"/>
      <c r="T135" s="953"/>
      <c r="U135" s="803"/>
      <c r="V135" s="504"/>
      <c r="W135" s="237"/>
      <c r="X135" s="505"/>
      <c r="Y135" s="122"/>
      <c r="Z135" s="122"/>
      <c r="AC135" s="28"/>
      <c r="AD135" s="28"/>
      <c r="AF135" s="122"/>
    </row>
    <row r="136">
      <c r="A136" s="237"/>
      <c r="B136" s="237"/>
      <c r="D136" s="237"/>
      <c r="E136" s="238"/>
      <c r="F136" s="237"/>
      <c r="G136" s="952"/>
      <c r="H136" s="237"/>
      <c r="I136" s="237"/>
      <c r="J136" s="240"/>
      <c r="K136" s="240"/>
      <c r="L136" s="240"/>
      <c r="M136" s="794"/>
      <c r="N136" s="237"/>
      <c r="O136" s="237"/>
      <c r="P136" s="243"/>
      <c r="Q136" s="243"/>
      <c r="R136" s="243"/>
      <c r="S136" s="953"/>
      <c r="T136" s="953"/>
      <c r="U136" s="803"/>
      <c r="V136" s="504"/>
      <c r="W136" s="237"/>
      <c r="X136" s="505"/>
      <c r="Y136" s="122"/>
      <c r="Z136" s="122"/>
      <c r="AC136" s="28"/>
      <c r="AD136" s="28"/>
      <c r="AF136" s="122"/>
    </row>
    <row r="137">
      <c r="A137" s="237"/>
      <c r="B137" s="237"/>
      <c r="D137" s="237"/>
      <c r="E137" s="238"/>
      <c r="F137" s="237"/>
      <c r="G137" s="952"/>
      <c r="H137" s="237"/>
      <c r="I137" s="237"/>
      <c r="J137" s="240"/>
      <c r="K137" s="240"/>
      <c r="L137" s="240"/>
      <c r="M137" s="794"/>
      <c r="N137" s="237"/>
      <c r="O137" s="237"/>
      <c r="P137" s="243"/>
      <c r="Q137" s="243"/>
      <c r="R137" s="243"/>
      <c r="S137" s="953"/>
      <c r="T137" s="953"/>
      <c r="U137" s="803"/>
      <c r="V137" s="504"/>
      <c r="W137" s="237"/>
      <c r="X137" s="505"/>
      <c r="Y137" s="122"/>
      <c r="Z137" s="122"/>
      <c r="AC137" s="28"/>
      <c r="AD137" s="28"/>
      <c r="AF137" s="122"/>
    </row>
    <row r="138">
      <c r="A138" s="237"/>
      <c r="B138" s="237"/>
      <c r="D138" s="237"/>
      <c r="E138" s="238"/>
      <c r="F138" s="237"/>
      <c r="G138" s="952"/>
      <c r="H138" s="237"/>
      <c r="I138" s="237"/>
      <c r="J138" s="240"/>
      <c r="K138" s="240"/>
      <c r="L138" s="240"/>
      <c r="M138" s="794"/>
      <c r="N138" s="237"/>
      <c r="O138" s="237"/>
      <c r="P138" s="243"/>
      <c r="Q138" s="243"/>
      <c r="R138" s="243"/>
      <c r="S138" s="953"/>
      <c r="T138" s="953"/>
      <c r="U138" s="803"/>
      <c r="V138" s="504"/>
      <c r="W138" s="237"/>
      <c r="X138" s="505"/>
      <c r="Y138" s="122"/>
      <c r="Z138" s="122"/>
      <c r="AC138" s="28"/>
      <c r="AD138" s="28"/>
      <c r="AF138" s="122"/>
    </row>
    <row r="139">
      <c r="A139" s="237"/>
      <c r="B139" s="237"/>
      <c r="D139" s="237"/>
      <c r="E139" s="238"/>
      <c r="F139" s="237"/>
      <c r="G139" s="952"/>
      <c r="H139" s="237"/>
      <c r="I139" s="237"/>
      <c r="J139" s="240"/>
      <c r="K139" s="240"/>
      <c r="L139" s="240"/>
      <c r="M139" s="794"/>
      <c r="N139" s="237"/>
      <c r="O139" s="237"/>
      <c r="P139" s="243"/>
      <c r="Q139" s="243"/>
      <c r="R139" s="243"/>
      <c r="S139" s="953"/>
      <c r="T139" s="953"/>
      <c r="U139" s="803"/>
      <c r="V139" s="504"/>
      <c r="W139" s="237"/>
      <c r="X139" s="505"/>
      <c r="Y139" s="122"/>
      <c r="Z139" s="122"/>
      <c r="AC139" s="28"/>
      <c r="AD139" s="28"/>
      <c r="AF139" s="122"/>
    </row>
    <row r="140">
      <c r="A140" s="237"/>
      <c r="B140" s="237"/>
      <c r="D140" s="237"/>
      <c r="E140" s="238"/>
      <c r="F140" s="237"/>
      <c r="G140" s="952"/>
      <c r="H140" s="237"/>
      <c r="I140" s="237"/>
      <c r="J140" s="240"/>
      <c r="K140" s="240"/>
      <c r="L140" s="240"/>
      <c r="M140" s="794"/>
      <c r="N140" s="237"/>
      <c r="O140" s="237"/>
      <c r="P140" s="243"/>
      <c r="Q140" s="243"/>
      <c r="R140" s="243"/>
      <c r="S140" s="953"/>
      <c r="T140" s="953"/>
      <c r="U140" s="803"/>
      <c r="V140" s="504"/>
      <c r="W140" s="237"/>
      <c r="X140" s="505"/>
      <c r="Y140" s="122"/>
      <c r="Z140" s="122"/>
      <c r="AC140" s="28"/>
      <c r="AD140" s="28"/>
      <c r="AF140" s="122"/>
    </row>
    <row r="141">
      <c r="A141" s="237"/>
      <c r="B141" s="237"/>
      <c r="D141" s="237"/>
      <c r="E141" s="238"/>
      <c r="F141" s="237"/>
      <c r="G141" s="952"/>
      <c r="H141" s="237"/>
      <c r="I141" s="237"/>
      <c r="J141" s="240"/>
      <c r="K141" s="240"/>
      <c r="L141" s="240"/>
      <c r="M141" s="794"/>
      <c r="N141" s="237"/>
      <c r="O141" s="237"/>
      <c r="P141" s="243"/>
      <c r="Q141" s="243"/>
      <c r="R141" s="243"/>
      <c r="S141" s="953"/>
      <c r="T141" s="953"/>
      <c r="U141" s="803"/>
      <c r="V141" s="504"/>
      <c r="W141" s="237"/>
      <c r="X141" s="505"/>
      <c r="Y141" s="122"/>
      <c r="Z141" s="122"/>
      <c r="AC141" s="28"/>
      <c r="AD141" s="28"/>
      <c r="AF141" s="122"/>
    </row>
    <row r="142">
      <c r="A142" s="237"/>
      <c r="B142" s="237"/>
      <c r="D142" s="237"/>
      <c r="E142" s="238"/>
      <c r="F142" s="237"/>
      <c r="G142" s="952"/>
      <c r="H142" s="237"/>
      <c r="I142" s="237"/>
      <c r="J142" s="240"/>
      <c r="K142" s="240"/>
      <c r="L142" s="240"/>
      <c r="M142" s="794"/>
      <c r="N142" s="237"/>
      <c r="O142" s="237"/>
      <c r="P142" s="243"/>
      <c r="Q142" s="243"/>
      <c r="R142" s="243"/>
      <c r="S142" s="953"/>
      <c r="T142" s="953"/>
      <c r="U142" s="803"/>
      <c r="V142" s="504"/>
      <c r="W142" s="237"/>
      <c r="X142" s="505"/>
      <c r="Y142" s="122"/>
      <c r="Z142" s="122"/>
      <c r="AC142" s="28"/>
      <c r="AD142" s="28"/>
      <c r="AF142" s="122"/>
    </row>
    <row r="143">
      <c r="A143" s="237"/>
      <c r="B143" s="237"/>
      <c r="D143" s="237"/>
      <c r="E143" s="238"/>
      <c r="F143" s="237"/>
      <c r="G143" s="952"/>
      <c r="H143" s="237"/>
      <c r="I143" s="237"/>
      <c r="J143" s="240"/>
      <c r="K143" s="240"/>
      <c r="L143" s="240"/>
      <c r="M143" s="794"/>
      <c r="N143" s="237"/>
      <c r="O143" s="237"/>
      <c r="P143" s="243"/>
      <c r="Q143" s="243"/>
      <c r="R143" s="243"/>
      <c r="S143" s="953"/>
      <c r="T143" s="953"/>
      <c r="U143" s="803"/>
      <c r="V143" s="504"/>
      <c r="W143" s="237"/>
      <c r="X143" s="505"/>
      <c r="Y143" s="122"/>
      <c r="Z143" s="122"/>
      <c r="AC143" s="28"/>
      <c r="AD143" s="28"/>
      <c r="AF143" s="122"/>
    </row>
    <row r="144">
      <c r="A144" s="237"/>
      <c r="B144" s="237"/>
      <c r="C144" s="237"/>
      <c r="D144" s="237"/>
      <c r="E144" s="238"/>
      <c r="F144" s="237"/>
      <c r="G144" s="952"/>
      <c r="H144" s="237"/>
      <c r="I144" s="237"/>
      <c r="J144" s="240"/>
      <c r="K144" s="240"/>
      <c r="L144" s="240"/>
      <c r="M144" s="794"/>
      <c r="N144" s="237"/>
      <c r="O144" s="237"/>
      <c r="P144" s="243"/>
      <c r="Q144" s="243"/>
      <c r="R144" s="243"/>
      <c r="S144" s="953"/>
      <c r="T144" s="953"/>
      <c r="U144" s="803"/>
      <c r="V144" s="504"/>
      <c r="W144" s="237"/>
      <c r="X144" s="505"/>
      <c r="Y144" s="122"/>
      <c r="Z144" s="122"/>
      <c r="AC144" s="28"/>
      <c r="AD144" s="28"/>
      <c r="AF144" s="122"/>
      <c r="AO144" s="82"/>
    </row>
    <row r="145">
      <c r="A145" s="237"/>
      <c r="B145" s="237"/>
      <c r="D145" s="237"/>
      <c r="E145" s="238"/>
      <c r="F145" s="237"/>
      <c r="G145" s="952"/>
      <c r="H145" s="237"/>
      <c r="I145" s="237"/>
      <c r="J145" s="240"/>
      <c r="K145" s="240"/>
      <c r="L145" s="240"/>
      <c r="M145" s="794"/>
      <c r="N145" s="237"/>
      <c r="O145" s="237"/>
      <c r="P145" s="243"/>
      <c r="Q145" s="243"/>
      <c r="R145" s="243"/>
      <c r="S145" s="953"/>
      <c r="T145" s="953"/>
      <c r="U145" s="237"/>
      <c r="V145" s="504"/>
      <c r="W145" s="237"/>
      <c r="X145" s="505"/>
      <c r="Y145" s="122"/>
      <c r="Z145" s="122"/>
      <c r="AC145" s="28"/>
      <c r="AD145" s="28"/>
      <c r="AF145" s="122"/>
    </row>
    <row r="146">
      <c r="A146" s="237"/>
      <c r="B146" s="237"/>
      <c r="D146" s="237"/>
      <c r="E146" s="238"/>
      <c r="F146" s="237"/>
      <c r="G146" s="952"/>
      <c r="H146" s="237"/>
      <c r="I146" s="237"/>
      <c r="J146" s="240"/>
      <c r="K146" s="240"/>
      <c r="L146" s="240"/>
      <c r="M146" s="794"/>
      <c r="N146" s="237"/>
      <c r="O146" s="237"/>
      <c r="P146" s="243"/>
      <c r="Q146" s="243"/>
      <c r="R146" s="243"/>
      <c r="S146" s="953"/>
      <c r="T146" s="953"/>
      <c r="U146" s="237"/>
      <c r="V146" s="504"/>
      <c r="W146" s="237"/>
      <c r="X146" s="505"/>
      <c r="Y146" s="122"/>
      <c r="Z146" s="122"/>
      <c r="AC146" s="28"/>
      <c r="AD146" s="28"/>
      <c r="AF146" s="122"/>
    </row>
    <row r="147">
      <c r="A147" s="237"/>
      <c r="B147" s="237"/>
      <c r="D147" s="28"/>
      <c r="E147" s="819"/>
      <c r="F147" s="237"/>
      <c r="G147" s="497"/>
      <c r="H147" s="237"/>
      <c r="I147" s="237"/>
      <c r="J147" s="240"/>
      <c r="K147" s="240"/>
      <c r="L147" s="240"/>
      <c r="M147" s="794"/>
      <c r="N147" s="240"/>
      <c r="O147" s="28"/>
      <c r="P147" s="954"/>
      <c r="Q147" s="955"/>
      <c r="R147" s="955"/>
      <c r="S147" s="801"/>
      <c r="T147" s="801"/>
      <c r="U147" s="803"/>
      <c r="V147" s="504"/>
      <c r="W147" s="237"/>
      <c r="X147" s="505"/>
      <c r="Y147" s="122"/>
      <c r="Z147" s="122"/>
      <c r="AC147" s="28"/>
      <c r="AD147" s="28"/>
      <c r="AF147" s="122"/>
    </row>
    <row r="148">
      <c r="A148" s="466"/>
      <c r="B148" s="466"/>
      <c r="C148" s="466"/>
      <c r="D148" s="466"/>
      <c r="E148" s="466"/>
      <c r="F148" s="466"/>
      <c r="G148" s="466"/>
      <c r="H148" s="466"/>
      <c r="I148" s="466"/>
      <c r="J148" s="460"/>
      <c r="K148" s="460"/>
      <c r="L148" s="460"/>
      <c r="M148" s="460"/>
      <c r="N148" s="460"/>
      <c r="O148" s="466"/>
      <c r="P148" s="460"/>
      <c r="Q148" s="460"/>
      <c r="R148" s="460"/>
      <c r="S148" s="460"/>
      <c r="T148" s="460"/>
      <c r="U148" s="466"/>
      <c r="V148" s="466"/>
      <c r="W148" s="466"/>
      <c r="X148" s="466"/>
      <c r="Y148" s="122"/>
      <c r="Z148" s="122"/>
      <c r="AF148" s="122"/>
    </row>
    <row r="149">
      <c r="A149" s="466"/>
      <c r="B149" s="466"/>
      <c r="C149" s="466"/>
      <c r="D149" s="466"/>
      <c r="E149" s="466"/>
      <c r="F149" s="466"/>
      <c r="G149" s="466"/>
      <c r="H149" s="466"/>
      <c r="I149" s="466"/>
      <c r="J149" s="460"/>
      <c r="K149" s="460"/>
      <c r="L149" s="460"/>
      <c r="M149" s="460"/>
      <c r="N149" s="460"/>
      <c r="O149" s="466"/>
      <c r="P149" s="460"/>
      <c r="Q149" s="460"/>
      <c r="R149" s="460"/>
      <c r="S149" s="460"/>
      <c r="T149" s="460"/>
      <c r="U149" s="466"/>
      <c r="V149" s="466"/>
      <c r="W149" s="466"/>
      <c r="X149" s="466"/>
      <c r="Y149" s="122"/>
      <c r="Z149" s="122"/>
      <c r="AF149" s="122"/>
      <c r="AG149" s="466"/>
    </row>
    <row r="150">
      <c r="A150" s="466"/>
      <c r="B150" s="466"/>
      <c r="C150" s="466"/>
      <c r="D150" s="466"/>
      <c r="E150" s="466"/>
      <c r="F150" s="466"/>
      <c r="G150" s="466"/>
      <c r="H150" s="466"/>
      <c r="I150" s="466"/>
      <c r="J150" s="460"/>
      <c r="K150" s="460"/>
      <c r="L150" s="460"/>
      <c r="M150" s="460"/>
      <c r="N150" s="460"/>
      <c r="O150" s="466"/>
      <c r="P150" s="460"/>
      <c r="Q150" s="460"/>
      <c r="R150" s="460"/>
      <c r="S150" s="460"/>
      <c r="T150" s="460"/>
      <c r="U150" s="466"/>
      <c r="V150" s="466"/>
      <c r="W150" s="466"/>
      <c r="X150" s="466"/>
      <c r="Y150" s="122"/>
      <c r="Z150" s="122"/>
      <c r="AF150" s="122"/>
      <c r="AG150" s="466"/>
    </row>
    <row r="151">
      <c r="A151" s="466"/>
      <c r="B151" s="466"/>
      <c r="C151" s="466"/>
      <c r="D151" s="466"/>
      <c r="E151" s="466"/>
      <c r="F151" s="466"/>
      <c r="G151" s="466"/>
      <c r="H151" s="466"/>
      <c r="I151" s="466"/>
      <c r="J151" s="460"/>
      <c r="K151" s="460"/>
      <c r="L151" s="460"/>
      <c r="M151" s="460"/>
      <c r="N151" s="460"/>
      <c r="O151" s="466"/>
      <c r="P151" s="466"/>
      <c r="Q151" s="460"/>
      <c r="R151" s="460"/>
      <c r="S151" s="466"/>
      <c r="U151" s="466"/>
      <c r="V151" s="466"/>
      <c r="W151" s="466"/>
      <c r="X151" s="466"/>
      <c r="Y151" s="122"/>
      <c r="Z151" s="122"/>
      <c r="AF151" s="122"/>
    </row>
    <row r="152">
      <c r="A152" s="466"/>
      <c r="B152" s="466"/>
      <c r="C152" s="466"/>
      <c r="D152" s="466"/>
      <c r="E152" s="466"/>
      <c r="F152" s="466"/>
      <c r="G152" s="466"/>
      <c r="H152" s="466"/>
      <c r="I152" s="466"/>
      <c r="J152" s="460"/>
      <c r="K152" s="460"/>
      <c r="L152" s="460"/>
      <c r="M152" s="460"/>
      <c r="N152" s="460"/>
      <c r="P152" s="466"/>
      <c r="Q152" s="460"/>
      <c r="R152" s="460"/>
      <c r="S152" s="466"/>
      <c r="U152" s="466"/>
      <c r="V152" s="466"/>
      <c r="X152" s="466"/>
      <c r="Y152" s="122"/>
      <c r="Z152" s="122"/>
      <c r="AF152" s="122"/>
    </row>
    <row r="153">
      <c r="A153" s="466"/>
      <c r="B153" s="466"/>
      <c r="C153" s="466"/>
      <c r="E153" s="466"/>
      <c r="F153" s="466"/>
      <c r="G153" s="466"/>
      <c r="H153" s="466"/>
      <c r="I153" s="466"/>
      <c r="J153" s="460"/>
      <c r="K153" s="460"/>
      <c r="L153" s="460"/>
      <c r="M153" s="460"/>
      <c r="N153" s="460"/>
      <c r="O153" s="466"/>
      <c r="P153" s="466"/>
      <c r="Q153" s="460"/>
      <c r="R153" s="460"/>
      <c r="S153" s="466"/>
      <c r="U153" s="466"/>
      <c r="V153" s="466"/>
      <c r="X153" s="466"/>
      <c r="Y153" s="122"/>
      <c r="Z153" s="122"/>
      <c r="AF153" s="122"/>
    </row>
    <row r="154">
      <c r="A154" s="466"/>
      <c r="B154" s="466"/>
      <c r="C154" s="466"/>
      <c r="D154" s="466"/>
      <c r="E154" s="466"/>
      <c r="F154" s="466"/>
      <c r="G154" s="466"/>
      <c r="H154" s="466"/>
      <c r="I154" s="466"/>
      <c r="J154" s="460"/>
      <c r="K154" s="460"/>
      <c r="L154" s="460"/>
      <c r="M154" s="460"/>
      <c r="N154" s="460"/>
      <c r="O154" s="466"/>
      <c r="P154" s="466"/>
      <c r="Q154" s="460"/>
      <c r="R154" s="460"/>
      <c r="S154" s="466"/>
      <c r="U154" s="466"/>
      <c r="V154" s="466"/>
      <c r="X154" s="466"/>
      <c r="Y154" s="122"/>
      <c r="Z154" s="122"/>
      <c r="AF154" s="122"/>
    </row>
    <row r="155">
      <c r="A155" s="466"/>
      <c r="B155" s="466"/>
      <c r="C155" s="466"/>
      <c r="E155" s="466"/>
      <c r="F155" s="466"/>
      <c r="G155" s="466"/>
      <c r="H155" s="466"/>
      <c r="I155" s="466"/>
      <c r="J155" s="460"/>
      <c r="K155" s="460"/>
      <c r="L155" s="460"/>
      <c r="M155" s="460"/>
      <c r="N155" s="460"/>
      <c r="P155" s="466"/>
      <c r="Q155" s="460"/>
      <c r="R155" s="460"/>
      <c r="S155" s="466"/>
      <c r="U155" s="466"/>
      <c r="V155" s="466"/>
      <c r="X155" s="466"/>
      <c r="Y155" s="122"/>
      <c r="Z155" s="122"/>
      <c r="AF155" s="122"/>
    </row>
    <row r="156">
      <c r="A156" s="466"/>
      <c r="B156" s="466"/>
      <c r="C156" s="466"/>
      <c r="D156" s="466"/>
      <c r="E156" s="466"/>
      <c r="F156" s="466"/>
      <c r="G156" s="466"/>
      <c r="H156" s="466"/>
      <c r="I156" s="466"/>
      <c r="J156" s="460"/>
      <c r="K156" s="460"/>
      <c r="L156" s="460"/>
      <c r="M156" s="460"/>
      <c r="N156" s="460"/>
      <c r="P156" s="466"/>
      <c r="Q156" s="460"/>
      <c r="R156" s="460"/>
      <c r="S156" s="466"/>
      <c r="U156" s="466"/>
      <c r="V156" s="466"/>
      <c r="X156" s="466"/>
      <c r="Y156" s="122"/>
      <c r="Z156" s="122"/>
      <c r="AF156" s="122"/>
    </row>
    <row r="157">
      <c r="A157" s="466"/>
      <c r="B157" s="466"/>
      <c r="C157" s="466"/>
      <c r="D157" s="466"/>
      <c r="E157" s="466"/>
      <c r="F157" s="466"/>
      <c r="G157" s="466"/>
      <c r="H157" s="466"/>
      <c r="I157" s="466"/>
      <c r="J157" s="460"/>
      <c r="K157" s="460"/>
      <c r="L157" s="460"/>
      <c r="M157" s="460"/>
      <c r="N157" s="460"/>
      <c r="O157" s="460"/>
      <c r="P157" s="460"/>
      <c r="Q157" s="460"/>
      <c r="R157" s="460"/>
      <c r="S157" s="460"/>
      <c r="T157" s="460"/>
      <c r="V157" s="466"/>
      <c r="X157" s="466"/>
    </row>
    <row r="158">
      <c r="A158" s="466"/>
      <c r="B158" s="466"/>
      <c r="C158" s="466"/>
      <c r="D158" s="466"/>
      <c r="E158" s="466"/>
      <c r="F158" s="466"/>
      <c r="G158" s="466"/>
      <c r="H158" s="466"/>
      <c r="I158" s="466"/>
      <c r="J158" s="522"/>
      <c r="K158" s="460"/>
      <c r="L158" s="460"/>
      <c r="M158" s="460"/>
      <c r="N158" s="460"/>
      <c r="O158" s="466"/>
      <c r="P158" s="466"/>
      <c r="Q158" s="460"/>
      <c r="R158" s="460"/>
      <c r="S158" s="460"/>
      <c r="T158" s="460"/>
      <c r="U158" s="466"/>
      <c r="V158" s="466"/>
      <c r="W158" s="466"/>
      <c r="X158" s="466"/>
      <c r="Y158" s="122"/>
      <c r="Z158" s="122"/>
      <c r="AF158" s="122"/>
    </row>
    <row r="159">
      <c r="A159" s="466"/>
      <c r="B159" s="466"/>
      <c r="C159" s="466"/>
      <c r="D159" s="466"/>
      <c r="E159" s="466"/>
      <c r="F159" s="466"/>
      <c r="G159" s="466"/>
      <c r="H159" s="466"/>
      <c r="I159" s="466"/>
      <c r="J159" s="522"/>
      <c r="K159" s="460"/>
      <c r="L159" s="460"/>
      <c r="N159" s="460"/>
      <c r="O159" s="466"/>
      <c r="P159" s="466"/>
      <c r="Q159" s="460"/>
      <c r="R159" s="460"/>
      <c r="S159" s="460"/>
      <c r="T159" s="460"/>
      <c r="U159" s="466"/>
      <c r="V159" s="466"/>
      <c r="W159" s="466"/>
      <c r="X159" s="466"/>
      <c r="Y159" s="122"/>
      <c r="Z159" s="122"/>
      <c r="AF159" s="122"/>
    </row>
    <row r="160">
      <c r="A160" s="466"/>
      <c r="B160" s="466"/>
      <c r="C160" s="466"/>
      <c r="D160" s="466"/>
      <c r="E160" s="466"/>
      <c r="F160" s="466"/>
      <c r="G160" s="466"/>
      <c r="H160" s="466"/>
      <c r="I160" s="466"/>
      <c r="J160" s="522"/>
      <c r="K160" s="460"/>
      <c r="L160" s="460"/>
      <c r="N160" s="460"/>
      <c r="O160" s="466"/>
      <c r="P160" s="466"/>
      <c r="Q160" s="460"/>
      <c r="R160" s="460"/>
      <c r="S160" s="460"/>
      <c r="T160" s="460"/>
      <c r="U160" s="466"/>
      <c r="V160" s="466"/>
      <c r="W160" s="466"/>
      <c r="X160" s="466"/>
      <c r="Y160" s="122"/>
      <c r="Z160" s="122"/>
      <c r="AF160" s="122"/>
    </row>
    <row r="161">
      <c r="A161" s="466"/>
      <c r="B161" s="466"/>
      <c r="C161" s="466"/>
      <c r="D161" s="466"/>
      <c r="E161" s="466"/>
      <c r="F161" s="466"/>
      <c r="G161" s="466"/>
      <c r="H161" s="466"/>
      <c r="I161" s="466"/>
      <c r="J161" s="460"/>
      <c r="K161" s="460"/>
      <c r="L161" s="460"/>
      <c r="N161" s="460"/>
      <c r="O161" s="466"/>
      <c r="P161" s="466"/>
      <c r="Q161" s="460"/>
      <c r="R161" s="460"/>
      <c r="S161" s="460"/>
      <c r="T161" s="460"/>
      <c r="V161" s="466"/>
      <c r="W161" s="466"/>
      <c r="X161" s="466"/>
      <c r="Y161" s="122"/>
      <c r="Z161" s="122"/>
      <c r="AF161" s="122"/>
    </row>
    <row r="162">
      <c r="A162" s="466"/>
      <c r="B162" s="466"/>
      <c r="C162" s="466"/>
      <c r="D162" s="466"/>
      <c r="E162" s="466"/>
      <c r="F162" s="466"/>
      <c r="G162" s="466"/>
      <c r="H162" s="466"/>
      <c r="I162" s="466"/>
      <c r="J162" s="460"/>
      <c r="K162" s="460"/>
      <c r="L162" s="460"/>
      <c r="M162" s="460"/>
      <c r="N162" s="460"/>
      <c r="O162" s="460"/>
      <c r="P162" s="460"/>
      <c r="Q162" s="460"/>
      <c r="R162" s="460"/>
      <c r="S162" s="460"/>
      <c r="T162" s="460"/>
      <c r="V162" s="466"/>
      <c r="W162" s="466"/>
      <c r="X162" s="466"/>
      <c r="Y162" s="122"/>
      <c r="Z162" s="122"/>
      <c r="AF162" s="122"/>
    </row>
    <row r="163">
      <c r="A163" s="466"/>
      <c r="B163" s="466"/>
      <c r="C163" s="466"/>
      <c r="E163" s="466"/>
      <c r="F163" s="466"/>
      <c r="G163" s="466"/>
      <c r="H163" s="466"/>
      <c r="I163" s="466"/>
      <c r="J163" s="460"/>
      <c r="K163" s="460"/>
      <c r="L163" s="460"/>
      <c r="M163" s="460"/>
      <c r="O163" s="466"/>
      <c r="P163" s="460"/>
      <c r="Q163" s="460"/>
      <c r="R163" s="460"/>
      <c r="S163" s="460"/>
      <c r="T163" s="460"/>
      <c r="V163" s="466"/>
      <c r="W163" s="466"/>
      <c r="X163" s="466"/>
      <c r="Y163" s="122"/>
      <c r="Z163" s="122"/>
      <c r="AF163" s="122"/>
    </row>
    <row r="164">
      <c r="A164" s="466"/>
      <c r="B164" s="466"/>
      <c r="C164" s="466"/>
      <c r="E164" s="466"/>
      <c r="F164" s="466"/>
      <c r="G164" s="466"/>
      <c r="H164" s="466"/>
      <c r="I164" s="466"/>
      <c r="J164" s="460"/>
      <c r="K164" s="460"/>
      <c r="L164" s="460"/>
      <c r="M164" s="460"/>
      <c r="N164" s="460"/>
      <c r="O164" s="466"/>
      <c r="P164" s="460"/>
      <c r="Q164" s="460"/>
      <c r="S164" s="460"/>
      <c r="T164" s="460"/>
      <c r="V164" s="466"/>
      <c r="W164" s="466"/>
      <c r="X164" s="466"/>
      <c r="Y164" s="122"/>
      <c r="Z164" s="122"/>
      <c r="AF164" s="122"/>
    </row>
    <row r="165">
      <c r="A165" s="466"/>
      <c r="B165" s="466"/>
      <c r="C165" s="466"/>
      <c r="D165" s="466"/>
      <c r="E165" s="466"/>
      <c r="F165" s="466"/>
      <c r="G165" s="466"/>
      <c r="H165" s="466"/>
      <c r="I165" s="466"/>
      <c r="J165" s="460"/>
      <c r="K165" s="460"/>
      <c r="L165" s="460"/>
      <c r="M165" s="460"/>
      <c r="P165" s="460"/>
      <c r="Q165" s="460"/>
      <c r="R165" s="460"/>
      <c r="S165" s="460"/>
      <c r="T165" s="460"/>
      <c r="U165" s="466"/>
      <c r="V165" s="466"/>
      <c r="W165" s="466"/>
      <c r="X165" s="466"/>
      <c r="Y165" s="122"/>
      <c r="Z165" s="122"/>
      <c r="AF165" s="122"/>
    </row>
    <row r="166">
      <c r="A166" s="466"/>
      <c r="B166" s="466"/>
      <c r="C166" s="466"/>
      <c r="D166" s="466"/>
      <c r="E166" s="466"/>
      <c r="F166" s="466"/>
      <c r="G166" s="466"/>
      <c r="H166" s="466"/>
      <c r="I166" s="466"/>
      <c r="J166" s="460"/>
      <c r="K166" s="460"/>
      <c r="L166" s="460"/>
      <c r="M166" s="460"/>
      <c r="N166" s="460"/>
      <c r="O166" s="466"/>
      <c r="P166" s="460"/>
      <c r="Q166" s="460"/>
      <c r="R166" s="460"/>
      <c r="S166" s="460"/>
      <c r="T166" s="460"/>
      <c r="V166" s="466"/>
      <c r="W166" s="466"/>
      <c r="X166" s="466"/>
      <c r="Y166" s="122"/>
      <c r="Z166" s="122"/>
      <c r="AF166" s="122"/>
    </row>
    <row r="167">
      <c r="A167" s="466"/>
      <c r="B167" s="466"/>
      <c r="C167" s="466"/>
      <c r="D167" s="466"/>
      <c r="E167" s="466"/>
      <c r="F167" s="466"/>
      <c r="G167" s="466"/>
      <c r="H167" s="466"/>
      <c r="I167" s="466"/>
      <c r="J167" s="460"/>
      <c r="K167" s="460"/>
      <c r="L167" s="460"/>
      <c r="M167" s="460"/>
      <c r="N167" s="460"/>
      <c r="O167" s="466"/>
      <c r="P167" s="460"/>
      <c r="Q167" s="460"/>
      <c r="R167" s="460"/>
      <c r="S167" s="460"/>
      <c r="T167" s="460"/>
      <c r="V167" s="466"/>
      <c r="W167" s="466"/>
      <c r="X167" s="466"/>
      <c r="Y167" s="122"/>
      <c r="Z167" s="122"/>
      <c r="AF167" s="122"/>
    </row>
    <row r="168">
      <c r="A168" s="466"/>
      <c r="B168" s="466"/>
      <c r="C168" s="466"/>
      <c r="D168" s="466"/>
      <c r="E168" s="466"/>
      <c r="F168" s="466"/>
      <c r="G168" s="466"/>
      <c r="H168" s="466"/>
      <c r="I168" s="466"/>
      <c r="J168" s="460"/>
      <c r="K168" s="460"/>
      <c r="L168" s="460"/>
      <c r="M168" s="460"/>
      <c r="N168" s="460"/>
      <c r="O168" s="466"/>
      <c r="P168" s="460"/>
      <c r="Q168" s="460"/>
      <c r="R168" s="460"/>
      <c r="S168" s="460"/>
      <c r="T168" s="460"/>
      <c r="V168" s="466"/>
      <c r="W168" s="466"/>
      <c r="X168" s="466"/>
      <c r="Y168" s="122"/>
      <c r="Z168" s="122"/>
      <c r="AF168" s="122"/>
    </row>
    <row r="169">
      <c r="A169" s="466"/>
      <c r="B169" s="466"/>
      <c r="C169" s="466"/>
      <c r="D169" s="466"/>
      <c r="E169" s="466"/>
      <c r="F169" s="466"/>
      <c r="G169" s="466"/>
      <c r="H169" s="466"/>
      <c r="I169" s="466"/>
      <c r="J169" s="460"/>
      <c r="K169" s="460"/>
      <c r="L169" s="460"/>
      <c r="M169" s="460"/>
      <c r="N169" s="460"/>
      <c r="O169" s="466"/>
      <c r="P169" s="460"/>
      <c r="Q169" s="460"/>
      <c r="R169" s="460"/>
      <c r="S169" s="460"/>
      <c r="T169" s="460"/>
      <c r="V169" s="466"/>
      <c r="W169" s="466"/>
      <c r="X169" s="466"/>
      <c r="Y169" s="122"/>
      <c r="Z169" s="122"/>
      <c r="AF169" s="122"/>
    </row>
    <row r="170">
      <c r="A170" s="466"/>
      <c r="B170" s="466"/>
      <c r="C170" s="466"/>
      <c r="D170" s="466"/>
      <c r="E170" s="466"/>
      <c r="F170" s="466"/>
      <c r="G170" s="466"/>
      <c r="H170" s="466"/>
      <c r="I170" s="466"/>
      <c r="J170" s="460"/>
      <c r="K170" s="460"/>
      <c r="L170" s="460"/>
      <c r="M170" s="460"/>
      <c r="N170" s="460"/>
      <c r="O170" s="466"/>
      <c r="P170" s="460"/>
      <c r="Q170" s="460"/>
      <c r="R170" s="460"/>
      <c r="S170" s="460"/>
      <c r="T170" s="460"/>
      <c r="V170" s="466"/>
      <c r="W170" s="466"/>
      <c r="X170" s="466"/>
      <c r="Y170" s="122"/>
      <c r="Z170" s="122"/>
      <c r="AF170" s="122"/>
    </row>
    <row r="171">
      <c r="A171" s="466"/>
      <c r="B171" s="466"/>
      <c r="C171" s="466"/>
      <c r="D171" s="466"/>
      <c r="E171" s="466"/>
      <c r="F171" s="466"/>
      <c r="G171" s="466"/>
      <c r="H171" s="466"/>
      <c r="I171" s="466"/>
      <c r="J171" s="460"/>
      <c r="K171" s="460"/>
      <c r="L171" s="460"/>
      <c r="M171" s="460"/>
      <c r="N171" s="460"/>
      <c r="O171" s="466"/>
      <c r="P171" s="460"/>
      <c r="Q171" s="460"/>
      <c r="R171" s="460"/>
      <c r="S171" s="460"/>
      <c r="T171" s="460"/>
      <c r="V171" s="466"/>
      <c r="W171" s="466"/>
      <c r="X171" s="466"/>
      <c r="Y171" s="122"/>
      <c r="Z171" s="122"/>
      <c r="AF171" s="122"/>
    </row>
    <row r="172">
      <c r="A172" s="466"/>
      <c r="B172" s="466"/>
      <c r="C172" s="466"/>
      <c r="D172" s="466"/>
      <c r="E172" s="466"/>
      <c r="F172" s="466"/>
      <c r="G172" s="466"/>
      <c r="H172" s="466"/>
      <c r="I172" s="466"/>
      <c r="J172" s="460"/>
      <c r="K172" s="460"/>
      <c r="L172" s="460"/>
      <c r="M172" s="460"/>
      <c r="N172" s="460"/>
      <c r="O172" s="466"/>
      <c r="P172" s="460"/>
      <c r="Q172" s="460"/>
      <c r="R172" s="460"/>
      <c r="S172" s="460"/>
      <c r="T172" s="460"/>
      <c r="V172" s="466"/>
      <c r="W172" s="466"/>
      <c r="X172" s="466"/>
      <c r="Y172" s="122"/>
      <c r="Z172" s="122"/>
      <c r="AF172" s="122"/>
    </row>
    <row r="173">
      <c r="A173" s="466"/>
      <c r="B173" s="466"/>
      <c r="C173" s="466"/>
      <c r="E173" s="466"/>
      <c r="F173" s="466"/>
      <c r="G173" s="466"/>
      <c r="H173" s="466"/>
      <c r="I173" s="466"/>
      <c r="J173" s="460"/>
      <c r="K173" s="460"/>
      <c r="L173" s="460"/>
      <c r="M173" s="460"/>
      <c r="O173" s="466"/>
      <c r="P173" s="460"/>
      <c r="Q173" s="460"/>
      <c r="R173" s="460"/>
      <c r="S173" s="460"/>
      <c r="T173" s="460"/>
      <c r="V173" s="466"/>
      <c r="W173" s="466"/>
      <c r="X173" s="466"/>
      <c r="Y173" s="122"/>
      <c r="Z173" s="122"/>
      <c r="AF173" s="122"/>
    </row>
    <row r="174">
      <c r="A174" s="466"/>
      <c r="B174" s="466"/>
      <c r="C174" s="466"/>
      <c r="D174" s="466"/>
      <c r="E174" s="466"/>
      <c r="F174" s="466"/>
      <c r="G174" s="466"/>
      <c r="H174" s="466"/>
      <c r="I174" s="466"/>
      <c r="J174" s="460"/>
      <c r="K174" s="460"/>
      <c r="L174" s="460"/>
      <c r="M174" s="460"/>
      <c r="O174" s="466"/>
      <c r="P174" s="460"/>
      <c r="Q174" s="460"/>
      <c r="R174" s="460"/>
      <c r="S174" s="460"/>
      <c r="T174" s="460"/>
      <c r="V174" s="466"/>
      <c r="W174" s="466"/>
      <c r="X174" s="466"/>
      <c r="Y174" s="122"/>
      <c r="Z174" s="122"/>
      <c r="AA174" s="466"/>
      <c r="AF174" s="122"/>
    </row>
    <row r="175">
      <c r="A175" s="466"/>
      <c r="B175" s="466"/>
      <c r="C175" s="466"/>
      <c r="E175" s="466"/>
      <c r="F175" s="466"/>
      <c r="G175" s="466"/>
      <c r="H175" s="466"/>
      <c r="I175" s="466"/>
      <c r="J175" s="460"/>
      <c r="K175" s="460"/>
      <c r="L175" s="460"/>
      <c r="M175" s="460"/>
      <c r="N175" s="466"/>
      <c r="O175" s="466"/>
      <c r="P175" s="460"/>
      <c r="Q175" s="460"/>
      <c r="R175" s="460"/>
      <c r="S175" s="460"/>
      <c r="T175" s="460"/>
      <c r="U175" s="466"/>
      <c r="V175" s="466"/>
      <c r="W175" s="466"/>
      <c r="X175" s="466"/>
      <c r="Y175" s="122"/>
      <c r="Z175" s="122"/>
      <c r="AF175" s="122"/>
    </row>
    <row r="176">
      <c r="A176" s="466"/>
      <c r="B176" s="466"/>
      <c r="C176" s="466"/>
      <c r="E176" s="466"/>
      <c r="F176" s="466"/>
      <c r="G176" s="466"/>
      <c r="H176" s="466"/>
      <c r="I176" s="466"/>
      <c r="J176" s="460"/>
      <c r="K176" s="460"/>
      <c r="L176" s="460"/>
      <c r="M176" s="460"/>
      <c r="N176" s="466"/>
      <c r="P176" s="460"/>
      <c r="Q176" s="460"/>
      <c r="R176" s="460"/>
      <c r="S176" s="460"/>
      <c r="T176" s="460"/>
      <c r="U176" s="466"/>
      <c r="V176" s="466"/>
      <c r="W176" s="466"/>
      <c r="X176" s="466"/>
      <c r="Y176" s="122"/>
      <c r="Z176" s="122"/>
      <c r="AF176" s="122"/>
    </row>
    <row r="177">
      <c r="A177" s="466"/>
      <c r="B177" s="466"/>
      <c r="C177" s="466"/>
      <c r="D177" s="466"/>
      <c r="E177" s="466"/>
      <c r="F177" s="466"/>
      <c r="G177" s="466"/>
      <c r="H177" s="466"/>
      <c r="I177" s="466"/>
      <c r="J177" s="460"/>
      <c r="K177" s="460"/>
      <c r="L177" s="460"/>
      <c r="M177" s="460"/>
      <c r="N177" s="460"/>
      <c r="O177" s="466"/>
      <c r="P177" s="460"/>
      <c r="Q177" s="460"/>
      <c r="R177" s="460"/>
      <c r="S177" s="460"/>
      <c r="T177" s="460"/>
      <c r="V177" s="466"/>
      <c r="W177" s="466"/>
      <c r="X177" s="466"/>
      <c r="Y177" s="122"/>
      <c r="Z177" s="122"/>
      <c r="AF177" s="122"/>
    </row>
    <row r="178">
      <c r="A178" s="466"/>
      <c r="B178" s="466"/>
      <c r="C178" s="466"/>
      <c r="E178" s="466"/>
      <c r="F178" s="466"/>
      <c r="H178" s="466"/>
      <c r="I178" s="466"/>
      <c r="J178" s="460"/>
      <c r="K178" s="460"/>
      <c r="L178" s="460"/>
      <c r="M178" s="460"/>
      <c r="N178" s="460"/>
      <c r="P178" s="460"/>
      <c r="Q178" s="460"/>
      <c r="R178" s="460"/>
      <c r="S178" s="460"/>
      <c r="T178" s="460"/>
      <c r="V178" s="466"/>
      <c r="W178" s="466"/>
      <c r="X178" s="466"/>
      <c r="Y178" s="122"/>
      <c r="Z178" s="122"/>
      <c r="AF178" s="122"/>
    </row>
    <row r="179">
      <c r="A179" s="466"/>
      <c r="B179" s="466"/>
      <c r="C179" s="466"/>
      <c r="D179" s="466"/>
      <c r="E179" s="466"/>
      <c r="F179" s="466"/>
      <c r="G179" s="466"/>
      <c r="H179" s="466"/>
      <c r="I179" s="466"/>
      <c r="J179" s="460"/>
      <c r="K179" s="460"/>
      <c r="L179" s="460"/>
      <c r="M179" s="460"/>
      <c r="N179" s="460"/>
      <c r="O179" s="466"/>
      <c r="P179" s="460"/>
      <c r="Q179" s="460"/>
      <c r="R179" s="460"/>
      <c r="S179" s="460"/>
      <c r="T179" s="460"/>
      <c r="U179" s="466"/>
      <c r="V179" s="466"/>
      <c r="W179" s="466"/>
      <c r="X179" s="466"/>
      <c r="Y179" s="122"/>
      <c r="Z179" s="122"/>
      <c r="AF179" s="122"/>
    </row>
    <row r="180">
      <c r="A180" s="466"/>
      <c r="B180" s="466"/>
      <c r="C180" s="466"/>
      <c r="D180" s="466"/>
      <c r="E180" s="466"/>
      <c r="F180" s="466"/>
      <c r="G180" s="466"/>
      <c r="H180" s="466"/>
      <c r="I180" s="466"/>
      <c r="J180" s="460"/>
      <c r="K180" s="460"/>
      <c r="L180" s="460"/>
      <c r="M180" s="460"/>
      <c r="P180" s="460"/>
      <c r="Q180" s="460"/>
      <c r="R180" s="460"/>
      <c r="S180" s="460"/>
      <c r="T180" s="460"/>
      <c r="V180" s="466"/>
      <c r="W180" s="466"/>
      <c r="X180" s="466"/>
      <c r="Y180" s="122"/>
      <c r="Z180" s="122"/>
      <c r="AF180" s="122"/>
    </row>
    <row r="181">
      <c r="A181" s="466"/>
      <c r="B181" s="466"/>
      <c r="C181" s="466"/>
      <c r="D181" s="466"/>
      <c r="E181" s="466"/>
      <c r="F181" s="466"/>
      <c r="G181" s="466"/>
      <c r="H181" s="466"/>
      <c r="I181" s="466"/>
      <c r="J181" s="460"/>
      <c r="K181" s="460"/>
      <c r="L181" s="460"/>
      <c r="M181" s="460"/>
      <c r="P181" s="460"/>
      <c r="Q181" s="460"/>
      <c r="R181" s="460"/>
      <c r="S181" s="460"/>
      <c r="T181" s="460"/>
      <c r="V181" s="466"/>
      <c r="W181" s="466"/>
      <c r="X181" s="466"/>
      <c r="Y181" s="122"/>
      <c r="Z181" s="122"/>
      <c r="AF181" s="122"/>
    </row>
    <row r="182">
      <c r="A182" s="466"/>
      <c r="B182" s="466"/>
      <c r="C182" s="466"/>
      <c r="D182" s="466"/>
      <c r="E182" s="466"/>
      <c r="F182" s="466"/>
      <c r="G182" s="466"/>
      <c r="H182" s="466"/>
      <c r="I182" s="466"/>
      <c r="J182" s="460"/>
      <c r="K182" s="460"/>
      <c r="L182" s="460"/>
      <c r="M182" s="460"/>
      <c r="P182" s="460"/>
      <c r="Q182" s="460"/>
      <c r="R182" s="460"/>
      <c r="S182" s="460"/>
      <c r="T182" s="460"/>
      <c r="V182" s="466"/>
      <c r="W182" s="466"/>
      <c r="X182" s="466"/>
      <c r="Y182" s="122"/>
      <c r="Z182" s="122"/>
      <c r="AF182" s="122"/>
    </row>
  </sheetData>
  <mergeCells count="5">
    <mergeCell ref="A1:U1"/>
    <mergeCell ref="V1:X1"/>
    <mergeCell ref="Z1:AF1"/>
    <mergeCell ref="A4:G4"/>
    <mergeCell ref="A33:G33"/>
  </mergeCells>
  <conditionalFormatting sqref="A1:AO147">
    <cfRule type="cellIs" dxfId="3" priority="1" operator="equal">
      <formula>"Yes"</formula>
    </cfRule>
  </conditionalFormatting>
  <conditionalFormatting sqref="AE3 V5:V147">
    <cfRule type="notContainsBlanks" dxfId="3" priority="2">
      <formula>LEN(TRIM(AE3))&gt;0</formula>
    </cfRule>
  </conditionalFormatting>
  <conditionalFormatting sqref="X5:X147 Y14:Z14">
    <cfRule type="cellIs" dxfId="7" priority="3" operator="equal">
      <formula>"Pending"</formula>
    </cfRule>
  </conditionalFormatting>
  <conditionalFormatting sqref="AF3:AF147">
    <cfRule type="cellIs" dxfId="3" priority="4" operator="equal">
      <formula>"Unpacked"</formula>
    </cfRule>
  </conditionalFormatting>
  <conditionalFormatting sqref="A3:AF147">
    <cfRule type="containsText" dxfId="3" priority="5" operator="containsText" text="In Shop">
      <formula>NOT(ISERROR(SEARCH(("In Shop"),(A3))))</formula>
    </cfRule>
  </conditionalFormatting>
  <conditionalFormatting sqref="AF3:AF147">
    <cfRule type="cellIs" dxfId="1" priority="6" operator="equal">
      <formula>"Apt booked with Steven"</formula>
    </cfRule>
  </conditionalFormatting>
  <conditionalFormatting sqref="AF3:AF147">
    <cfRule type="cellIs" dxfId="2" priority="7" operator="equal">
      <formula>"Ordered"</formula>
    </cfRule>
  </conditionalFormatting>
  <conditionalFormatting sqref="AF3:AF147">
    <cfRule type="cellIs" dxfId="2" priority="8" operator="equal">
      <formula>"Received by S&amp;R"</formula>
    </cfRule>
  </conditionalFormatting>
  <conditionalFormatting sqref="W3:W147 Y14:Z14">
    <cfRule type="notContainsBlanks" dxfId="3" priority="9">
      <formula>LEN(TRIM(W3))&gt;0</formula>
    </cfRule>
  </conditionalFormatting>
  <conditionalFormatting sqref="Y5:AE147">
    <cfRule type="notContainsBlanks" dxfId="3" priority="10">
      <formula>LEN(TRIM(Y5))&gt;0</formula>
    </cfRule>
  </conditionalFormatting>
  <dataValidations>
    <dataValidation type="list" allowBlank="1" sqref="AF3 AF5:AF20 AF22:AF23 AF26:AF156 AF158:AF182">
      <formula1>"Apt booked with Steven,Ordered,Received by S&amp;R,In Shop,In Shop (Lead Notified),Unpacked"</formula1>
    </dataValidation>
    <dataValidation type="list" allowBlank="1" sqref="X3 X5:X13 X15:X20 X22:X23 X26:X182">
      <formula1>"Yes,Pending"</formula1>
    </dataValidation>
    <dataValidation type="list" allowBlank="1" sqref="F5:F32 F34:F182">
      <formula1>"Critical,Non-critical"</formula1>
    </dataValidation>
    <dataValidation type="list" allowBlank="1" sqref="Y3:Z3 Y5:Z13 Y15:Z20 Y22:Z23 Y26:Z156 Y158:Z182">
      <formula1>"Morgan,Afrah,Dani,Nick"</formula1>
    </dataValidation>
    <dataValidation type="list" allowBlank="1" sqref="AB3:AD3">
      <formula1>"Yes"</formula1>
    </dataValidation>
    <dataValidation type="list" allowBlank="1" showInputMessage="1" showErrorMessage="1" prompt="If your subsystem does not appear here, message Morgan with the name of the subsystem and she will add it." sqref="B5:B32 B34:B156 B158:B182">
      <formula1>"ergo-struct,ergo-rig,driver-safety,el-cn,ergo-misc,frame-sub-items,outboards,suspension,frame,brakes,el-safety,drivetrain,accumulator,accumulator-handcart,cooling,motor-and-controller,glv,battery-storage,segment-prototype,hand-cart,aero,bodywork,livery,ca"&amp;"r-misc,shop-misc"</formula1>
    </dataValidation>
    <dataValidation type="list" allowBlank="1" sqref="A5:A32 A34:A156 A158:A182">
      <formula1>"Fastener,Material,Part,Tool,Misc.,Consumable"</formula1>
    </dataValidation>
    <dataValidation type="list" allowBlank="1" sqref="Y14">
      <formula1>"P-CARD,Rochelle,Rhythm,George,Victor,Emi,PENDING,LUCA,STEVEN"</formula1>
    </dataValidation>
    <dataValidation type="list" allowBlank="1" sqref="X14">
      <formula1>"Yes,Pending,No"</formula1>
    </dataValidation>
  </dataValidations>
  <hyperlinks>
    <hyperlink r:id="rId1" ref="L2"/>
    <hyperlink r:id="rId2" ref="AA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1.88"/>
    <col customWidth="1" min="3" max="3" width="13.63"/>
    <col customWidth="1" min="4" max="4" width="27.25"/>
    <col customWidth="1" min="5" max="5" width="17.25"/>
    <col customWidth="1" min="7" max="7" width="21.88"/>
    <col customWidth="1" min="8" max="8" width="41.13"/>
    <col customWidth="1" min="9" max="9" width="15.13"/>
    <col customWidth="1" min="10" max="10" width="34.63"/>
    <col customWidth="1" min="11" max="11" width="27.38"/>
  </cols>
  <sheetData>
    <row r="1" ht="22.5" customHeight="1">
      <c r="A1" s="956" t="s">
        <v>1765</v>
      </c>
    </row>
    <row r="2">
      <c r="A2" s="957" t="s">
        <v>1766</v>
      </c>
      <c r="B2" s="957" t="s">
        <v>1767</v>
      </c>
      <c r="C2" s="957" t="s">
        <v>1768</v>
      </c>
      <c r="D2" s="957" t="s">
        <v>1769</v>
      </c>
      <c r="E2" s="957" t="s">
        <v>1770</v>
      </c>
      <c r="F2" s="957" t="s">
        <v>1771</v>
      </c>
      <c r="G2" s="957" t="s">
        <v>604</v>
      </c>
      <c r="H2" s="957" t="s">
        <v>1772</v>
      </c>
      <c r="I2" s="957" t="s">
        <v>1773</v>
      </c>
      <c r="J2" s="957" t="s">
        <v>618</v>
      </c>
    </row>
    <row r="3">
      <c r="A3" s="958"/>
      <c r="L3" s="959"/>
      <c r="M3" s="959"/>
      <c r="N3" s="959"/>
      <c r="O3" s="959"/>
      <c r="P3" s="959"/>
      <c r="Q3" s="959"/>
      <c r="R3" s="959"/>
      <c r="S3" s="959"/>
      <c r="T3" s="959"/>
      <c r="U3" s="959"/>
      <c r="V3" s="959"/>
      <c r="W3" s="959"/>
      <c r="X3" s="959"/>
      <c r="Y3" s="959"/>
      <c r="Z3" s="959"/>
    </row>
    <row r="4">
      <c r="A4" s="958"/>
      <c r="B4" s="959"/>
      <c r="C4" s="959"/>
      <c r="D4" s="959"/>
      <c r="E4" s="959"/>
      <c r="F4" s="959"/>
      <c r="G4" s="959"/>
      <c r="H4" s="959"/>
      <c r="I4" s="959"/>
      <c r="J4" s="959"/>
      <c r="K4" s="959"/>
      <c r="L4" s="959"/>
      <c r="M4" s="959"/>
      <c r="N4" s="959"/>
      <c r="O4" s="959"/>
      <c r="P4" s="959"/>
      <c r="Q4" s="959"/>
      <c r="R4" s="959"/>
      <c r="S4" s="959"/>
      <c r="T4" s="959"/>
      <c r="U4" s="959"/>
      <c r="V4" s="959"/>
      <c r="W4" s="959"/>
      <c r="X4" s="959"/>
      <c r="Y4" s="959"/>
      <c r="Z4" s="959"/>
    </row>
    <row r="5">
      <c r="A5" s="958"/>
      <c r="B5" s="959"/>
      <c r="C5" s="959"/>
      <c r="D5" s="959"/>
      <c r="E5" s="959"/>
      <c r="F5" s="959"/>
      <c r="G5" s="959"/>
      <c r="H5" s="959"/>
      <c r="I5" s="959"/>
      <c r="J5" s="959"/>
      <c r="K5" s="959"/>
      <c r="L5" s="959"/>
      <c r="M5" s="959"/>
      <c r="N5" s="959"/>
      <c r="O5" s="959"/>
      <c r="P5" s="959"/>
      <c r="Q5" s="959"/>
      <c r="R5" s="959"/>
      <c r="S5" s="959"/>
      <c r="T5" s="959"/>
      <c r="U5" s="959"/>
      <c r="V5" s="959"/>
      <c r="W5" s="959"/>
      <c r="X5" s="959"/>
      <c r="Y5" s="959"/>
      <c r="Z5" s="959"/>
    </row>
    <row r="6">
      <c r="A6" s="958"/>
      <c r="B6" s="959"/>
      <c r="C6" s="959"/>
      <c r="D6" s="959"/>
      <c r="E6" s="959"/>
      <c r="F6" s="959"/>
      <c r="G6" s="959"/>
      <c r="H6" s="959"/>
      <c r="I6" s="959"/>
      <c r="J6" s="959"/>
      <c r="K6" s="959"/>
      <c r="L6" s="959"/>
      <c r="M6" s="959"/>
      <c r="N6" s="959"/>
      <c r="O6" s="959"/>
      <c r="P6" s="959"/>
      <c r="Q6" s="959"/>
      <c r="R6" s="959"/>
      <c r="S6" s="959"/>
      <c r="T6" s="959"/>
      <c r="U6" s="959"/>
      <c r="V6" s="959"/>
      <c r="W6" s="959"/>
      <c r="X6" s="959"/>
      <c r="Y6" s="959"/>
      <c r="Z6" s="959"/>
    </row>
    <row r="7">
      <c r="A7" s="958"/>
      <c r="B7" s="959"/>
      <c r="C7" s="959"/>
      <c r="D7" s="959"/>
      <c r="E7" s="959"/>
      <c r="F7" s="959"/>
      <c r="G7" s="959"/>
      <c r="H7" s="959"/>
      <c r="I7" s="959"/>
      <c r="J7" s="959"/>
      <c r="K7" s="959"/>
      <c r="L7" s="959"/>
      <c r="M7" s="959"/>
      <c r="N7" s="959"/>
      <c r="O7" s="959"/>
      <c r="P7" s="959"/>
      <c r="Q7" s="959"/>
      <c r="R7" s="959"/>
      <c r="S7" s="959"/>
      <c r="T7" s="959"/>
      <c r="U7" s="959"/>
      <c r="V7" s="959"/>
      <c r="W7" s="959"/>
      <c r="X7" s="959"/>
      <c r="Y7" s="959"/>
      <c r="Z7" s="959"/>
    </row>
    <row r="8">
      <c r="A8" s="958"/>
      <c r="B8" s="959"/>
      <c r="C8" s="959"/>
      <c r="D8" s="959"/>
      <c r="E8" s="959"/>
      <c r="F8" s="959"/>
      <c r="G8" s="959"/>
      <c r="H8" s="959"/>
      <c r="I8" s="959"/>
      <c r="J8" s="959"/>
      <c r="K8" s="959"/>
      <c r="L8" s="959"/>
      <c r="M8" s="959"/>
      <c r="N8" s="959"/>
      <c r="O8" s="959"/>
      <c r="P8" s="959"/>
      <c r="Q8" s="959"/>
      <c r="R8" s="959"/>
      <c r="S8" s="959"/>
      <c r="T8" s="959"/>
      <c r="U8" s="959"/>
      <c r="V8" s="959"/>
      <c r="W8" s="959"/>
      <c r="X8" s="959"/>
      <c r="Y8" s="959"/>
      <c r="Z8" s="959"/>
    </row>
    <row r="9">
      <c r="A9" s="958"/>
      <c r="B9" s="959"/>
      <c r="C9" s="959"/>
      <c r="D9" s="959"/>
      <c r="E9" s="959"/>
      <c r="F9" s="959"/>
      <c r="G9" s="959"/>
      <c r="H9" s="959"/>
      <c r="I9" s="959"/>
      <c r="J9" s="959"/>
      <c r="K9" s="959"/>
      <c r="L9" s="959"/>
      <c r="M9" s="959"/>
      <c r="N9" s="959"/>
      <c r="O9" s="959"/>
      <c r="P9" s="959"/>
      <c r="Q9" s="959"/>
      <c r="R9" s="959"/>
      <c r="S9" s="959"/>
      <c r="T9" s="959"/>
      <c r="U9" s="959"/>
      <c r="V9" s="959"/>
      <c r="W9" s="959"/>
      <c r="X9" s="959"/>
      <c r="Y9" s="959"/>
      <c r="Z9" s="959"/>
    </row>
    <row r="10">
      <c r="A10" s="959"/>
      <c r="B10" s="959"/>
      <c r="C10" s="959"/>
      <c r="D10" s="959"/>
      <c r="E10" s="959"/>
      <c r="F10" s="959"/>
      <c r="G10" s="959"/>
      <c r="H10" s="959"/>
      <c r="I10" s="959"/>
      <c r="J10" s="959"/>
      <c r="K10" s="959"/>
      <c r="L10" s="959"/>
      <c r="M10" s="959"/>
      <c r="N10" s="959"/>
      <c r="O10" s="959"/>
      <c r="P10" s="959"/>
      <c r="Q10" s="959"/>
      <c r="R10" s="959"/>
      <c r="S10" s="959"/>
      <c r="T10" s="959"/>
      <c r="U10" s="959"/>
      <c r="V10" s="959"/>
      <c r="W10" s="959"/>
      <c r="X10" s="959"/>
      <c r="Y10" s="959"/>
      <c r="Z10" s="959"/>
    </row>
    <row r="11">
      <c r="A11" s="960" t="s">
        <v>1774</v>
      </c>
      <c r="K11" s="959"/>
      <c r="L11" s="959"/>
      <c r="M11" s="959"/>
      <c r="N11" s="959"/>
      <c r="O11" s="959"/>
      <c r="P11" s="959"/>
      <c r="Q11" s="959"/>
      <c r="R11" s="959"/>
      <c r="S11" s="959"/>
      <c r="T11" s="959"/>
      <c r="U11" s="959"/>
      <c r="V11" s="959"/>
      <c r="W11" s="959"/>
      <c r="X11" s="959"/>
      <c r="Y11" s="959"/>
      <c r="Z11" s="959"/>
    </row>
    <row r="12">
      <c r="A12" s="961" t="s">
        <v>1766</v>
      </c>
      <c r="B12" s="961" t="s">
        <v>1767</v>
      </c>
      <c r="C12" s="961" t="s">
        <v>1768</v>
      </c>
      <c r="D12" s="961" t="s">
        <v>1769</v>
      </c>
      <c r="E12" s="961" t="s">
        <v>1770</v>
      </c>
      <c r="F12" s="961" t="s">
        <v>1771</v>
      </c>
      <c r="G12" s="961" t="s">
        <v>604</v>
      </c>
      <c r="H12" s="961" t="s">
        <v>1772</v>
      </c>
      <c r="I12" s="961" t="s">
        <v>1773</v>
      </c>
      <c r="J12" s="961" t="s">
        <v>618</v>
      </c>
      <c r="K12" s="959"/>
      <c r="L12" s="959"/>
      <c r="M12" s="959"/>
      <c r="N12" s="959"/>
      <c r="O12" s="959"/>
      <c r="P12" s="959"/>
      <c r="Q12" s="959"/>
      <c r="R12" s="959"/>
      <c r="S12" s="959"/>
      <c r="T12" s="959"/>
      <c r="U12" s="959"/>
      <c r="V12" s="959"/>
      <c r="W12" s="959"/>
      <c r="X12" s="959"/>
      <c r="Y12" s="959"/>
      <c r="Z12" s="959"/>
    </row>
    <row r="13">
      <c r="A13" s="958"/>
      <c r="B13" s="958"/>
      <c r="C13" s="958"/>
      <c r="D13" s="958"/>
      <c r="E13" s="958"/>
      <c r="F13" s="958"/>
      <c r="G13" s="958"/>
      <c r="H13" s="958"/>
      <c r="I13" s="958"/>
      <c r="J13" s="958"/>
      <c r="K13" s="959"/>
      <c r="L13" s="959"/>
      <c r="M13" s="959"/>
      <c r="N13" s="959"/>
      <c r="O13" s="959"/>
      <c r="P13" s="959"/>
      <c r="Q13" s="959"/>
      <c r="R13" s="959"/>
      <c r="S13" s="959"/>
      <c r="T13" s="959"/>
      <c r="U13" s="959"/>
      <c r="V13" s="959"/>
      <c r="W13" s="959"/>
      <c r="X13" s="959"/>
      <c r="Y13" s="959"/>
      <c r="Z13" s="959"/>
    </row>
    <row r="14">
      <c r="A14" s="958"/>
      <c r="B14" s="959"/>
      <c r="C14" s="959"/>
      <c r="D14" s="959"/>
      <c r="E14" s="959"/>
      <c r="F14" s="959"/>
      <c r="G14" s="959"/>
      <c r="H14" s="959"/>
      <c r="I14" s="959"/>
      <c r="J14" s="959"/>
      <c r="K14" s="959"/>
      <c r="L14" s="959"/>
      <c r="M14" s="959"/>
      <c r="N14" s="959"/>
      <c r="O14" s="959"/>
      <c r="P14" s="959"/>
      <c r="Q14" s="959"/>
      <c r="R14" s="959"/>
      <c r="S14" s="959"/>
      <c r="T14" s="959"/>
      <c r="U14" s="959"/>
      <c r="V14" s="959"/>
      <c r="W14" s="959"/>
      <c r="X14" s="959"/>
      <c r="Y14" s="959"/>
      <c r="Z14" s="959"/>
    </row>
    <row r="15">
      <c r="A15" s="958"/>
      <c r="B15" s="959"/>
      <c r="C15" s="959"/>
      <c r="D15" s="959"/>
      <c r="E15" s="959"/>
      <c r="F15" s="959"/>
      <c r="G15" s="959"/>
      <c r="H15" s="959"/>
      <c r="I15" s="959"/>
      <c r="J15" s="959"/>
      <c r="K15" s="959"/>
      <c r="L15" s="959"/>
      <c r="M15" s="959"/>
      <c r="N15" s="959"/>
      <c r="O15" s="959"/>
      <c r="P15" s="959"/>
      <c r="Q15" s="959"/>
      <c r="R15" s="959"/>
      <c r="S15" s="959"/>
      <c r="T15" s="959"/>
      <c r="U15" s="959"/>
      <c r="V15" s="959"/>
      <c r="W15" s="959"/>
      <c r="X15" s="959"/>
      <c r="Y15" s="959"/>
      <c r="Z15" s="959"/>
    </row>
    <row r="16">
      <c r="A16" s="958"/>
      <c r="B16" s="959"/>
      <c r="C16" s="959"/>
      <c r="D16" s="959"/>
      <c r="E16" s="959"/>
      <c r="F16" s="959"/>
      <c r="G16" s="959"/>
      <c r="H16" s="959"/>
      <c r="I16" s="959"/>
      <c r="J16" s="959"/>
      <c r="K16" s="959"/>
      <c r="L16" s="959"/>
      <c r="M16" s="959"/>
      <c r="N16" s="959"/>
      <c r="O16" s="959"/>
      <c r="P16" s="959"/>
      <c r="Q16" s="959"/>
      <c r="R16" s="959"/>
      <c r="S16" s="959"/>
      <c r="T16" s="959"/>
      <c r="U16" s="959"/>
      <c r="V16" s="959"/>
      <c r="W16" s="959"/>
      <c r="X16" s="959"/>
      <c r="Y16" s="959"/>
      <c r="Z16" s="959"/>
    </row>
    <row r="17">
      <c r="A17" s="958"/>
      <c r="B17" s="959"/>
      <c r="C17" s="959"/>
      <c r="D17" s="959"/>
      <c r="E17" s="959"/>
      <c r="F17" s="959"/>
      <c r="G17" s="959"/>
      <c r="H17" s="959"/>
      <c r="I17" s="959"/>
      <c r="J17" s="959"/>
      <c r="K17" s="959"/>
      <c r="L17" s="959"/>
      <c r="M17" s="959"/>
      <c r="N17" s="959"/>
      <c r="O17" s="959"/>
      <c r="P17" s="959"/>
      <c r="Q17" s="959"/>
      <c r="R17" s="959"/>
      <c r="S17" s="959"/>
      <c r="T17" s="959"/>
      <c r="U17" s="959"/>
      <c r="V17" s="959"/>
      <c r="W17" s="959"/>
      <c r="X17" s="959"/>
      <c r="Y17" s="959"/>
      <c r="Z17" s="959"/>
    </row>
    <row r="18">
      <c r="A18" s="958"/>
      <c r="B18" s="959"/>
      <c r="C18" s="959"/>
      <c r="D18" s="959"/>
      <c r="E18" s="959"/>
      <c r="F18" s="959"/>
      <c r="G18" s="959"/>
      <c r="H18" s="959"/>
      <c r="I18" s="959"/>
      <c r="J18" s="959"/>
      <c r="K18" s="959"/>
      <c r="L18" s="959"/>
      <c r="M18" s="959"/>
      <c r="N18" s="959"/>
      <c r="O18" s="959"/>
      <c r="P18" s="959"/>
      <c r="Q18" s="959"/>
      <c r="R18" s="959"/>
      <c r="S18" s="959"/>
      <c r="T18" s="959"/>
      <c r="U18" s="959"/>
      <c r="V18" s="959"/>
      <c r="W18" s="959"/>
      <c r="X18" s="959"/>
      <c r="Y18" s="959"/>
      <c r="Z18" s="959"/>
    </row>
    <row r="19">
      <c r="A19" s="958"/>
      <c r="B19" s="959"/>
      <c r="C19" s="959"/>
      <c r="D19" s="959"/>
      <c r="E19" s="959"/>
      <c r="F19" s="959"/>
      <c r="G19" s="959"/>
      <c r="H19" s="959"/>
      <c r="I19" s="959"/>
      <c r="J19" s="959"/>
      <c r="K19" s="959"/>
      <c r="L19" s="959"/>
      <c r="M19" s="959"/>
      <c r="N19" s="959"/>
      <c r="O19" s="959"/>
      <c r="P19" s="959"/>
      <c r="Q19" s="959"/>
      <c r="R19" s="959"/>
      <c r="S19" s="959"/>
      <c r="T19" s="959"/>
      <c r="U19" s="959"/>
      <c r="V19" s="959"/>
      <c r="W19" s="959"/>
      <c r="X19" s="959"/>
      <c r="Y19" s="959"/>
      <c r="Z19" s="959"/>
    </row>
    <row r="20">
      <c r="A20" s="959"/>
      <c r="B20" s="959"/>
      <c r="C20" s="959"/>
      <c r="D20" s="959"/>
      <c r="E20" s="959"/>
      <c r="F20" s="959"/>
      <c r="G20" s="959"/>
      <c r="H20" s="959"/>
      <c r="I20" s="959"/>
      <c r="J20" s="959"/>
      <c r="K20" s="959"/>
      <c r="L20" s="959"/>
      <c r="M20" s="959"/>
      <c r="N20" s="959"/>
      <c r="O20" s="959"/>
      <c r="P20" s="959"/>
      <c r="Q20" s="959"/>
      <c r="R20" s="959"/>
      <c r="S20" s="959"/>
      <c r="T20" s="959"/>
      <c r="U20" s="959"/>
      <c r="V20" s="959"/>
      <c r="W20" s="959"/>
      <c r="X20" s="959"/>
      <c r="Y20" s="959"/>
      <c r="Z20" s="959"/>
    </row>
    <row r="21">
      <c r="A21" s="962" t="s">
        <v>1775</v>
      </c>
      <c r="K21" s="959"/>
      <c r="L21" s="959"/>
      <c r="M21" s="959"/>
      <c r="N21" s="959"/>
      <c r="O21" s="959"/>
      <c r="P21" s="959"/>
      <c r="Q21" s="959"/>
      <c r="R21" s="959"/>
      <c r="S21" s="959"/>
      <c r="T21" s="959"/>
      <c r="U21" s="959"/>
      <c r="V21" s="959"/>
      <c r="W21" s="959"/>
      <c r="X21" s="959"/>
      <c r="Y21" s="959"/>
      <c r="Z21" s="959"/>
    </row>
    <row r="22">
      <c r="A22" s="963" t="s">
        <v>1766</v>
      </c>
      <c r="B22" s="963" t="s">
        <v>1767</v>
      </c>
      <c r="C22" s="963" t="s">
        <v>1768</v>
      </c>
      <c r="D22" s="963" t="s">
        <v>1769</v>
      </c>
      <c r="E22" s="963" t="s">
        <v>1770</v>
      </c>
      <c r="F22" s="963" t="s">
        <v>1771</v>
      </c>
      <c r="G22" s="963" t="s">
        <v>604</v>
      </c>
      <c r="H22" s="963" t="s">
        <v>1772</v>
      </c>
      <c r="I22" s="963" t="s">
        <v>1773</v>
      </c>
      <c r="J22" s="963" t="s">
        <v>618</v>
      </c>
      <c r="K22" s="959"/>
      <c r="L22" s="959"/>
      <c r="M22" s="959"/>
      <c r="N22" s="959"/>
      <c r="O22" s="959"/>
      <c r="P22" s="959"/>
      <c r="Q22" s="959"/>
      <c r="R22" s="959"/>
      <c r="S22" s="959"/>
      <c r="T22" s="959"/>
      <c r="U22" s="959"/>
      <c r="V22" s="959"/>
      <c r="W22" s="959"/>
      <c r="X22" s="959"/>
      <c r="Y22" s="959"/>
      <c r="Z22" s="959"/>
    </row>
    <row r="23">
      <c r="A23" s="958"/>
      <c r="B23" s="958"/>
      <c r="C23" s="958"/>
      <c r="D23" s="958"/>
      <c r="E23" s="958"/>
      <c r="F23" s="958"/>
      <c r="G23" s="958"/>
      <c r="H23" s="958"/>
      <c r="I23" s="958"/>
      <c r="J23" s="958"/>
      <c r="K23" s="959"/>
      <c r="L23" s="959"/>
      <c r="M23" s="959"/>
      <c r="N23" s="959"/>
      <c r="O23" s="959"/>
      <c r="P23" s="959"/>
      <c r="Q23" s="959"/>
      <c r="R23" s="959"/>
      <c r="S23" s="959"/>
      <c r="T23" s="959"/>
      <c r="U23" s="959"/>
      <c r="V23" s="959"/>
      <c r="W23" s="959"/>
      <c r="X23" s="959"/>
      <c r="Y23" s="959"/>
      <c r="Z23" s="959"/>
    </row>
    <row r="24">
      <c r="A24" s="958"/>
      <c r="B24" s="959"/>
      <c r="C24" s="959"/>
      <c r="D24" s="959"/>
      <c r="E24" s="959"/>
      <c r="F24" s="959"/>
      <c r="G24" s="959"/>
      <c r="H24" s="959"/>
      <c r="I24" s="959"/>
      <c r="J24" s="959"/>
      <c r="K24" s="959"/>
      <c r="L24" s="959"/>
      <c r="M24" s="959"/>
      <c r="N24" s="959"/>
      <c r="O24" s="959"/>
      <c r="P24" s="959"/>
      <c r="Q24" s="959"/>
      <c r="R24" s="959"/>
      <c r="S24" s="959"/>
      <c r="T24" s="959"/>
      <c r="U24" s="959"/>
      <c r="V24" s="959"/>
      <c r="W24" s="959"/>
      <c r="X24" s="959"/>
      <c r="Y24" s="959"/>
      <c r="Z24" s="959"/>
    </row>
    <row r="25">
      <c r="A25" s="958"/>
      <c r="B25" s="959"/>
      <c r="C25" s="959"/>
      <c r="D25" s="959"/>
      <c r="E25" s="959"/>
      <c r="F25" s="959"/>
      <c r="G25" s="959"/>
      <c r="H25" s="959"/>
      <c r="I25" s="959"/>
      <c r="J25" s="959"/>
      <c r="K25" s="959"/>
      <c r="L25" s="959"/>
      <c r="M25" s="959"/>
      <c r="N25" s="959"/>
      <c r="O25" s="959"/>
      <c r="P25" s="959"/>
      <c r="Q25" s="959"/>
      <c r="R25" s="959"/>
      <c r="S25" s="959"/>
      <c r="T25" s="959"/>
      <c r="U25" s="959"/>
      <c r="V25" s="959"/>
      <c r="W25" s="959"/>
      <c r="X25" s="959"/>
      <c r="Y25" s="959"/>
      <c r="Z25" s="959"/>
    </row>
    <row r="26">
      <c r="A26" s="958"/>
      <c r="B26" s="959"/>
      <c r="C26" s="959"/>
      <c r="D26" s="959"/>
      <c r="E26" s="959"/>
      <c r="F26" s="959"/>
      <c r="G26" s="959"/>
      <c r="H26" s="959"/>
      <c r="I26" s="959"/>
      <c r="J26" s="959"/>
      <c r="K26" s="959"/>
      <c r="L26" s="959"/>
      <c r="M26" s="959"/>
      <c r="N26" s="959"/>
      <c r="O26" s="959"/>
      <c r="P26" s="959"/>
      <c r="Q26" s="959"/>
      <c r="R26" s="959"/>
      <c r="S26" s="959"/>
      <c r="T26" s="959"/>
      <c r="U26" s="959"/>
      <c r="V26" s="959"/>
      <c r="W26" s="959"/>
      <c r="X26" s="959"/>
      <c r="Y26" s="959"/>
      <c r="Z26" s="959"/>
    </row>
    <row r="27">
      <c r="A27" s="958"/>
      <c r="B27" s="959"/>
      <c r="C27" s="959"/>
      <c r="D27" s="959"/>
      <c r="E27" s="959"/>
      <c r="F27" s="959"/>
      <c r="G27" s="959"/>
      <c r="H27" s="959"/>
      <c r="I27" s="959"/>
      <c r="J27" s="959"/>
      <c r="K27" s="959"/>
      <c r="L27" s="959"/>
      <c r="M27" s="959"/>
      <c r="N27" s="959"/>
      <c r="O27" s="959"/>
      <c r="P27" s="959"/>
      <c r="Q27" s="959"/>
      <c r="R27" s="959"/>
      <c r="S27" s="959"/>
      <c r="T27" s="959"/>
      <c r="U27" s="959"/>
      <c r="V27" s="959"/>
      <c r="W27" s="959"/>
      <c r="X27" s="959"/>
      <c r="Y27" s="959"/>
      <c r="Z27" s="959"/>
    </row>
    <row r="28">
      <c r="A28" s="958"/>
      <c r="B28" s="959"/>
      <c r="C28" s="959"/>
      <c r="D28" s="959"/>
      <c r="E28" s="959"/>
      <c r="F28" s="959"/>
      <c r="G28" s="959"/>
      <c r="H28" s="959"/>
      <c r="I28" s="959"/>
      <c r="J28" s="959"/>
      <c r="K28" s="959"/>
      <c r="L28" s="959"/>
      <c r="M28" s="959"/>
      <c r="N28" s="959"/>
      <c r="O28" s="959"/>
      <c r="P28" s="959"/>
      <c r="Q28" s="959"/>
      <c r="R28" s="959"/>
      <c r="S28" s="959"/>
      <c r="T28" s="959"/>
      <c r="U28" s="959"/>
      <c r="V28" s="959"/>
      <c r="W28" s="959"/>
      <c r="X28" s="959"/>
      <c r="Y28" s="959"/>
      <c r="Z28" s="959"/>
    </row>
    <row r="29">
      <c r="A29" s="958"/>
      <c r="B29" s="959"/>
      <c r="C29" s="959"/>
      <c r="D29" s="959"/>
      <c r="E29" s="959"/>
      <c r="F29" s="959"/>
      <c r="G29" s="959"/>
      <c r="H29" s="959"/>
      <c r="I29" s="959"/>
      <c r="J29" s="959"/>
      <c r="K29" s="959"/>
      <c r="L29" s="959"/>
      <c r="M29" s="959"/>
      <c r="N29" s="959"/>
      <c r="O29" s="959"/>
      <c r="P29" s="959"/>
      <c r="Q29" s="959"/>
      <c r="R29" s="959"/>
      <c r="S29" s="959"/>
      <c r="T29" s="959"/>
      <c r="U29" s="959"/>
      <c r="V29" s="959"/>
      <c r="W29" s="959"/>
      <c r="X29" s="959"/>
      <c r="Y29" s="959"/>
      <c r="Z29" s="959"/>
    </row>
    <row r="30">
      <c r="A30" s="959"/>
      <c r="B30" s="959"/>
      <c r="C30" s="959"/>
      <c r="D30" s="959"/>
      <c r="E30" s="959"/>
      <c r="F30" s="959"/>
      <c r="G30" s="959"/>
      <c r="H30" s="959"/>
      <c r="I30" s="959"/>
      <c r="J30" s="959"/>
      <c r="K30" s="959"/>
      <c r="L30" s="959"/>
      <c r="M30" s="959"/>
      <c r="N30" s="959"/>
      <c r="O30" s="959"/>
      <c r="P30" s="959"/>
      <c r="Q30" s="959"/>
      <c r="R30" s="959"/>
      <c r="S30" s="959"/>
      <c r="T30" s="959"/>
      <c r="U30" s="959"/>
      <c r="V30" s="959"/>
      <c r="W30" s="959"/>
      <c r="X30" s="959"/>
      <c r="Y30" s="959"/>
      <c r="Z30" s="959"/>
    </row>
    <row r="31">
      <c r="A31" s="964" t="s">
        <v>1776</v>
      </c>
      <c r="K31" s="959"/>
      <c r="L31" s="959"/>
      <c r="M31" s="959"/>
      <c r="N31" s="959"/>
      <c r="O31" s="959"/>
      <c r="P31" s="959"/>
      <c r="Q31" s="959"/>
      <c r="R31" s="959"/>
      <c r="S31" s="959"/>
      <c r="T31" s="959"/>
      <c r="U31" s="959"/>
      <c r="V31" s="959"/>
      <c r="W31" s="959"/>
      <c r="X31" s="959"/>
      <c r="Y31" s="959"/>
      <c r="Z31" s="959"/>
    </row>
    <row r="32">
      <c r="A32" s="965" t="s">
        <v>1766</v>
      </c>
      <c r="B32" s="965" t="s">
        <v>1767</v>
      </c>
      <c r="C32" s="965" t="s">
        <v>1777</v>
      </c>
      <c r="D32" s="965" t="s">
        <v>1769</v>
      </c>
      <c r="E32" s="965" t="s">
        <v>1770</v>
      </c>
      <c r="F32" s="965" t="s">
        <v>1771</v>
      </c>
      <c r="G32" s="965" t="s">
        <v>604</v>
      </c>
      <c r="H32" s="965" t="s">
        <v>1772</v>
      </c>
      <c r="I32" s="965" t="s">
        <v>1773</v>
      </c>
      <c r="J32" s="965" t="s">
        <v>618</v>
      </c>
      <c r="K32" s="959"/>
      <c r="L32" s="959"/>
      <c r="M32" s="959"/>
      <c r="N32" s="959"/>
      <c r="O32" s="959"/>
      <c r="P32" s="959"/>
      <c r="Q32" s="959"/>
      <c r="R32" s="959"/>
      <c r="S32" s="959"/>
      <c r="T32" s="959"/>
      <c r="U32" s="959"/>
      <c r="V32" s="959"/>
      <c r="W32" s="959"/>
      <c r="X32" s="959"/>
      <c r="Y32" s="959"/>
      <c r="Z32" s="959"/>
    </row>
    <row r="33">
      <c r="A33" s="966" t="s">
        <v>1778</v>
      </c>
      <c r="B33" s="966">
        <v>0.7</v>
      </c>
      <c r="C33" s="966">
        <v>25.0</v>
      </c>
      <c r="D33" s="966" t="s">
        <v>642</v>
      </c>
      <c r="E33" s="966" t="s">
        <v>1779</v>
      </c>
      <c r="F33" s="966">
        <v>16.0</v>
      </c>
      <c r="G33" s="966" t="s">
        <v>530</v>
      </c>
      <c r="H33" s="966" t="s">
        <v>1780</v>
      </c>
      <c r="I33" s="966" t="s">
        <v>470</v>
      </c>
      <c r="J33" s="967" t="s">
        <v>1781</v>
      </c>
      <c r="K33" s="959"/>
      <c r="L33" s="959"/>
      <c r="M33" s="959"/>
      <c r="N33" s="959"/>
      <c r="O33" s="959"/>
      <c r="P33" s="959"/>
      <c r="Q33" s="959"/>
      <c r="R33" s="959"/>
      <c r="S33" s="959"/>
      <c r="T33" s="959"/>
      <c r="U33" s="959"/>
      <c r="V33" s="959"/>
      <c r="W33" s="959"/>
      <c r="X33" s="959"/>
      <c r="Y33" s="959"/>
      <c r="Z33" s="959"/>
    </row>
    <row r="34">
      <c r="A34" s="966" t="s">
        <v>1782</v>
      </c>
      <c r="B34" s="966">
        <v>0.7</v>
      </c>
      <c r="C34" s="966" t="s">
        <v>642</v>
      </c>
      <c r="D34" s="966" t="s">
        <v>642</v>
      </c>
      <c r="E34" s="966" t="s">
        <v>1783</v>
      </c>
      <c r="F34" s="966">
        <v>16.0</v>
      </c>
      <c r="G34" s="966" t="s">
        <v>530</v>
      </c>
      <c r="H34" s="966" t="s">
        <v>1780</v>
      </c>
      <c r="I34" s="966" t="s">
        <v>470</v>
      </c>
      <c r="J34" s="967" t="s">
        <v>1784</v>
      </c>
      <c r="K34" s="959"/>
      <c r="L34" s="959"/>
      <c r="M34" s="959"/>
      <c r="N34" s="959"/>
      <c r="O34" s="959"/>
      <c r="P34" s="959"/>
      <c r="Q34" s="959"/>
      <c r="R34" s="959"/>
      <c r="S34" s="959"/>
      <c r="T34" s="959"/>
      <c r="U34" s="959"/>
      <c r="V34" s="959"/>
      <c r="W34" s="959"/>
      <c r="X34" s="959"/>
      <c r="Y34" s="959"/>
      <c r="Z34" s="959"/>
    </row>
    <row r="35">
      <c r="A35" s="968" t="s">
        <v>1785</v>
      </c>
      <c r="B35" s="968">
        <v>0.7</v>
      </c>
      <c r="C35" s="968">
        <v>8.0</v>
      </c>
      <c r="D35" s="968" t="s">
        <v>642</v>
      </c>
      <c r="E35" s="968">
        <v>8.0</v>
      </c>
      <c r="F35" s="968">
        <v>18.0</v>
      </c>
      <c r="G35" s="968" t="s">
        <v>1786</v>
      </c>
      <c r="H35" s="968" t="s">
        <v>1787</v>
      </c>
      <c r="I35" s="968" t="s">
        <v>486</v>
      </c>
      <c r="J35" s="969" t="s">
        <v>1788</v>
      </c>
      <c r="K35" s="958" t="s">
        <v>1789</v>
      </c>
      <c r="L35" s="959"/>
      <c r="M35" s="959"/>
      <c r="N35" s="959"/>
      <c r="O35" s="959"/>
      <c r="P35" s="959"/>
      <c r="Q35" s="959"/>
      <c r="R35" s="959"/>
      <c r="S35" s="959"/>
      <c r="T35" s="959"/>
      <c r="U35" s="959"/>
      <c r="V35" s="959"/>
      <c r="W35" s="959"/>
      <c r="X35" s="959"/>
      <c r="Y35" s="959"/>
      <c r="Z35" s="959"/>
    </row>
    <row r="36">
      <c r="A36" s="968" t="s">
        <v>1782</v>
      </c>
      <c r="B36" s="968">
        <v>0.7</v>
      </c>
      <c r="C36" s="968" t="s">
        <v>642</v>
      </c>
      <c r="D36" s="968" t="s">
        <v>642</v>
      </c>
      <c r="E36" s="968">
        <v>8.0</v>
      </c>
      <c r="F36" s="968">
        <v>18.0</v>
      </c>
      <c r="G36" s="968" t="s">
        <v>1786</v>
      </c>
      <c r="H36" s="968" t="s">
        <v>1787</v>
      </c>
      <c r="I36" s="968" t="s">
        <v>486</v>
      </c>
      <c r="J36" s="969" t="s">
        <v>1784</v>
      </c>
      <c r="K36" s="958" t="s">
        <v>1790</v>
      </c>
      <c r="L36" s="959"/>
      <c r="M36" s="959"/>
      <c r="N36" s="959"/>
      <c r="O36" s="959"/>
      <c r="P36" s="959"/>
      <c r="Q36" s="959"/>
      <c r="R36" s="959"/>
      <c r="S36" s="959"/>
      <c r="T36" s="959"/>
      <c r="U36" s="959"/>
      <c r="V36" s="959"/>
      <c r="W36" s="959"/>
      <c r="X36" s="959"/>
      <c r="Y36" s="959"/>
      <c r="Z36" s="959"/>
    </row>
    <row r="37">
      <c r="A37" s="958"/>
      <c r="B37" s="959"/>
      <c r="C37" s="959"/>
      <c r="D37" s="959"/>
      <c r="E37" s="959"/>
      <c r="F37" s="959"/>
      <c r="G37" s="959"/>
      <c r="H37" s="959"/>
      <c r="I37" s="959"/>
      <c r="J37" s="959"/>
      <c r="K37" s="959"/>
      <c r="L37" s="959"/>
      <c r="M37" s="959"/>
      <c r="N37" s="959"/>
      <c r="O37" s="959"/>
      <c r="P37" s="959"/>
      <c r="Q37" s="959"/>
      <c r="R37" s="959"/>
      <c r="S37" s="959"/>
      <c r="T37" s="959"/>
      <c r="U37" s="959"/>
      <c r="V37" s="959"/>
      <c r="W37" s="959"/>
      <c r="X37" s="959"/>
      <c r="Y37" s="959"/>
      <c r="Z37" s="959"/>
    </row>
    <row r="38">
      <c r="A38" s="958"/>
      <c r="B38" s="959"/>
      <c r="C38" s="959"/>
      <c r="D38" s="959"/>
      <c r="E38" s="959"/>
      <c r="F38" s="959"/>
      <c r="G38" s="959"/>
      <c r="H38" s="959"/>
      <c r="I38" s="959"/>
      <c r="J38" s="959"/>
      <c r="K38" s="959"/>
      <c r="L38" s="959"/>
      <c r="M38" s="959"/>
      <c r="N38" s="959"/>
      <c r="O38" s="959"/>
      <c r="P38" s="959"/>
      <c r="Q38" s="959"/>
      <c r="R38" s="959"/>
      <c r="S38" s="959"/>
      <c r="T38" s="959"/>
      <c r="U38" s="959"/>
      <c r="V38" s="959"/>
      <c r="W38" s="959"/>
      <c r="X38" s="959"/>
      <c r="Y38" s="959"/>
      <c r="Z38" s="959"/>
    </row>
    <row r="39">
      <c r="A39" s="958"/>
      <c r="B39" s="959"/>
      <c r="C39" s="959"/>
      <c r="D39" s="959"/>
      <c r="E39" s="959"/>
      <c r="F39" s="959"/>
      <c r="G39" s="959"/>
      <c r="H39" s="959"/>
      <c r="I39" s="959"/>
      <c r="J39" s="959"/>
      <c r="K39" s="959"/>
      <c r="L39" s="959"/>
      <c r="M39" s="959"/>
      <c r="N39" s="959"/>
      <c r="O39" s="959"/>
      <c r="P39" s="959"/>
      <c r="Q39" s="959"/>
      <c r="R39" s="959"/>
      <c r="S39" s="959"/>
      <c r="T39" s="959"/>
      <c r="U39" s="959"/>
      <c r="V39" s="959"/>
      <c r="W39" s="959"/>
      <c r="X39" s="959"/>
      <c r="Y39" s="959"/>
      <c r="Z39" s="959"/>
    </row>
    <row r="40">
      <c r="A40" s="959"/>
      <c r="B40" s="959"/>
      <c r="C40" s="959"/>
      <c r="D40" s="959"/>
      <c r="E40" s="959"/>
      <c r="F40" s="959"/>
      <c r="G40" s="959"/>
      <c r="H40" s="959"/>
      <c r="I40" s="959"/>
      <c r="J40" s="959"/>
      <c r="K40" s="959"/>
      <c r="L40" s="959"/>
      <c r="M40" s="959"/>
      <c r="N40" s="959"/>
      <c r="O40" s="959"/>
      <c r="P40" s="959"/>
      <c r="Q40" s="959"/>
      <c r="R40" s="959"/>
      <c r="S40" s="959"/>
      <c r="T40" s="959"/>
      <c r="U40" s="959"/>
      <c r="V40" s="959"/>
      <c r="W40" s="959"/>
      <c r="X40" s="959"/>
      <c r="Y40" s="959"/>
      <c r="Z40" s="959"/>
    </row>
    <row r="41">
      <c r="A41" s="970" t="s">
        <v>1791</v>
      </c>
      <c r="K41" s="959"/>
      <c r="L41" s="959"/>
      <c r="M41" s="959"/>
      <c r="N41" s="959"/>
      <c r="O41" s="959"/>
      <c r="P41" s="959"/>
      <c r="Q41" s="959"/>
      <c r="R41" s="959"/>
      <c r="S41" s="959"/>
      <c r="T41" s="959"/>
      <c r="U41" s="959"/>
      <c r="V41" s="959"/>
      <c r="W41" s="959"/>
      <c r="X41" s="959"/>
      <c r="Y41" s="959"/>
      <c r="Z41" s="959"/>
    </row>
    <row r="42">
      <c r="A42" s="971" t="s">
        <v>1766</v>
      </c>
      <c r="B42" s="971" t="s">
        <v>1767</v>
      </c>
      <c r="C42" s="971" t="s">
        <v>1768</v>
      </c>
      <c r="D42" s="971" t="s">
        <v>1769</v>
      </c>
      <c r="E42" s="971" t="s">
        <v>1770</v>
      </c>
      <c r="F42" s="971" t="s">
        <v>1771</v>
      </c>
      <c r="G42" s="971" t="s">
        <v>604</v>
      </c>
      <c r="H42" s="971" t="s">
        <v>1772</v>
      </c>
      <c r="I42" s="971" t="s">
        <v>1773</v>
      </c>
      <c r="J42" s="971" t="s">
        <v>618</v>
      </c>
      <c r="K42" s="959"/>
      <c r="L42" s="959"/>
      <c r="M42" s="959"/>
      <c r="N42" s="959"/>
      <c r="O42" s="959"/>
      <c r="P42" s="959"/>
      <c r="Q42" s="959"/>
      <c r="R42" s="959"/>
      <c r="S42" s="959"/>
      <c r="T42" s="959"/>
      <c r="U42" s="959"/>
      <c r="V42" s="959"/>
      <c r="W42" s="959"/>
      <c r="X42" s="959"/>
      <c r="Y42" s="959"/>
      <c r="Z42" s="959"/>
    </row>
    <row r="43">
      <c r="A43" s="972" t="s">
        <v>1785</v>
      </c>
      <c r="B43" s="972">
        <v>0.8</v>
      </c>
      <c r="C43" s="972" t="s">
        <v>1792</v>
      </c>
      <c r="D43" s="972"/>
      <c r="E43" s="972" t="s">
        <v>1793</v>
      </c>
      <c r="F43" s="972">
        <v>25.0</v>
      </c>
      <c r="G43" s="972" t="s">
        <v>1794</v>
      </c>
      <c r="H43" s="972" t="s">
        <v>1795</v>
      </c>
      <c r="I43" s="972" t="s">
        <v>439</v>
      </c>
      <c r="J43" s="973" t="s">
        <v>1796</v>
      </c>
      <c r="K43" s="958" t="s">
        <v>1797</v>
      </c>
      <c r="L43" s="959"/>
      <c r="M43" s="959"/>
      <c r="N43" s="959"/>
      <c r="O43" s="959"/>
      <c r="P43" s="959"/>
      <c r="Q43" s="959"/>
      <c r="R43" s="959"/>
      <c r="S43" s="959"/>
      <c r="T43" s="959"/>
      <c r="U43" s="959"/>
      <c r="V43" s="959"/>
      <c r="W43" s="959"/>
      <c r="X43" s="959"/>
      <c r="Y43" s="959"/>
      <c r="Z43" s="959"/>
    </row>
    <row r="44">
      <c r="A44" s="958"/>
      <c r="B44" s="959"/>
      <c r="C44" s="959"/>
      <c r="D44" s="959"/>
      <c r="E44" s="959"/>
      <c r="F44" s="959"/>
      <c r="G44" s="959"/>
      <c r="H44" s="959"/>
      <c r="I44" s="959"/>
      <c r="J44" s="959"/>
      <c r="K44" s="959"/>
      <c r="L44" s="959"/>
      <c r="M44" s="959"/>
      <c r="N44" s="959"/>
      <c r="O44" s="959"/>
      <c r="P44" s="959"/>
      <c r="Q44" s="959"/>
      <c r="R44" s="959"/>
      <c r="S44" s="959"/>
      <c r="T44" s="959"/>
      <c r="U44" s="959"/>
      <c r="V44" s="959"/>
      <c r="W44" s="959"/>
      <c r="X44" s="959"/>
      <c r="Y44" s="959"/>
      <c r="Z44" s="959"/>
    </row>
    <row r="45">
      <c r="A45" s="958"/>
      <c r="B45" s="959"/>
      <c r="C45" s="959"/>
      <c r="D45" s="959"/>
      <c r="E45" s="959"/>
      <c r="F45" s="959"/>
      <c r="G45" s="959"/>
      <c r="H45" s="959"/>
      <c r="I45" s="959"/>
      <c r="J45" s="959"/>
      <c r="K45" s="959"/>
      <c r="L45" s="959"/>
      <c r="M45" s="959"/>
      <c r="N45" s="959"/>
      <c r="O45" s="959"/>
      <c r="P45" s="959"/>
      <c r="Q45" s="959"/>
      <c r="R45" s="959"/>
      <c r="S45" s="959"/>
      <c r="T45" s="959"/>
      <c r="U45" s="959"/>
      <c r="V45" s="959"/>
      <c r="W45" s="959"/>
      <c r="X45" s="959"/>
      <c r="Y45" s="959"/>
      <c r="Z45" s="959"/>
    </row>
    <row r="46">
      <c r="A46" s="958"/>
      <c r="B46" s="959"/>
      <c r="C46" s="959"/>
      <c r="D46" s="959"/>
      <c r="E46" s="959"/>
      <c r="F46" s="959"/>
      <c r="G46" s="959"/>
      <c r="H46" s="959"/>
      <c r="I46" s="959"/>
      <c r="J46" s="959"/>
      <c r="K46" s="959"/>
      <c r="L46" s="959"/>
      <c r="M46" s="959"/>
      <c r="N46" s="959"/>
      <c r="O46" s="959"/>
      <c r="P46" s="959"/>
      <c r="Q46" s="959"/>
      <c r="R46" s="959"/>
      <c r="S46" s="959"/>
      <c r="T46" s="959"/>
      <c r="U46" s="959"/>
      <c r="V46" s="959"/>
      <c r="W46" s="959"/>
      <c r="X46" s="959"/>
      <c r="Y46" s="959"/>
      <c r="Z46" s="959"/>
    </row>
    <row r="47">
      <c r="A47" s="958"/>
      <c r="B47" s="959"/>
      <c r="C47" s="959"/>
      <c r="D47" s="959"/>
      <c r="E47" s="959"/>
      <c r="F47" s="959"/>
      <c r="G47" s="959"/>
      <c r="H47" s="959"/>
      <c r="I47" s="959"/>
      <c r="J47" s="959"/>
      <c r="K47" s="959"/>
      <c r="L47" s="959"/>
      <c r="M47" s="959"/>
      <c r="N47" s="959"/>
      <c r="O47" s="959"/>
      <c r="P47" s="959"/>
      <c r="Q47" s="959"/>
      <c r="R47" s="959"/>
      <c r="S47" s="959"/>
      <c r="T47" s="959"/>
      <c r="U47" s="959"/>
      <c r="V47" s="959"/>
      <c r="W47" s="959"/>
      <c r="X47" s="959"/>
      <c r="Y47" s="959"/>
      <c r="Z47" s="959"/>
    </row>
    <row r="48">
      <c r="A48" s="958"/>
      <c r="B48" s="959"/>
      <c r="C48" s="959"/>
      <c r="D48" s="959"/>
      <c r="E48" s="959"/>
      <c r="F48" s="959"/>
      <c r="G48" s="959"/>
      <c r="H48" s="959"/>
      <c r="I48" s="959"/>
      <c r="J48" s="959"/>
      <c r="K48" s="959"/>
      <c r="L48" s="959"/>
      <c r="M48" s="959"/>
      <c r="N48" s="959"/>
      <c r="O48" s="959"/>
      <c r="P48" s="959"/>
      <c r="Q48" s="959"/>
      <c r="R48" s="959"/>
      <c r="S48" s="959"/>
      <c r="T48" s="959"/>
      <c r="U48" s="959"/>
      <c r="V48" s="959"/>
      <c r="W48" s="959"/>
      <c r="X48" s="959"/>
      <c r="Y48" s="959"/>
      <c r="Z48" s="959"/>
    </row>
    <row r="49">
      <c r="A49" s="958"/>
      <c r="B49" s="959"/>
      <c r="C49" s="959"/>
      <c r="D49" s="959"/>
      <c r="E49" s="959"/>
      <c r="F49" s="959"/>
      <c r="G49" s="959"/>
      <c r="H49" s="959"/>
      <c r="I49" s="959"/>
      <c r="J49" s="959"/>
      <c r="K49" s="959"/>
      <c r="L49" s="959"/>
      <c r="M49" s="959"/>
      <c r="N49" s="959"/>
      <c r="O49" s="959"/>
      <c r="P49" s="959"/>
      <c r="Q49" s="959"/>
      <c r="R49" s="959"/>
      <c r="S49" s="959"/>
      <c r="T49" s="959"/>
      <c r="U49" s="959"/>
      <c r="V49" s="959"/>
      <c r="W49" s="959"/>
      <c r="X49" s="959"/>
      <c r="Y49" s="959"/>
      <c r="Z49" s="959"/>
    </row>
    <row r="50">
      <c r="A50" s="959"/>
      <c r="B50" s="959"/>
      <c r="C50" s="959"/>
      <c r="D50" s="959"/>
      <c r="E50" s="959"/>
      <c r="F50" s="959"/>
      <c r="G50" s="959"/>
      <c r="H50" s="959"/>
      <c r="I50" s="959"/>
      <c r="J50" s="959"/>
      <c r="K50" s="959"/>
      <c r="L50" s="959"/>
      <c r="M50" s="959"/>
      <c r="N50" s="959"/>
      <c r="O50" s="959"/>
      <c r="P50" s="959"/>
      <c r="Q50" s="959"/>
      <c r="R50" s="959"/>
      <c r="S50" s="959"/>
      <c r="T50" s="959"/>
      <c r="U50" s="959"/>
      <c r="V50" s="959"/>
      <c r="W50" s="959"/>
      <c r="X50" s="959"/>
      <c r="Y50" s="959"/>
      <c r="Z50" s="959"/>
    </row>
    <row r="51">
      <c r="A51" s="974" t="s">
        <v>1798</v>
      </c>
      <c r="K51" s="959"/>
      <c r="L51" s="959"/>
      <c r="M51" s="959"/>
      <c r="N51" s="959"/>
      <c r="O51" s="959"/>
      <c r="P51" s="959"/>
      <c r="Q51" s="959"/>
      <c r="R51" s="959"/>
      <c r="S51" s="959"/>
      <c r="T51" s="959"/>
      <c r="U51" s="959"/>
      <c r="V51" s="959"/>
      <c r="W51" s="959"/>
      <c r="X51" s="959"/>
      <c r="Y51" s="959"/>
      <c r="Z51" s="959"/>
    </row>
    <row r="52">
      <c r="A52" s="975" t="s">
        <v>1766</v>
      </c>
      <c r="B52" s="975" t="s">
        <v>1767</v>
      </c>
      <c r="C52" s="975" t="s">
        <v>1768</v>
      </c>
      <c r="D52" s="975" t="s">
        <v>1769</v>
      </c>
      <c r="E52" s="975" t="s">
        <v>1770</v>
      </c>
      <c r="F52" s="975" t="s">
        <v>1771</v>
      </c>
      <c r="G52" s="975" t="s">
        <v>604</v>
      </c>
      <c r="H52" s="975" t="s">
        <v>1772</v>
      </c>
      <c r="I52" s="975" t="s">
        <v>1773</v>
      </c>
      <c r="J52" s="975" t="s">
        <v>618</v>
      </c>
      <c r="K52" s="959"/>
      <c r="L52" s="959"/>
      <c r="M52" s="959"/>
      <c r="N52" s="959"/>
      <c r="O52" s="959"/>
      <c r="P52" s="959"/>
      <c r="Q52" s="959"/>
      <c r="R52" s="959"/>
      <c r="S52" s="959"/>
      <c r="T52" s="959"/>
      <c r="U52" s="959"/>
      <c r="V52" s="959"/>
      <c r="W52" s="959"/>
      <c r="X52" s="959"/>
      <c r="Y52" s="959"/>
      <c r="Z52" s="959"/>
    </row>
    <row r="53">
      <c r="A53" s="976" t="s">
        <v>1785</v>
      </c>
      <c r="B53" s="976">
        <v>1.0</v>
      </c>
      <c r="C53" s="976">
        <v>30.0</v>
      </c>
      <c r="D53" s="976">
        <v>12.0</v>
      </c>
      <c r="E53" s="976">
        <v>10.9</v>
      </c>
      <c r="F53" s="976">
        <v>25.0</v>
      </c>
      <c r="G53" s="976" t="s">
        <v>1799</v>
      </c>
      <c r="H53" s="976" t="s">
        <v>1800</v>
      </c>
      <c r="I53" s="976" t="s">
        <v>437</v>
      </c>
      <c r="J53" s="977" t="s">
        <v>1801</v>
      </c>
      <c r="L53" s="959"/>
      <c r="M53" s="959"/>
      <c r="N53" s="959"/>
      <c r="O53" s="959"/>
      <c r="P53" s="959"/>
      <c r="Q53" s="959"/>
      <c r="R53" s="959"/>
      <c r="S53" s="959"/>
      <c r="T53" s="959"/>
      <c r="U53" s="959"/>
      <c r="V53" s="959"/>
      <c r="W53" s="959"/>
      <c r="X53" s="959"/>
      <c r="Y53" s="959"/>
      <c r="Z53" s="959"/>
    </row>
    <row r="54">
      <c r="A54" s="978" t="s">
        <v>1802</v>
      </c>
      <c r="B54" s="978">
        <v>1.0</v>
      </c>
      <c r="C54" s="978" t="s">
        <v>642</v>
      </c>
      <c r="D54" s="978" t="s">
        <v>642</v>
      </c>
      <c r="E54" s="978" t="s">
        <v>1803</v>
      </c>
      <c r="F54" s="978">
        <v>12.0</v>
      </c>
      <c r="G54" s="978" t="s">
        <v>1057</v>
      </c>
      <c r="H54" s="978" t="s">
        <v>1804</v>
      </c>
      <c r="I54" s="978" t="s">
        <v>567</v>
      </c>
      <c r="J54" s="979" t="s">
        <v>1805</v>
      </c>
      <c r="K54" s="980"/>
      <c r="L54" s="980"/>
      <c r="M54" s="980"/>
      <c r="N54" s="980"/>
      <c r="O54" s="980"/>
      <c r="P54" s="980"/>
      <c r="Q54" s="980"/>
      <c r="R54" s="980"/>
      <c r="S54" s="980"/>
      <c r="T54" s="980"/>
      <c r="U54" s="980"/>
      <c r="V54" s="980"/>
      <c r="W54" s="980"/>
      <c r="X54" s="980"/>
      <c r="Y54" s="980"/>
      <c r="Z54" s="980"/>
    </row>
    <row r="55">
      <c r="A55" s="968" t="s">
        <v>1785</v>
      </c>
      <c r="B55" s="968">
        <v>1.0</v>
      </c>
      <c r="C55" s="968">
        <v>18.0</v>
      </c>
      <c r="D55" s="968"/>
      <c r="E55" s="968" t="s">
        <v>1793</v>
      </c>
      <c r="F55" s="968">
        <v>3.0</v>
      </c>
      <c r="G55" s="968" t="s">
        <v>542</v>
      </c>
      <c r="H55" s="968" t="s">
        <v>1806</v>
      </c>
      <c r="I55" s="968" t="s">
        <v>1099</v>
      </c>
      <c r="J55" s="981" t="s">
        <v>1807</v>
      </c>
      <c r="K55" s="958" t="s">
        <v>1808</v>
      </c>
      <c r="L55" s="959"/>
      <c r="M55" s="959"/>
      <c r="N55" s="959"/>
      <c r="O55" s="959"/>
      <c r="P55" s="959"/>
      <c r="Q55" s="959"/>
      <c r="R55" s="959"/>
      <c r="S55" s="959"/>
      <c r="T55" s="959"/>
      <c r="U55" s="959"/>
      <c r="V55" s="959"/>
      <c r="W55" s="959"/>
      <c r="X55" s="959"/>
      <c r="Y55" s="959"/>
      <c r="Z55" s="959"/>
    </row>
    <row r="56">
      <c r="A56" s="968" t="s">
        <v>1785</v>
      </c>
      <c r="B56" s="968">
        <v>1.0</v>
      </c>
      <c r="C56" s="968">
        <v>14.0</v>
      </c>
      <c r="D56" s="982"/>
      <c r="E56" s="968" t="s">
        <v>1793</v>
      </c>
      <c r="F56" s="968">
        <v>3.0</v>
      </c>
      <c r="G56" s="968" t="s">
        <v>542</v>
      </c>
      <c r="H56" s="968" t="s">
        <v>1809</v>
      </c>
      <c r="I56" s="968" t="s">
        <v>1099</v>
      </c>
      <c r="J56" s="969" t="s">
        <v>1810</v>
      </c>
      <c r="K56" s="958" t="s">
        <v>1808</v>
      </c>
      <c r="L56" s="959"/>
      <c r="M56" s="959"/>
      <c r="N56" s="959"/>
      <c r="O56" s="959"/>
      <c r="P56" s="959"/>
      <c r="Q56" s="959"/>
      <c r="R56" s="959"/>
      <c r="S56" s="959"/>
      <c r="T56" s="959"/>
      <c r="U56" s="959"/>
      <c r="V56" s="959"/>
      <c r="W56" s="959"/>
      <c r="X56" s="959"/>
      <c r="Y56" s="959"/>
      <c r="Z56" s="959"/>
    </row>
    <row r="57">
      <c r="A57" s="976" t="s">
        <v>1782</v>
      </c>
      <c r="B57" s="976">
        <v>1.0</v>
      </c>
      <c r="C57" s="976" t="s">
        <v>1811</v>
      </c>
      <c r="D57" s="983"/>
      <c r="E57" s="976" t="s">
        <v>1812</v>
      </c>
      <c r="F57" s="976">
        <v>8.0</v>
      </c>
      <c r="G57" s="976" t="s">
        <v>542</v>
      </c>
      <c r="H57" s="976" t="s">
        <v>1813</v>
      </c>
      <c r="I57" s="976" t="s">
        <v>1814</v>
      </c>
      <c r="J57" s="977" t="s">
        <v>1815</v>
      </c>
      <c r="K57" s="959"/>
      <c r="L57" s="959"/>
      <c r="M57" s="959"/>
      <c r="N57" s="959"/>
      <c r="O57" s="959"/>
      <c r="P57" s="959"/>
      <c r="Q57" s="959"/>
      <c r="R57" s="959"/>
      <c r="S57" s="959"/>
      <c r="T57" s="959"/>
      <c r="U57" s="959"/>
      <c r="V57" s="959"/>
      <c r="W57" s="959"/>
      <c r="X57" s="959"/>
      <c r="Y57" s="959"/>
      <c r="Z57" s="959"/>
    </row>
    <row r="58">
      <c r="A58" s="976" t="s">
        <v>1816</v>
      </c>
      <c r="B58" s="976" t="s">
        <v>642</v>
      </c>
      <c r="C58" s="976" t="s">
        <v>642</v>
      </c>
      <c r="D58" s="983"/>
      <c r="E58" s="976" t="s">
        <v>1817</v>
      </c>
      <c r="F58" s="976">
        <v>24.0</v>
      </c>
      <c r="G58" s="976" t="s">
        <v>542</v>
      </c>
      <c r="H58" s="976" t="s">
        <v>1818</v>
      </c>
      <c r="I58" s="976" t="s">
        <v>1099</v>
      </c>
      <c r="J58" s="977" t="s">
        <v>1819</v>
      </c>
      <c r="K58" s="959"/>
      <c r="L58" s="959"/>
      <c r="M58" s="959"/>
      <c r="N58" s="959"/>
      <c r="O58" s="959"/>
      <c r="P58" s="959"/>
      <c r="Q58" s="959"/>
      <c r="R58" s="959"/>
      <c r="S58" s="959"/>
      <c r="T58" s="959"/>
      <c r="U58" s="959"/>
      <c r="V58" s="959"/>
      <c r="W58" s="959"/>
      <c r="X58" s="959"/>
      <c r="Y58" s="959"/>
      <c r="Z58" s="959"/>
    </row>
    <row r="59">
      <c r="A59" s="968" t="s">
        <v>1785</v>
      </c>
      <c r="B59" s="968">
        <v>1.0</v>
      </c>
      <c r="C59" s="968">
        <v>25.0</v>
      </c>
      <c r="D59" s="982"/>
      <c r="E59" s="968" t="s">
        <v>1793</v>
      </c>
      <c r="F59" s="968">
        <v>3.0</v>
      </c>
      <c r="G59" s="968" t="s">
        <v>542</v>
      </c>
      <c r="H59" s="968" t="s">
        <v>1820</v>
      </c>
      <c r="I59" s="968" t="s">
        <v>1814</v>
      </c>
      <c r="J59" s="969" t="s">
        <v>1821</v>
      </c>
      <c r="K59" s="958" t="s">
        <v>1808</v>
      </c>
      <c r="L59" s="959"/>
      <c r="M59" s="959"/>
      <c r="N59" s="959"/>
      <c r="O59" s="959"/>
      <c r="P59" s="959"/>
      <c r="Q59" s="959"/>
      <c r="R59" s="959"/>
      <c r="S59" s="959"/>
      <c r="T59" s="959"/>
      <c r="U59" s="959"/>
      <c r="V59" s="959"/>
      <c r="W59" s="959"/>
      <c r="X59" s="959"/>
      <c r="Y59" s="959"/>
      <c r="Z59" s="959"/>
    </row>
    <row r="60">
      <c r="A60" s="976" t="s">
        <v>1785</v>
      </c>
      <c r="B60" s="976">
        <v>1.0</v>
      </c>
      <c r="C60" s="976">
        <v>35.0</v>
      </c>
      <c r="D60" s="983"/>
      <c r="E60" s="976" t="s">
        <v>1793</v>
      </c>
      <c r="F60" s="976">
        <v>3.0</v>
      </c>
      <c r="G60" s="976" t="s">
        <v>542</v>
      </c>
      <c r="H60" s="976" t="s">
        <v>1822</v>
      </c>
      <c r="I60" s="976" t="s">
        <v>1814</v>
      </c>
      <c r="J60" s="977" t="s">
        <v>1823</v>
      </c>
      <c r="K60" s="958"/>
      <c r="L60" s="959"/>
      <c r="M60" s="959"/>
      <c r="N60" s="959"/>
      <c r="O60" s="959"/>
      <c r="P60" s="959"/>
      <c r="Q60" s="959"/>
      <c r="R60" s="959"/>
      <c r="S60" s="959"/>
      <c r="T60" s="959"/>
      <c r="U60" s="959"/>
      <c r="V60" s="959"/>
      <c r="W60" s="959"/>
      <c r="X60" s="959"/>
      <c r="Y60" s="959"/>
      <c r="Z60" s="959"/>
    </row>
    <row r="61">
      <c r="A61" s="968" t="s">
        <v>1824</v>
      </c>
      <c r="B61" s="984">
        <v>1.0</v>
      </c>
      <c r="C61" s="984">
        <v>12.0</v>
      </c>
      <c r="D61" s="985"/>
      <c r="E61" s="984" t="s">
        <v>1793</v>
      </c>
      <c r="F61" s="984">
        <v>2.0</v>
      </c>
      <c r="G61" s="968" t="s">
        <v>542</v>
      </c>
      <c r="H61" s="984" t="s">
        <v>1825</v>
      </c>
      <c r="I61" s="984" t="s">
        <v>1099</v>
      </c>
      <c r="J61" s="986" t="s">
        <v>1826</v>
      </c>
      <c r="K61" s="958" t="s">
        <v>1808</v>
      </c>
      <c r="L61" s="959"/>
      <c r="M61" s="959"/>
      <c r="N61" s="959"/>
      <c r="O61" s="959"/>
      <c r="P61" s="959"/>
      <c r="Q61" s="959"/>
      <c r="R61" s="959"/>
      <c r="S61" s="959"/>
      <c r="T61" s="959"/>
      <c r="U61" s="959"/>
      <c r="V61" s="959"/>
      <c r="W61" s="959"/>
      <c r="X61" s="959"/>
      <c r="Y61" s="959"/>
      <c r="Z61" s="959"/>
    </row>
    <row r="62">
      <c r="A62" s="968" t="s">
        <v>1782</v>
      </c>
      <c r="B62" s="984">
        <v>1.0</v>
      </c>
      <c r="C62" s="984" t="s">
        <v>1811</v>
      </c>
      <c r="D62" s="985"/>
      <c r="E62" s="984" t="s">
        <v>1827</v>
      </c>
      <c r="F62" s="984">
        <v>6.0</v>
      </c>
      <c r="G62" s="968" t="s">
        <v>542</v>
      </c>
      <c r="H62" s="984" t="s">
        <v>1828</v>
      </c>
      <c r="I62" s="984" t="s">
        <v>1814</v>
      </c>
      <c r="J62" s="986" t="s">
        <v>1829</v>
      </c>
      <c r="K62" s="958" t="s">
        <v>1830</v>
      </c>
      <c r="L62" s="959"/>
      <c r="M62" s="959"/>
      <c r="N62" s="959"/>
      <c r="O62" s="959"/>
      <c r="P62" s="959"/>
      <c r="Q62" s="959"/>
      <c r="R62" s="959"/>
      <c r="S62" s="959"/>
      <c r="T62" s="959"/>
      <c r="U62" s="959"/>
      <c r="V62" s="959"/>
      <c r="W62" s="959"/>
      <c r="X62" s="959"/>
      <c r="Y62" s="959"/>
      <c r="Z62" s="959"/>
    </row>
    <row r="63">
      <c r="A63" s="968" t="s">
        <v>1782</v>
      </c>
      <c r="B63" s="984">
        <v>1.0</v>
      </c>
      <c r="C63" s="984">
        <v>10.0</v>
      </c>
      <c r="D63" s="985"/>
      <c r="E63" s="984" t="s">
        <v>1831</v>
      </c>
      <c r="F63" s="984">
        <v>8.0</v>
      </c>
      <c r="G63" s="984" t="s">
        <v>1832</v>
      </c>
      <c r="H63" s="984" t="s">
        <v>1833</v>
      </c>
      <c r="I63" s="984" t="s">
        <v>416</v>
      </c>
      <c r="J63" s="986" t="s">
        <v>1834</v>
      </c>
      <c r="K63" s="958" t="s">
        <v>1830</v>
      </c>
      <c r="L63" s="959"/>
      <c r="M63" s="959"/>
      <c r="N63" s="959"/>
      <c r="O63" s="959"/>
      <c r="P63" s="959"/>
      <c r="Q63" s="959"/>
      <c r="R63" s="959"/>
      <c r="S63" s="959"/>
      <c r="T63" s="959"/>
      <c r="U63" s="959"/>
      <c r="V63" s="959"/>
      <c r="W63" s="959"/>
      <c r="X63" s="959"/>
      <c r="Y63" s="959"/>
      <c r="Z63" s="959"/>
    </row>
    <row r="64">
      <c r="A64" s="976" t="s">
        <v>1778</v>
      </c>
      <c r="B64" s="987">
        <v>1.0</v>
      </c>
      <c r="C64" s="987">
        <v>14.0</v>
      </c>
      <c r="D64" s="988"/>
      <c r="E64" s="987" t="s">
        <v>1835</v>
      </c>
      <c r="F64" s="987">
        <v>24.0</v>
      </c>
      <c r="G64" s="987" t="s">
        <v>542</v>
      </c>
      <c r="H64" s="987" t="s">
        <v>1836</v>
      </c>
      <c r="I64" s="987" t="s">
        <v>1099</v>
      </c>
      <c r="J64" s="989" t="s">
        <v>1837</v>
      </c>
      <c r="K64" s="959"/>
      <c r="L64" s="959"/>
      <c r="M64" s="959"/>
      <c r="N64" s="959"/>
      <c r="O64" s="959"/>
      <c r="P64" s="959"/>
      <c r="Q64" s="959"/>
      <c r="R64" s="959"/>
      <c r="S64" s="959"/>
      <c r="T64" s="959"/>
      <c r="U64" s="959"/>
      <c r="V64" s="959"/>
      <c r="W64" s="959"/>
      <c r="X64" s="959"/>
      <c r="Y64" s="959"/>
      <c r="Z64" s="959"/>
    </row>
    <row r="65">
      <c r="A65" s="990" t="s">
        <v>1838</v>
      </c>
      <c r="B65" s="991">
        <v>1.0</v>
      </c>
      <c r="C65" s="990">
        <v>20.0</v>
      </c>
      <c r="D65" s="990" t="s">
        <v>642</v>
      </c>
      <c r="E65" s="990" t="s">
        <v>1817</v>
      </c>
      <c r="F65" s="992">
        <v>40.0</v>
      </c>
      <c r="G65" s="991" t="s">
        <v>420</v>
      </c>
      <c r="H65" s="991" t="s">
        <v>1839</v>
      </c>
      <c r="I65" s="991" t="s">
        <v>382</v>
      </c>
      <c r="J65" s="993" t="s">
        <v>1840</v>
      </c>
      <c r="K65" s="994" t="s">
        <v>1841</v>
      </c>
      <c r="L65" s="28"/>
      <c r="M65" s="28"/>
      <c r="N65" s="28"/>
      <c r="O65" s="28"/>
      <c r="P65" s="28"/>
      <c r="Q65" s="28"/>
      <c r="R65" s="28"/>
      <c r="S65" s="28"/>
      <c r="T65" s="28"/>
      <c r="U65" s="28"/>
      <c r="V65" s="28"/>
      <c r="W65" s="28"/>
      <c r="X65" s="28"/>
      <c r="Y65" s="28"/>
      <c r="Z65" s="28"/>
    </row>
    <row r="66">
      <c r="A66" s="990" t="s">
        <v>1842</v>
      </c>
      <c r="B66" s="991">
        <v>1.0</v>
      </c>
      <c r="C66" s="990" t="s">
        <v>1843</v>
      </c>
      <c r="D66" s="991"/>
      <c r="E66" s="990" t="s">
        <v>1844</v>
      </c>
      <c r="F66" s="991">
        <v>10.0</v>
      </c>
      <c r="G66" s="991" t="s">
        <v>420</v>
      </c>
      <c r="H66" s="991" t="s">
        <v>1845</v>
      </c>
      <c r="I66" s="991" t="s">
        <v>382</v>
      </c>
      <c r="J66" s="995" t="s">
        <v>1846</v>
      </c>
      <c r="K66" s="28"/>
      <c r="L66" s="28"/>
      <c r="M66" s="28"/>
      <c r="N66" s="28"/>
      <c r="O66" s="28"/>
      <c r="P66" s="28"/>
      <c r="Q66" s="28"/>
      <c r="R66" s="28"/>
      <c r="S66" s="28"/>
      <c r="T66" s="28"/>
      <c r="U66" s="28"/>
      <c r="V66" s="28"/>
      <c r="W66" s="28"/>
      <c r="X66" s="28"/>
      <c r="Y66" s="28"/>
      <c r="Z66" s="28"/>
    </row>
    <row r="67">
      <c r="A67" s="976" t="s">
        <v>1842</v>
      </c>
      <c r="B67" s="987">
        <v>1.0</v>
      </c>
      <c r="C67" s="988"/>
      <c r="D67" s="988"/>
      <c r="E67" s="987" t="s">
        <v>1847</v>
      </c>
      <c r="F67" s="987">
        <v>25.0</v>
      </c>
      <c r="G67" s="987" t="s">
        <v>1832</v>
      </c>
      <c r="H67" s="987" t="s">
        <v>1848</v>
      </c>
      <c r="I67" s="987" t="s">
        <v>416</v>
      </c>
      <c r="J67" s="989" t="s">
        <v>1849</v>
      </c>
      <c r="K67" s="959"/>
      <c r="L67" s="959"/>
      <c r="M67" s="959"/>
      <c r="N67" s="959"/>
      <c r="O67" s="959"/>
      <c r="P67" s="959"/>
      <c r="Q67" s="959"/>
      <c r="R67" s="959"/>
      <c r="S67" s="959"/>
      <c r="T67" s="959"/>
      <c r="U67" s="959"/>
      <c r="V67" s="959"/>
      <c r="W67" s="959"/>
      <c r="X67" s="959"/>
      <c r="Y67" s="959"/>
      <c r="Z67" s="959"/>
    </row>
    <row r="68">
      <c r="A68" s="959"/>
      <c r="B68" s="959"/>
      <c r="C68" s="959"/>
      <c r="D68" s="959"/>
      <c r="E68" s="959"/>
      <c r="F68" s="959"/>
      <c r="G68" s="959"/>
      <c r="H68" s="959"/>
      <c r="I68" s="959"/>
      <c r="J68" s="959"/>
      <c r="K68" s="959"/>
      <c r="L68" s="959"/>
      <c r="M68" s="959"/>
      <c r="N68" s="959"/>
      <c r="O68" s="959"/>
      <c r="P68" s="959"/>
      <c r="Q68" s="959"/>
      <c r="R68" s="959"/>
      <c r="S68" s="959"/>
      <c r="T68" s="959"/>
      <c r="U68" s="959"/>
      <c r="V68" s="959"/>
      <c r="W68" s="959"/>
      <c r="X68" s="959"/>
      <c r="Y68" s="959"/>
      <c r="Z68" s="959"/>
    </row>
    <row r="69">
      <c r="A69" s="996" t="s">
        <v>1850</v>
      </c>
      <c r="K69" s="959"/>
      <c r="L69" s="959"/>
      <c r="M69" s="959"/>
      <c r="N69" s="959"/>
      <c r="O69" s="959"/>
      <c r="P69" s="959"/>
      <c r="Q69" s="959"/>
      <c r="R69" s="959"/>
      <c r="S69" s="959"/>
      <c r="T69" s="959"/>
      <c r="U69" s="959"/>
      <c r="V69" s="959"/>
      <c r="W69" s="959"/>
      <c r="X69" s="959"/>
      <c r="Y69" s="959"/>
      <c r="Z69" s="959"/>
    </row>
    <row r="70">
      <c r="A70" s="997" t="s">
        <v>1766</v>
      </c>
      <c r="B70" s="997" t="s">
        <v>1767</v>
      </c>
      <c r="C70" s="997" t="s">
        <v>1768</v>
      </c>
      <c r="D70" s="997" t="s">
        <v>1769</v>
      </c>
      <c r="E70" s="997" t="s">
        <v>1770</v>
      </c>
      <c r="F70" s="997" t="s">
        <v>1771</v>
      </c>
      <c r="G70" s="997" t="s">
        <v>604</v>
      </c>
      <c r="H70" s="997" t="s">
        <v>1772</v>
      </c>
      <c r="I70" s="997" t="s">
        <v>1773</v>
      </c>
      <c r="J70" s="997" t="s">
        <v>618</v>
      </c>
      <c r="K70" s="959"/>
      <c r="L70" s="959"/>
      <c r="M70" s="959"/>
      <c r="N70" s="959"/>
      <c r="O70" s="959"/>
      <c r="P70" s="959"/>
      <c r="Q70" s="959"/>
      <c r="R70" s="959"/>
      <c r="S70" s="959"/>
      <c r="T70" s="959"/>
      <c r="U70" s="959"/>
      <c r="V70" s="959"/>
      <c r="W70" s="959"/>
      <c r="X70" s="959"/>
      <c r="Y70" s="959"/>
      <c r="Z70" s="959"/>
    </row>
    <row r="71">
      <c r="A71" s="958"/>
      <c r="B71" s="958"/>
      <c r="C71" s="958"/>
      <c r="D71" s="958"/>
      <c r="E71" s="958"/>
      <c r="F71" s="958"/>
      <c r="G71" s="958"/>
      <c r="H71" s="958"/>
      <c r="I71" s="958"/>
      <c r="J71" s="958"/>
      <c r="K71" s="959"/>
      <c r="L71" s="959"/>
      <c r="M71" s="959"/>
      <c r="N71" s="959"/>
      <c r="O71" s="959"/>
      <c r="P71" s="959"/>
      <c r="Q71" s="959"/>
      <c r="R71" s="959"/>
      <c r="S71" s="959"/>
      <c r="T71" s="959"/>
      <c r="U71" s="959"/>
      <c r="V71" s="959"/>
      <c r="W71" s="959"/>
      <c r="X71" s="959"/>
      <c r="Y71" s="959"/>
      <c r="Z71" s="959"/>
    </row>
    <row r="72">
      <c r="A72" s="958"/>
      <c r="B72" s="959"/>
      <c r="C72" s="959"/>
      <c r="D72" s="959"/>
      <c r="E72" s="959"/>
      <c r="F72" s="959"/>
      <c r="G72" s="959"/>
      <c r="H72" s="959"/>
      <c r="I72" s="959"/>
      <c r="J72" s="959"/>
      <c r="K72" s="959"/>
      <c r="L72" s="959"/>
      <c r="M72" s="959"/>
      <c r="N72" s="959"/>
      <c r="O72" s="959"/>
      <c r="P72" s="959"/>
      <c r="Q72" s="959"/>
      <c r="R72" s="959"/>
      <c r="S72" s="959"/>
      <c r="T72" s="959"/>
      <c r="U72" s="959"/>
      <c r="V72" s="959"/>
      <c r="W72" s="959"/>
      <c r="X72" s="959"/>
      <c r="Y72" s="959"/>
      <c r="Z72" s="959"/>
    </row>
    <row r="73">
      <c r="A73" s="958"/>
      <c r="B73" s="959"/>
      <c r="C73" s="959"/>
      <c r="D73" s="959"/>
      <c r="E73" s="959"/>
      <c r="F73" s="959"/>
      <c r="G73" s="959"/>
      <c r="H73" s="959"/>
      <c r="I73" s="959"/>
      <c r="J73" s="959"/>
      <c r="K73" s="959"/>
      <c r="L73" s="959"/>
      <c r="M73" s="959"/>
      <c r="N73" s="959"/>
      <c r="O73" s="959"/>
      <c r="P73" s="959"/>
      <c r="Q73" s="959"/>
      <c r="R73" s="959"/>
      <c r="S73" s="959"/>
      <c r="T73" s="959"/>
      <c r="U73" s="959"/>
      <c r="V73" s="959"/>
      <c r="W73" s="959"/>
      <c r="X73" s="959"/>
      <c r="Y73" s="959"/>
      <c r="Z73" s="959"/>
    </row>
    <row r="74">
      <c r="A74" s="958"/>
      <c r="B74" s="959"/>
      <c r="C74" s="959"/>
      <c r="D74" s="959"/>
      <c r="E74" s="959"/>
      <c r="F74" s="959"/>
      <c r="G74" s="959"/>
      <c r="H74" s="959"/>
      <c r="I74" s="959"/>
      <c r="J74" s="959"/>
      <c r="K74" s="959"/>
      <c r="L74" s="959"/>
      <c r="M74" s="959"/>
      <c r="N74" s="959"/>
      <c r="O74" s="959"/>
      <c r="P74" s="959"/>
      <c r="Q74" s="959"/>
      <c r="R74" s="959"/>
      <c r="S74" s="959"/>
      <c r="T74" s="959"/>
      <c r="U74" s="959"/>
      <c r="V74" s="959"/>
      <c r="W74" s="959"/>
      <c r="X74" s="959"/>
      <c r="Y74" s="959"/>
      <c r="Z74" s="959"/>
    </row>
    <row r="75">
      <c r="A75" s="958"/>
      <c r="B75" s="959"/>
      <c r="C75" s="959"/>
      <c r="D75" s="959"/>
      <c r="E75" s="959"/>
      <c r="F75" s="959"/>
      <c r="G75" s="959"/>
      <c r="H75" s="959"/>
      <c r="I75" s="959"/>
      <c r="J75" s="959"/>
      <c r="K75" s="959"/>
      <c r="L75" s="959"/>
      <c r="M75" s="959"/>
      <c r="N75" s="959"/>
      <c r="O75" s="959"/>
      <c r="P75" s="959"/>
      <c r="Q75" s="959"/>
      <c r="R75" s="959"/>
      <c r="S75" s="959"/>
      <c r="T75" s="959"/>
      <c r="U75" s="959"/>
      <c r="V75" s="959"/>
      <c r="W75" s="959"/>
      <c r="X75" s="959"/>
      <c r="Y75" s="959"/>
      <c r="Z75" s="959"/>
    </row>
    <row r="76">
      <c r="A76" s="958"/>
      <c r="B76" s="959"/>
      <c r="C76" s="959"/>
      <c r="D76" s="959"/>
      <c r="E76" s="959"/>
      <c r="F76" s="959"/>
      <c r="G76" s="959"/>
      <c r="H76" s="959"/>
      <c r="I76" s="959"/>
      <c r="J76" s="959"/>
      <c r="K76" s="959"/>
      <c r="L76" s="959"/>
      <c r="M76" s="959"/>
      <c r="N76" s="959"/>
      <c r="O76" s="959"/>
      <c r="P76" s="959"/>
      <c r="Q76" s="959"/>
      <c r="R76" s="959"/>
      <c r="S76" s="959"/>
      <c r="T76" s="959"/>
      <c r="U76" s="959"/>
      <c r="V76" s="959"/>
      <c r="W76" s="959"/>
      <c r="X76" s="959"/>
      <c r="Y76" s="959"/>
      <c r="Z76" s="959"/>
    </row>
    <row r="77">
      <c r="A77" s="958"/>
      <c r="B77" s="959"/>
      <c r="C77" s="959"/>
      <c r="D77" s="959"/>
      <c r="E77" s="959"/>
      <c r="F77" s="959"/>
      <c r="G77" s="959"/>
      <c r="H77" s="959"/>
      <c r="I77" s="959"/>
      <c r="J77" s="959"/>
      <c r="K77" s="959"/>
      <c r="L77" s="959"/>
      <c r="M77" s="959"/>
      <c r="N77" s="959"/>
      <c r="O77" s="959"/>
      <c r="P77" s="959"/>
      <c r="Q77" s="959"/>
      <c r="R77" s="959"/>
      <c r="S77" s="959"/>
      <c r="T77" s="959"/>
      <c r="U77" s="959"/>
      <c r="V77" s="959"/>
      <c r="W77" s="959"/>
      <c r="X77" s="959"/>
      <c r="Y77" s="959"/>
      <c r="Z77" s="959"/>
    </row>
    <row r="78">
      <c r="A78" s="959"/>
      <c r="B78" s="959"/>
      <c r="C78" s="959"/>
      <c r="D78" s="959"/>
      <c r="E78" s="959"/>
      <c r="F78" s="959"/>
      <c r="G78" s="959"/>
      <c r="H78" s="959"/>
      <c r="I78" s="959"/>
      <c r="J78" s="959"/>
      <c r="K78" s="959"/>
      <c r="L78" s="959"/>
      <c r="M78" s="959"/>
      <c r="N78" s="959"/>
      <c r="O78" s="959"/>
      <c r="P78" s="959"/>
      <c r="Q78" s="959"/>
      <c r="R78" s="959"/>
      <c r="S78" s="959"/>
      <c r="T78" s="959"/>
      <c r="U78" s="959"/>
      <c r="V78" s="959"/>
      <c r="W78" s="959"/>
      <c r="X78" s="959"/>
      <c r="Y78" s="959"/>
      <c r="Z78" s="959"/>
    </row>
    <row r="79">
      <c r="A79" s="998" t="s">
        <v>1851</v>
      </c>
      <c r="K79" s="959"/>
      <c r="L79" s="959"/>
      <c r="M79" s="959"/>
      <c r="N79" s="959"/>
      <c r="O79" s="959"/>
      <c r="P79" s="959"/>
      <c r="Q79" s="959"/>
      <c r="R79" s="959"/>
      <c r="S79" s="959"/>
      <c r="T79" s="959"/>
      <c r="U79" s="959"/>
      <c r="V79" s="959"/>
      <c r="W79" s="959"/>
      <c r="X79" s="959"/>
      <c r="Y79" s="959"/>
      <c r="Z79" s="959"/>
    </row>
    <row r="80">
      <c r="A80" s="999" t="s">
        <v>1766</v>
      </c>
      <c r="B80" s="999" t="s">
        <v>1767</v>
      </c>
      <c r="C80" s="999" t="s">
        <v>1768</v>
      </c>
      <c r="D80" s="999" t="s">
        <v>1769</v>
      </c>
      <c r="E80" s="999" t="s">
        <v>1770</v>
      </c>
      <c r="F80" s="999" t="s">
        <v>1771</v>
      </c>
      <c r="G80" s="999" t="s">
        <v>604</v>
      </c>
      <c r="H80" s="999" t="s">
        <v>1772</v>
      </c>
      <c r="I80" s="999" t="s">
        <v>1773</v>
      </c>
      <c r="J80" s="999" t="s">
        <v>618</v>
      </c>
      <c r="K80" s="959"/>
      <c r="L80" s="959"/>
      <c r="M80" s="959"/>
      <c r="N80" s="959"/>
      <c r="O80" s="959"/>
      <c r="P80" s="959"/>
      <c r="Q80" s="959"/>
      <c r="R80" s="959"/>
      <c r="S80" s="959"/>
      <c r="T80" s="959"/>
      <c r="U80" s="959"/>
      <c r="V80" s="959"/>
      <c r="W80" s="959"/>
      <c r="X80" s="959"/>
      <c r="Y80" s="959"/>
      <c r="Z80" s="959"/>
    </row>
    <row r="81">
      <c r="A81" s="976" t="s">
        <v>1785</v>
      </c>
      <c r="B81" s="976">
        <v>1.25</v>
      </c>
      <c r="C81" s="976">
        <v>50.0</v>
      </c>
      <c r="D81" s="976">
        <v>28.0</v>
      </c>
      <c r="E81" s="976">
        <v>10.9</v>
      </c>
      <c r="F81" s="976">
        <v>25.0</v>
      </c>
      <c r="G81" s="976" t="s">
        <v>1852</v>
      </c>
      <c r="H81" s="976" t="s">
        <v>1692</v>
      </c>
      <c r="I81" s="976" t="s">
        <v>1242</v>
      </c>
      <c r="J81" s="977" t="s">
        <v>1275</v>
      </c>
      <c r="K81" s="959"/>
      <c r="L81" s="959"/>
      <c r="M81" s="959"/>
      <c r="N81" s="959"/>
      <c r="O81" s="959"/>
      <c r="P81" s="959"/>
      <c r="Q81" s="959"/>
      <c r="R81" s="959"/>
      <c r="S81" s="959"/>
      <c r="T81" s="959"/>
      <c r="U81" s="959"/>
      <c r="V81" s="959"/>
      <c r="W81" s="959"/>
      <c r="X81" s="959"/>
      <c r="Y81" s="959"/>
      <c r="Z81" s="959"/>
    </row>
    <row r="82">
      <c r="A82" s="976" t="s">
        <v>1785</v>
      </c>
      <c r="B82" s="976">
        <v>1.25</v>
      </c>
      <c r="C82" s="976">
        <v>30.0</v>
      </c>
      <c r="D82" s="976" t="s">
        <v>1843</v>
      </c>
      <c r="E82" s="976">
        <v>10.9</v>
      </c>
      <c r="F82" s="976">
        <v>25.0</v>
      </c>
      <c r="G82" s="976" t="s">
        <v>1646</v>
      </c>
      <c r="H82" s="976" t="s">
        <v>1692</v>
      </c>
      <c r="I82" s="976" t="s">
        <v>1242</v>
      </c>
      <c r="J82" s="1000" t="s">
        <v>1853</v>
      </c>
      <c r="K82" s="959"/>
      <c r="L82" s="959"/>
      <c r="M82" s="959"/>
      <c r="N82" s="959"/>
      <c r="O82" s="959"/>
      <c r="P82" s="959"/>
      <c r="Q82" s="959"/>
      <c r="R82" s="959"/>
      <c r="S82" s="959"/>
      <c r="T82" s="959"/>
      <c r="U82" s="959"/>
      <c r="V82" s="959"/>
      <c r="W82" s="959"/>
      <c r="X82" s="959"/>
      <c r="Y82" s="959"/>
      <c r="Z82" s="959"/>
    </row>
    <row r="83">
      <c r="A83" s="976" t="s">
        <v>1785</v>
      </c>
      <c r="B83" s="976">
        <v>1.25</v>
      </c>
      <c r="C83" s="976">
        <v>11.0</v>
      </c>
      <c r="D83" s="976">
        <v>25.0</v>
      </c>
      <c r="E83" s="976" t="s">
        <v>1854</v>
      </c>
      <c r="F83" s="976">
        <v>3.0</v>
      </c>
      <c r="G83" s="976" t="s">
        <v>542</v>
      </c>
      <c r="H83" s="976" t="s">
        <v>1855</v>
      </c>
      <c r="I83" s="976" t="s">
        <v>1814</v>
      </c>
      <c r="J83" s="977" t="s">
        <v>1856</v>
      </c>
      <c r="K83" s="959"/>
      <c r="L83" s="958"/>
      <c r="M83" s="959"/>
      <c r="N83" s="959"/>
      <c r="O83" s="959"/>
      <c r="P83" s="959"/>
      <c r="Q83" s="959"/>
      <c r="R83" s="959"/>
      <c r="S83" s="959"/>
      <c r="T83" s="959"/>
      <c r="U83" s="959"/>
      <c r="V83" s="959"/>
      <c r="W83" s="959"/>
      <c r="X83" s="959"/>
      <c r="Y83" s="959"/>
      <c r="Z83" s="959"/>
    </row>
    <row r="84">
      <c r="A84" s="976" t="s">
        <v>1816</v>
      </c>
      <c r="B84" s="976" t="s">
        <v>1843</v>
      </c>
      <c r="C84" s="976" t="s">
        <v>1843</v>
      </c>
      <c r="D84" s="976" t="s">
        <v>1843</v>
      </c>
      <c r="E84" s="976" t="s">
        <v>1857</v>
      </c>
      <c r="F84" s="976">
        <v>15.0</v>
      </c>
      <c r="G84" s="976" t="s">
        <v>542</v>
      </c>
      <c r="H84" s="976" t="s">
        <v>1858</v>
      </c>
      <c r="I84" s="976" t="s">
        <v>1814</v>
      </c>
      <c r="J84" s="977" t="s">
        <v>1859</v>
      </c>
      <c r="K84" s="959"/>
      <c r="L84" s="959"/>
      <c r="M84" s="959"/>
      <c r="N84" s="959"/>
      <c r="O84" s="959"/>
      <c r="P84" s="959"/>
      <c r="Q84" s="959"/>
      <c r="R84" s="959"/>
      <c r="S84" s="959"/>
      <c r="T84" s="959"/>
      <c r="U84" s="959"/>
      <c r="V84" s="959"/>
      <c r="W84" s="959"/>
      <c r="X84" s="959"/>
      <c r="Y84" s="959"/>
      <c r="Z84" s="959"/>
    </row>
    <row r="85">
      <c r="A85" s="976" t="s">
        <v>1782</v>
      </c>
      <c r="B85" s="976">
        <v>1.25</v>
      </c>
      <c r="C85" s="976" t="s">
        <v>1843</v>
      </c>
      <c r="D85" s="976" t="s">
        <v>1843</v>
      </c>
      <c r="E85" s="976" t="s">
        <v>1860</v>
      </c>
      <c r="F85" s="976">
        <v>6.0</v>
      </c>
      <c r="G85" s="976" t="s">
        <v>542</v>
      </c>
      <c r="H85" s="976" t="s">
        <v>1861</v>
      </c>
      <c r="I85" s="976" t="s">
        <v>1814</v>
      </c>
      <c r="J85" s="977" t="s">
        <v>1862</v>
      </c>
      <c r="K85" s="959"/>
      <c r="L85" s="959"/>
      <c r="M85" s="959"/>
      <c r="N85" s="959"/>
      <c r="O85" s="959"/>
      <c r="P85" s="959"/>
      <c r="Q85" s="959"/>
      <c r="R85" s="959"/>
      <c r="S85" s="959"/>
      <c r="T85" s="959"/>
      <c r="U85" s="959"/>
      <c r="V85" s="959"/>
      <c r="W85" s="959"/>
      <c r="X85" s="959"/>
      <c r="Y85" s="959"/>
      <c r="Z85" s="959"/>
    </row>
    <row r="86">
      <c r="A86" s="976" t="s">
        <v>1785</v>
      </c>
      <c r="B86" s="976">
        <v>1.25</v>
      </c>
      <c r="C86" s="976">
        <v>11.0</v>
      </c>
      <c r="D86" s="976">
        <v>30.0</v>
      </c>
      <c r="E86" s="976" t="s">
        <v>1854</v>
      </c>
      <c r="F86" s="976">
        <v>3.0</v>
      </c>
      <c r="G86" s="976" t="s">
        <v>542</v>
      </c>
      <c r="H86" s="976" t="s">
        <v>1863</v>
      </c>
      <c r="I86" s="976" t="s">
        <v>1814</v>
      </c>
      <c r="J86" s="977" t="s">
        <v>1864</v>
      </c>
      <c r="K86" s="959"/>
      <c r="L86" s="959"/>
      <c r="M86" s="959"/>
      <c r="N86" s="959"/>
      <c r="O86" s="959"/>
      <c r="P86" s="959"/>
      <c r="Q86" s="959"/>
      <c r="R86" s="959"/>
      <c r="S86" s="959"/>
      <c r="T86" s="959"/>
      <c r="U86" s="959"/>
      <c r="V86" s="959"/>
      <c r="W86" s="959"/>
      <c r="X86" s="959"/>
      <c r="Y86" s="959"/>
      <c r="Z86" s="959"/>
    </row>
    <row r="87">
      <c r="A87" s="958" t="s">
        <v>1778</v>
      </c>
      <c r="B87" s="958">
        <v>1.0</v>
      </c>
      <c r="C87" s="958">
        <v>8.0</v>
      </c>
      <c r="D87" s="958" t="s">
        <v>1843</v>
      </c>
      <c r="E87" s="958">
        <v>10.9</v>
      </c>
      <c r="F87" s="958">
        <v>3.0</v>
      </c>
      <c r="G87" s="958" t="s">
        <v>542</v>
      </c>
      <c r="H87" s="958" t="s">
        <v>1865</v>
      </c>
      <c r="I87" s="958" t="s">
        <v>1814</v>
      </c>
      <c r="J87" s="959"/>
      <c r="K87" s="958" t="s">
        <v>1866</v>
      </c>
      <c r="L87" s="959"/>
      <c r="M87" s="959"/>
      <c r="N87" s="959"/>
      <c r="O87" s="959"/>
      <c r="P87" s="959"/>
      <c r="Q87" s="959"/>
      <c r="R87" s="959"/>
      <c r="S87" s="959"/>
      <c r="T87" s="959"/>
      <c r="U87" s="959"/>
      <c r="V87" s="959"/>
      <c r="W87" s="959"/>
      <c r="X87" s="959"/>
      <c r="Y87" s="959"/>
      <c r="Z87" s="959"/>
    </row>
    <row r="88">
      <c r="A88" s="1001"/>
      <c r="B88" s="793"/>
      <c r="C88" s="914"/>
      <c r="D88" s="914"/>
      <c r="E88" s="914"/>
      <c r="F88" s="793"/>
      <c r="G88" s="28"/>
      <c r="H88" s="28"/>
      <c r="I88" s="28"/>
      <c r="J88" s="1002"/>
      <c r="K88" s="152"/>
      <c r="L88" s="152"/>
      <c r="M88" s="152"/>
      <c r="N88" s="152"/>
      <c r="O88" s="152"/>
      <c r="P88" s="152"/>
      <c r="Q88" s="152"/>
      <c r="R88" s="152"/>
      <c r="S88" s="152"/>
      <c r="T88" s="152"/>
      <c r="U88" s="152"/>
      <c r="V88" s="152"/>
      <c r="W88" s="152"/>
      <c r="X88" s="152"/>
      <c r="Y88" s="152"/>
      <c r="Z88" s="152"/>
    </row>
    <row r="89">
      <c r="A89" s="1003"/>
      <c r="B89" s="793"/>
      <c r="C89" s="914"/>
      <c r="D89" s="28"/>
      <c r="E89" s="914"/>
      <c r="F89" s="793"/>
      <c r="G89" s="28"/>
      <c r="H89" s="28"/>
      <c r="I89" s="28"/>
      <c r="J89" s="1002"/>
      <c r="K89" s="152"/>
      <c r="L89" s="152"/>
      <c r="M89" s="152"/>
      <c r="N89" s="152"/>
      <c r="O89" s="152"/>
      <c r="P89" s="152"/>
      <c r="Q89" s="152"/>
      <c r="R89" s="152"/>
      <c r="S89" s="152"/>
      <c r="T89" s="152"/>
      <c r="U89" s="152"/>
      <c r="V89" s="152"/>
      <c r="W89" s="152"/>
      <c r="X89" s="152"/>
      <c r="Y89" s="152"/>
      <c r="Z89" s="152"/>
    </row>
    <row r="90">
      <c r="A90" s="1004" t="s">
        <v>1867</v>
      </c>
      <c r="K90" s="959"/>
      <c r="L90" s="959"/>
      <c r="M90" s="959"/>
      <c r="N90" s="959"/>
      <c r="O90" s="959"/>
      <c r="P90" s="959"/>
      <c r="Q90" s="959"/>
      <c r="R90" s="959"/>
      <c r="S90" s="959"/>
      <c r="T90" s="959"/>
      <c r="U90" s="959"/>
      <c r="V90" s="959"/>
      <c r="W90" s="959"/>
      <c r="X90" s="959"/>
      <c r="Y90" s="959"/>
      <c r="Z90" s="959"/>
    </row>
    <row r="91">
      <c r="A91" s="1005" t="s">
        <v>1766</v>
      </c>
      <c r="B91" s="1005" t="s">
        <v>1767</v>
      </c>
      <c r="C91" s="1005" t="s">
        <v>1768</v>
      </c>
      <c r="D91" s="1005" t="s">
        <v>1769</v>
      </c>
      <c r="E91" s="1005" t="s">
        <v>1770</v>
      </c>
      <c r="F91" s="1005" t="s">
        <v>1771</v>
      </c>
      <c r="G91" s="1005" t="s">
        <v>604</v>
      </c>
      <c r="H91" s="1005" t="s">
        <v>1772</v>
      </c>
      <c r="I91" s="1005" t="s">
        <v>1773</v>
      </c>
      <c r="J91" s="1005" t="s">
        <v>618</v>
      </c>
      <c r="K91" s="959"/>
      <c r="L91" s="959"/>
      <c r="M91" s="959"/>
      <c r="N91" s="959"/>
      <c r="O91" s="959"/>
      <c r="P91" s="959"/>
      <c r="Q91" s="959"/>
      <c r="R91" s="959"/>
      <c r="S91" s="959"/>
      <c r="T91" s="959"/>
      <c r="U91" s="959"/>
      <c r="V91" s="959"/>
      <c r="W91" s="959"/>
      <c r="X91" s="959"/>
      <c r="Y91" s="959"/>
      <c r="Z91" s="959"/>
    </row>
    <row r="92">
      <c r="A92" s="958"/>
      <c r="B92" s="958"/>
      <c r="C92" s="958"/>
      <c r="D92" s="958"/>
      <c r="E92" s="958"/>
      <c r="F92" s="958"/>
      <c r="G92" s="958"/>
      <c r="H92" s="958"/>
      <c r="I92" s="958"/>
      <c r="J92" s="958"/>
      <c r="K92" s="959"/>
      <c r="L92" s="959"/>
      <c r="M92" s="959"/>
      <c r="N92" s="959"/>
      <c r="O92" s="959"/>
      <c r="P92" s="959"/>
      <c r="Q92" s="959"/>
      <c r="R92" s="959"/>
      <c r="S92" s="959"/>
      <c r="T92" s="959"/>
      <c r="U92" s="959"/>
      <c r="V92" s="959"/>
      <c r="W92" s="959"/>
      <c r="X92" s="959"/>
      <c r="Y92" s="959"/>
      <c r="Z92" s="959"/>
    </row>
    <row r="93">
      <c r="A93" s="958"/>
      <c r="B93" s="959"/>
      <c r="C93" s="959"/>
      <c r="D93" s="959"/>
      <c r="E93" s="959"/>
      <c r="F93" s="959"/>
      <c r="G93" s="959"/>
      <c r="H93" s="959"/>
      <c r="I93" s="959"/>
      <c r="J93" s="959"/>
      <c r="K93" s="959"/>
      <c r="L93" s="959"/>
      <c r="M93" s="959"/>
      <c r="N93" s="959"/>
      <c r="O93" s="959"/>
      <c r="P93" s="959"/>
      <c r="Q93" s="959"/>
      <c r="R93" s="959"/>
      <c r="S93" s="959"/>
      <c r="T93" s="959"/>
      <c r="U93" s="959"/>
      <c r="V93" s="959"/>
      <c r="W93" s="959"/>
      <c r="X93" s="959"/>
      <c r="Y93" s="959"/>
      <c r="Z93" s="959"/>
    </row>
    <row r="94">
      <c r="A94" s="958"/>
      <c r="B94" s="959"/>
      <c r="C94" s="959"/>
      <c r="D94" s="959"/>
      <c r="E94" s="959"/>
      <c r="F94" s="959"/>
      <c r="G94" s="959"/>
      <c r="H94" s="959"/>
      <c r="I94" s="959"/>
      <c r="J94" s="959"/>
      <c r="K94" s="959"/>
      <c r="L94" s="959"/>
      <c r="M94" s="959"/>
      <c r="N94" s="959"/>
      <c r="O94" s="959"/>
      <c r="P94" s="959"/>
      <c r="Q94" s="959"/>
      <c r="R94" s="959"/>
      <c r="S94" s="959"/>
      <c r="T94" s="959"/>
      <c r="U94" s="959"/>
      <c r="V94" s="959"/>
      <c r="W94" s="959"/>
      <c r="X94" s="959"/>
      <c r="Y94" s="959"/>
      <c r="Z94" s="959"/>
    </row>
    <row r="95">
      <c r="A95" s="958"/>
      <c r="B95" s="959"/>
      <c r="C95" s="959"/>
      <c r="D95" s="959"/>
      <c r="E95" s="959"/>
      <c r="F95" s="959"/>
      <c r="G95" s="959"/>
      <c r="H95" s="959"/>
      <c r="I95" s="959"/>
      <c r="J95" s="959"/>
      <c r="K95" s="959"/>
      <c r="L95" s="959"/>
      <c r="M95" s="959"/>
      <c r="N95" s="959"/>
      <c r="O95" s="959"/>
      <c r="P95" s="959"/>
      <c r="Q95" s="959"/>
      <c r="R95" s="959"/>
      <c r="S95" s="959"/>
      <c r="T95" s="959"/>
      <c r="U95" s="959"/>
      <c r="V95" s="959"/>
      <c r="W95" s="959"/>
      <c r="X95" s="959"/>
      <c r="Y95" s="959"/>
      <c r="Z95" s="959"/>
    </row>
    <row r="96">
      <c r="A96" s="958"/>
      <c r="B96" s="959"/>
      <c r="C96" s="959"/>
      <c r="D96" s="959"/>
      <c r="E96" s="959"/>
      <c r="F96" s="959"/>
      <c r="G96" s="959"/>
      <c r="H96" s="959"/>
      <c r="I96" s="959"/>
      <c r="J96" s="959"/>
      <c r="K96" s="959"/>
      <c r="L96" s="959"/>
      <c r="M96" s="959"/>
      <c r="N96" s="959"/>
      <c r="O96" s="959"/>
      <c r="P96" s="959"/>
      <c r="Q96" s="959"/>
      <c r="R96" s="959"/>
      <c r="S96" s="959"/>
      <c r="T96" s="959"/>
      <c r="U96" s="959"/>
      <c r="V96" s="959"/>
      <c r="W96" s="959"/>
      <c r="X96" s="959"/>
      <c r="Y96" s="959"/>
      <c r="Z96" s="959"/>
    </row>
    <row r="97">
      <c r="A97" s="958"/>
      <c r="B97" s="959"/>
      <c r="C97" s="959"/>
      <c r="D97" s="959"/>
      <c r="E97" s="959"/>
      <c r="F97" s="959"/>
      <c r="G97" s="959"/>
      <c r="H97" s="959"/>
      <c r="I97" s="959"/>
      <c r="J97" s="959"/>
      <c r="K97" s="959"/>
      <c r="L97" s="959"/>
      <c r="M97" s="959"/>
      <c r="N97" s="959"/>
      <c r="O97" s="959"/>
      <c r="P97" s="959"/>
      <c r="Q97" s="959"/>
      <c r="R97" s="959"/>
      <c r="S97" s="959"/>
      <c r="T97" s="959"/>
      <c r="U97" s="959"/>
      <c r="V97" s="959"/>
      <c r="W97" s="959"/>
      <c r="X97" s="959"/>
      <c r="Y97" s="959"/>
      <c r="Z97" s="959"/>
    </row>
    <row r="98">
      <c r="A98" s="958"/>
      <c r="B98" s="959"/>
      <c r="C98" s="959"/>
      <c r="D98" s="959"/>
      <c r="E98" s="959"/>
      <c r="F98" s="959"/>
      <c r="G98" s="959"/>
      <c r="H98" s="959"/>
      <c r="I98" s="959"/>
      <c r="J98" s="959"/>
      <c r="K98" s="959"/>
      <c r="L98" s="959"/>
      <c r="M98" s="959"/>
      <c r="N98" s="959"/>
      <c r="O98" s="959"/>
      <c r="P98" s="959"/>
      <c r="Q98" s="959"/>
      <c r="R98" s="959"/>
      <c r="S98" s="959"/>
      <c r="T98" s="959"/>
      <c r="U98" s="959"/>
      <c r="V98" s="959"/>
      <c r="W98" s="959"/>
      <c r="X98" s="959"/>
      <c r="Y98" s="959"/>
      <c r="Z98" s="959"/>
    </row>
    <row r="99">
      <c r="A99" s="959"/>
      <c r="B99" s="959"/>
      <c r="C99" s="959"/>
      <c r="D99" s="959"/>
      <c r="E99" s="959"/>
      <c r="F99" s="959"/>
      <c r="G99" s="959"/>
      <c r="H99" s="959"/>
      <c r="I99" s="959"/>
      <c r="J99" s="959"/>
      <c r="K99" s="959"/>
      <c r="L99" s="959"/>
      <c r="M99" s="959"/>
      <c r="N99" s="959"/>
      <c r="O99" s="959"/>
      <c r="P99" s="959"/>
      <c r="Q99" s="959"/>
      <c r="R99" s="959"/>
      <c r="S99" s="959"/>
      <c r="T99" s="959"/>
      <c r="U99" s="959"/>
      <c r="V99" s="959"/>
      <c r="W99" s="959"/>
      <c r="X99" s="959"/>
      <c r="Y99" s="959"/>
      <c r="Z99" s="959"/>
    </row>
    <row r="100">
      <c r="A100" s="1006" t="s">
        <v>1868</v>
      </c>
      <c r="K100" s="959"/>
      <c r="L100" s="959"/>
      <c r="M100" s="959"/>
      <c r="N100" s="959"/>
      <c r="O100" s="959"/>
      <c r="P100" s="959"/>
      <c r="Q100" s="959"/>
      <c r="R100" s="959"/>
      <c r="S100" s="959"/>
      <c r="T100" s="959"/>
      <c r="U100" s="959"/>
      <c r="V100" s="959"/>
      <c r="W100" s="959"/>
      <c r="X100" s="959"/>
      <c r="Y100" s="959"/>
      <c r="Z100" s="959"/>
    </row>
    <row r="101">
      <c r="A101" s="1007" t="s">
        <v>1766</v>
      </c>
      <c r="B101" s="1007" t="s">
        <v>1767</v>
      </c>
      <c r="C101" s="1007" t="s">
        <v>1768</v>
      </c>
      <c r="D101" s="1007" t="s">
        <v>1769</v>
      </c>
      <c r="E101" s="1007" t="s">
        <v>1770</v>
      </c>
      <c r="F101" s="1007" t="s">
        <v>1771</v>
      </c>
      <c r="G101" s="1007" t="s">
        <v>604</v>
      </c>
      <c r="H101" s="1007" t="s">
        <v>1772</v>
      </c>
      <c r="I101" s="1007" t="s">
        <v>1773</v>
      </c>
      <c r="J101" s="1007" t="s">
        <v>618</v>
      </c>
      <c r="K101" s="959"/>
      <c r="L101" s="959"/>
      <c r="M101" s="959"/>
      <c r="N101" s="959"/>
      <c r="O101" s="959"/>
      <c r="P101" s="959"/>
      <c r="Q101" s="959"/>
      <c r="R101" s="959"/>
      <c r="S101" s="959"/>
      <c r="T101" s="959"/>
      <c r="U101" s="959"/>
      <c r="V101" s="959"/>
      <c r="W101" s="959"/>
      <c r="X101" s="959"/>
      <c r="Y101" s="959"/>
      <c r="Z101" s="959"/>
    </row>
    <row r="102">
      <c r="A102" s="958"/>
      <c r="B102" s="958"/>
      <c r="C102" s="958"/>
      <c r="D102" s="958"/>
      <c r="E102" s="958"/>
      <c r="F102" s="958"/>
      <c r="G102" s="958"/>
      <c r="H102" s="958"/>
      <c r="I102" s="958"/>
      <c r="J102" s="958"/>
      <c r="K102" s="959"/>
      <c r="L102" s="959"/>
      <c r="M102" s="959"/>
      <c r="N102" s="959"/>
      <c r="O102" s="959"/>
      <c r="P102" s="959"/>
      <c r="Q102" s="959"/>
      <c r="R102" s="959"/>
      <c r="S102" s="959"/>
      <c r="T102" s="959"/>
      <c r="U102" s="959"/>
      <c r="V102" s="959"/>
      <c r="W102" s="959"/>
      <c r="X102" s="959"/>
      <c r="Y102" s="959"/>
      <c r="Z102" s="959"/>
    </row>
    <row r="103">
      <c r="A103" s="958"/>
      <c r="B103" s="959"/>
      <c r="C103" s="959"/>
      <c r="D103" s="959"/>
      <c r="E103" s="959"/>
      <c r="F103" s="959"/>
      <c r="G103" s="959"/>
      <c r="H103" s="959"/>
      <c r="I103" s="959"/>
      <c r="J103" s="959"/>
      <c r="K103" s="959"/>
      <c r="L103" s="959"/>
      <c r="M103" s="959"/>
      <c r="N103" s="959"/>
      <c r="O103" s="959"/>
      <c r="P103" s="959"/>
      <c r="Q103" s="959"/>
      <c r="R103" s="959"/>
      <c r="S103" s="959"/>
      <c r="T103" s="959"/>
      <c r="U103" s="959"/>
      <c r="V103" s="959"/>
      <c r="W103" s="959"/>
      <c r="X103" s="959"/>
      <c r="Y103" s="959"/>
      <c r="Z103" s="959"/>
    </row>
    <row r="104">
      <c r="A104" s="958"/>
      <c r="B104" s="959"/>
      <c r="C104" s="959"/>
      <c r="D104" s="959"/>
      <c r="E104" s="959"/>
      <c r="F104" s="959"/>
      <c r="G104" s="959"/>
      <c r="H104" s="959"/>
      <c r="I104" s="959"/>
      <c r="J104" s="959"/>
      <c r="K104" s="959"/>
      <c r="L104" s="959"/>
      <c r="M104" s="959"/>
      <c r="N104" s="959"/>
      <c r="O104" s="959"/>
      <c r="P104" s="959"/>
      <c r="Q104" s="959"/>
      <c r="R104" s="959"/>
      <c r="S104" s="959"/>
      <c r="T104" s="959"/>
      <c r="U104" s="959"/>
      <c r="V104" s="959"/>
      <c r="W104" s="959"/>
      <c r="X104" s="959"/>
      <c r="Y104" s="959"/>
      <c r="Z104" s="959"/>
    </row>
    <row r="105">
      <c r="A105" s="958"/>
      <c r="B105" s="959"/>
      <c r="C105" s="959"/>
      <c r="D105" s="959"/>
      <c r="E105" s="959"/>
      <c r="F105" s="959"/>
      <c r="G105" s="959"/>
      <c r="H105" s="959"/>
      <c r="I105" s="959"/>
      <c r="J105" s="959"/>
      <c r="K105" s="959"/>
      <c r="L105" s="959"/>
      <c r="M105" s="959"/>
      <c r="N105" s="959"/>
      <c r="O105" s="959"/>
      <c r="P105" s="959"/>
      <c r="Q105" s="959"/>
      <c r="R105" s="959"/>
      <c r="S105" s="959"/>
      <c r="T105" s="959"/>
      <c r="U105" s="959"/>
      <c r="V105" s="959"/>
      <c r="W105" s="959"/>
      <c r="X105" s="959"/>
      <c r="Y105" s="959"/>
      <c r="Z105" s="959"/>
    </row>
    <row r="106">
      <c r="A106" s="958"/>
      <c r="B106" s="959"/>
      <c r="C106" s="959"/>
      <c r="D106" s="959"/>
      <c r="E106" s="959"/>
      <c r="F106" s="959"/>
      <c r="G106" s="959"/>
      <c r="H106" s="959"/>
      <c r="I106" s="959"/>
      <c r="J106" s="959"/>
      <c r="K106" s="959"/>
      <c r="L106" s="959"/>
      <c r="M106" s="959"/>
      <c r="N106" s="959"/>
      <c r="O106" s="959"/>
      <c r="P106" s="959"/>
      <c r="Q106" s="959"/>
      <c r="R106" s="959"/>
      <c r="S106" s="959"/>
      <c r="T106" s="959"/>
      <c r="U106" s="959"/>
      <c r="V106" s="959"/>
      <c r="W106" s="959"/>
      <c r="X106" s="959"/>
      <c r="Y106" s="959"/>
      <c r="Z106" s="959"/>
    </row>
    <row r="107">
      <c r="A107" s="958"/>
      <c r="B107" s="959"/>
      <c r="C107" s="959"/>
      <c r="D107" s="959"/>
      <c r="E107" s="959"/>
      <c r="F107" s="959"/>
      <c r="G107" s="959"/>
      <c r="H107" s="959"/>
      <c r="I107" s="959"/>
      <c r="J107" s="959"/>
      <c r="K107" s="959"/>
      <c r="L107" s="959"/>
      <c r="M107" s="959"/>
      <c r="N107" s="959"/>
      <c r="O107" s="959"/>
      <c r="P107" s="959"/>
      <c r="Q107" s="959"/>
      <c r="R107" s="959"/>
      <c r="S107" s="959"/>
      <c r="T107" s="959"/>
      <c r="U107" s="959"/>
      <c r="V107" s="959"/>
      <c r="W107" s="959"/>
      <c r="X107" s="959"/>
      <c r="Y107" s="959"/>
      <c r="Z107" s="959"/>
    </row>
    <row r="108">
      <c r="A108" s="958"/>
      <c r="B108" s="959"/>
      <c r="C108" s="959"/>
      <c r="D108" s="959"/>
      <c r="E108" s="959"/>
      <c r="F108" s="959"/>
      <c r="G108" s="959"/>
      <c r="H108" s="959"/>
      <c r="I108" s="959"/>
      <c r="J108" s="959"/>
      <c r="K108" s="959"/>
      <c r="L108" s="959"/>
      <c r="M108" s="959"/>
      <c r="N108" s="959"/>
      <c r="O108" s="959"/>
      <c r="P108" s="959"/>
      <c r="Q108" s="959"/>
      <c r="R108" s="959"/>
      <c r="S108" s="959"/>
      <c r="T108" s="959"/>
      <c r="U108" s="959"/>
      <c r="V108" s="959"/>
      <c r="W108" s="959"/>
      <c r="X108" s="959"/>
      <c r="Y108" s="959"/>
      <c r="Z108" s="959"/>
    </row>
    <row r="109">
      <c r="A109" s="959"/>
      <c r="B109" s="959"/>
      <c r="C109" s="959"/>
      <c r="D109" s="959"/>
      <c r="E109" s="959"/>
      <c r="F109" s="959"/>
      <c r="G109" s="959"/>
      <c r="H109" s="959"/>
      <c r="I109" s="959"/>
      <c r="J109" s="959"/>
      <c r="K109" s="959"/>
      <c r="L109" s="959"/>
      <c r="M109" s="959"/>
      <c r="N109" s="959"/>
      <c r="O109" s="959"/>
      <c r="P109" s="959"/>
      <c r="Q109" s="959"/>
      <c r="R109" s="959"/>
      <c r="S109" s="959"/>
      <c r="T109" s="959"/>
      <c r="U109" s="959"/>
      <c r="V109" s="959"/>
      <c r="W109" s="959"/>
      <c r="X109" s="959"/>
      <c r="Y109" s="959"/>
      <c r="Z109" s="959"/>
    </row>
    <row r="110">
      <c r="A110" s="960" t="s">
        <v>1869</v>
      </c>
      <c r="K110" s="959"/>
      <c r="L110" s="959"/>
      <c r="M110" s="959"/>
      <c r="N110" s="959"/>
      <c r="O110" s="959"/>
      <c r="P110" s="959"/>
      <c r="Q110" s="959"/>
      <c r="R110" s="959"/>
      <c r="S110" s="959"/>
      <c r="T110" s="959"/>
      <c r="U110" s="959"/>
      <c r="V110" s="959"/>
      <c r="W110" s="959"/>
      <c r="X110" s="959"/>
      <c r="Y110" s="959"/>
      <c r="Z110" s="959"/>
    </row>
    <row r="111">
      <c r="A111" s="961" t="s">
        <v>1766</v>
      </c>
      <c r="B111" s="961" t="s">
        <v>1767</v>
      </c>
      <c r="C111" s="961" t="s">
        <v>1768</v>
      </c>
      <c r="D111" s="961" t="s">
        <v>1769</v>
      </c>
      <c r="E111" s="961" t="s">
        <v>1770</v>
      </c>
      <c r="F111" s="961" t="s">
        <v>1771</v>
      </c>
      <c r="G111" s="961" t="s">
        <v>604</v>
      </c>
      <c r="H111" s="961" t="s">
        <v>1772</v>
      </c>
      <c r="I111" s="961" t="s">
        <v>1773</v>
      </c>
      <c r="J111" s="961" t="s">
        <v>618</v>
      </c>
      <c r="K111" s="959"/>
      <c r="L111" s="959"/>
      <c r="M111" s="959"/>
      <c r="N111" s="959"/>
      <c r="O111" s="959"/>
      <c r="P111" s="959"/>
      <c r="Q111" s="959"/>
      <c r="R111" s="959"/>
      <c r="S111" s="959"/>
      <c r="T111" s="959"/>
      <c r="U111" s="959"/>
      <c r="V111" s="959"/>
      <c r="W111" s="959"/>
      <c r="X111" s="959"/>
      <c r="Y111" s="959"/>
      <c r="Z111" s="959"/>
    </row>
    <row r="112">
      <c r="A112" s="958"/>
      <c r="B112" s="958"/>
      <c r="C112" s="958"/>
      <c r="D112" s="958"/>
      <c r="E112" s="958"/>
      <c r="F112" s="958"/>
      <c r="G112" s="958"/>
      <c r="H112" s="958"/>
      <c r="I112" s="958"/>
      <c r="J112" s="958"/>
      <c r="K112" s="959"/>
      <c r="L112" s="959"/>
      <c r="M112" s="959"/>
      <c r="N112" s="959"/>
      <c r="O112" s="959"/>
      <c r="P112" s="959"/>
      <c r="Q112" s="959"/>
      <c r="R112" s="959"/>
      <c r="S112" s="959"/>
      <c r="T112" s="959"/>
      <c r="U112" s="959"/>
      <c r="V112" s="959"/>
      <c r="W112" s="959"/>
      <c r="X112" s="959"/>
      <c r="Y112" s="959"/>
      <c r="Z112" s="959"/>
    </row>
    <row r="113">
      <c r="A113" s="958"/>
      <c r="B113" s="959"/>
      <c r="C113" s="959"/>
      <c r="D113" s="959"/>
      <c r="E113" s="959"/>
      <c r="F113" s="959"/>
      <c r="G113" s="959"/>
      <c r="H113" s="959"/>
      <c r="I113" s="959"/>
      <c r="J113" s="959"/>
      <c r="K113" s="959"/>
      <c r="L113" s="959"/>
      <c r="M113" s="959"/>
      <c r="N113" s="959"/>
      <c r="O113" s="959"/>
      <c r="P113" s="959"/>
      <c r="Q113" s="959"/>
      <c r="R113" s="959"/>
      <c r="S113" s="959"/>
      <c r="T113" s="959"/>
      <c r="U113" s="959"/>
      <c r="V113" s="959"/>
      <c r="W113" s="959"/>
      <c r="X113" s="959"/>
      <c r="Y113" s="959"/>
      <c r="Z113" s="959"/>
    </row>
    <row r="114">
      <c r="A114" s="958"/>
      <c r="B114" s="959"/>
      <c r="C114" s="959"/>
      <c r="D114" s="959"/>
      <c r="E114" s="959"/>
      <c r="F114" s="959"/>
      <c r="G114" s="959"/>
      <c r="H114" s="959"/>
      <c r="I114" s="959"/>
      <c r="J114" s="959"/>
      <c r="K114" s="959"/>
      <c r="L114" s="959"/>
      <c r="M114" s="959"/>
      <c r="N114" s="959"/>
      <c r="O114" s="959"/>
      <c r="P114" s="959"/>
      <c r="Q114" s="959"/>
      <c r="R114" s="959"/>
      <c r="S114" s="959"/>
      <c r="T114" s="959"/>
      <c r="U114" s="959"/>
      <c r="V114" s="959"/>
      <c r="W114" s="959"/>
      <c r="X114" s="959"/>
      <c r="Y114" s="959"/>
      <c r="Z114" s="959"/>
    </row>
    <row r="115">
      <c r="A115" s="958"/>
      <c r="B115" s="959"/>
      <c r="C115" s="959"/>
      <c r="D115" s="959"/>
      <c r="E115" s="959"/>
      <c r="F115" s="959"/>
      <c r="G115" s="959"/>
      <c r="H115" s="959"/>
      <c r="I115" s="959"/>
      <c r="J115" s="959"/>
      <c r="K115" s="959"/>
      <c r="L115" s="959"/>
      <c r="M115" s="959"/>
      <c r="N115" s="959"/>
      <c r="O115" s="959"/>
      <c r="P115" s="959"/>
      <c r="Q115" s="959"/>
      <c r="R115" s="959"/>
      <c r="S115" s="959"/>
      <c r="T115" s="959"/>
      <c r="U115" s="959"/>
      <c r="V115" s="959"/>
      <c r="W115" s="959"/>
      <c r="X115" s="959"/>
      <c r="Y115" s="959"/>
      <c r="Z115" s="959"/>
    </row>
    <row r="116">
      <c r="A116" s="958"/>
      <c r="B116" s="959"/>
      <c r="C116" s="959"/>
      <c r="D116" s="959"/>
      <c r="E116" s="959"/>
      <c r="F116" s="959"/>
      <c r="G116" s="959"/>
      <c r="H116" s="959"/>
      <c r="I116" s="959"/>
      <c r="J116" s="959"/>
      <c r="K116" s="959"/>
      <c r="L116" s="959"/>
      <c r="M116" s="959"/>
      <c r="N116" s="959"/>
      <c r="O116" s="959"/>
      <c r="P116" s="959"/>
      <c r="Q116" s="959"/>
      <c r="R116" s="959"/>
      <c r="S116" s="959"/>
      <c r="T116" s="959"/>
      <c r="U116" s="959"/>
      <c r="V116" s="959"/>
      <c r="W116" s="959"/>
      <c r="X116" s="959"/>
      <c r="Y116" s="959"/>
      <c r="Z116" s="959"/>
    </row>
    <row r="117">
      <c r="A117" s="958"/>
      <c r="B117" s="959"/>
      <c r="C117" s="959"/>
      <c r="D117" s="959"/>
      <c r="E117" s="959"/>
      <c r="F117" s="959"/>
      <c r="G117" s="959"/>
      <c r="H117" s="959"/>
      <c r="I117" s="959"/>
      <c r="J117" s="959"/>
      <c r="K117" s="959"/>
      <c r="L117" s="959"/>
      <c r="M117" s="959"/>
      <c r="N117" s="959"/>
      <c r="O117" s="959"/>
      <c r="P117" s="959"/>
      <c r="Q117" s="959"/>
      <c r="R117" s="959"/>
      <c r="S117" s="959"/>
      <c r="T117" s="959"/>
      <c r="U117" s="959"/>
      <c r="V117" s="959"/>
      <c r="W117" s="959"/>
      <c r="X117" s="959"/>
      <c r="Y117" s="959"/>
      <c r="Z117" s="959"/>
    </row>
    <row r="118">
      <c r="A118" s="958"/>
      <c r="B118" s="959"/>
      <c r="C118" s="959"/>
      <c r="D118" s="959"/>
      <c r="E118" s="959"/>
      <c r="F118" s="959"/>
      <c r="G118" s="959"/>
      <c r="H118" s="959"/>
      <c r="I118" s="959"/>
      <c r="J118" s="959"/>
      <c r="K118" s="959"/>
      <c r="L118" s="959"/>
      <c r="M118" s="959"/>
      <c r="N118" s="959"/>
      <c r="O118" s="959"/>
      <c r="P118" s="959"/>
      <c r="Q118" s="959"/>
      <c r="R118" s="959"/>
      <c r="S118" s="959"/>
      <c r="T118" s="959"/>
      <c r="U118" s="959"/>
      <c r="V118" s="959"/>
      <c r="W118" s="959"/>
      <c r="X118" s="959"/>
      <c r="Y118" s="959"/>
      <c r="Z118" s="959"/>
    </row>
    <row r="119">
      <c r="A119" s="959"/>
      <c r="B119" s="959"/>
      <c r="C119" s="959"/>
      <c r="D119" s="959"/>
      <c r="E119" s="959"/>
      <c r="F119" s="959"/>
      <c r="G119" s="959"/>
      <c r="H119" s="959"/>
      <c r="I119" s="959"/>
      <c r="J119" s="959"/>
      <c r="K119" s="959"/>
      <c r="L119" s="959"/>
      <c r="M119" s="959"/>
      <c r="N119" s="959"/>
      <c r="O119" s="959"/>
      <c r="P119" s="959"/>
      <c r="Q119" s="959"/>
      <c r="R119" s="959"/>
      <c r="S119" s="959"/>
      <c r="T119" s="959"/>
      <c r="U119" s="959"/>
      <c r="V119" s="959"/>
      <c r="W119" s="959"/>
      <c r="X119" s="959"/>
      <c r="Y119" s="959"/>
      <c r="Z119" s="959"/>
    </row>
    <row r="120">
      <c r="A120" s="962" t="s">
        <v>1870</v>
      </c>
      <c r="K120" s="959"/>
      <c r="L120" s="959"/>
      <c r="M120" s="959"/>
      <c r="N120" s="959"/>
      <c r="O120" s="959"/>
      <c r="P120" s="959"/>
      <c r="Q120" s="959"/>
      <c r="R120" s="959"/>
      <c r="S120" s="959"/>
      <c r="T120" s="959"/>
      <c r="U120" s="959"/>
      <c r="V120" s="959"/>
      <c r="W120" s="959"/>
      <c r="X120" s="959"/>
      <c r="Y120" s="959"/>
      <c r="Z120" s="959"/>
    </row>
    <row r="121">
      <c r="A121" s="963" t="s">
        <v>1766</v>
      </c>
      <c r="B121" s="963" t="s">
        <v>1767</v>
      </c>
      <c r="C121" s="963" t="s">
        <v>1768</v>
      </c>
      <c r="D121" s="963" t="s">
        <v>1769</v>
      </c>
      <c r="E121" s="963" t="s">
        <v>1770</v>
      </c>
      <c r="F121" s="963" t="s">
        <v>1771</v>
      </c>
      <c r="G121" s="963" t="s">
        <v>604</v>
      </c>
      <c r="H121" s="963" t="s">
        <v>1772</v>
      </c>
      <c r="I121" s="963" t="s">
        <v>1773</v>
      </c>
      <c r="J121" s="963" t="s">
        <v>618</v>
      </c>
      <c r="K121" s="959"/>
      <c r="L121" s="959"/>
      <c r="M121" s="959"/>
      <c r="N121" s="959"/>
      <c r="O121" s="959"/>
      <c r="P121" s="959"/>
      <c r="Q121" s="959"/>
      <c r="R121" s="959"/>
      <c r="S121" s="959"/>
      <c r="T121" s="959"/>
      <c r="U121" s="959"/>
      <c r="V121" s="959"/>
      <c r="W121" s="959"/>
      <c r="X121" s="959"/>
      <c r="Y121" s="959"/>
      <c r="Z121" s="959"/>
    </row>
    <row r="122">
      <c r="A122" s="958"/>
      <c r="B122" s="958"/>
      <c r="C122" s="958"/>
      <c r="D122" s="958"/>
      <c r="E122" s="958"/>
      <c r="F122" s="958"/>
      <c r="G122" s="958"/>
      <c r="H122" s="958"/>
      <c r="I122" s="958"/>
      <c r="J122" s="958"/>
      <c r="K122" s="959"/>
      <c r="L122" s="959"/>
      <c r="M122" s="959"/>
      <c r="N122" s="959"/>
      <c r="O122" s="959"/>
      <c r="P122" s="959"/>
      <c r="Q122" s="959"/>
      <c r="R122" s="959"/>
      <c r="S122" s="959"/>
      <c r="T122" s="959"/>
      <c r="U122" s="959"/>
      <c r="V122" s="959"/>
      <c r="W122" s="959"/>
      <c r="X122" s="959"/>
      <c r="Y122" s="959"/>
      <c r="Z122" s="959"/>
    </row>
    <row r="123">
      <c r="A123" s="958"/>
      <c r="B123" s="959"/>
      <c r="C123" s="959"/>
      <c r="D123" s="959"/>
      <c r="E123" s="959"/>
      <c r="F123" s="959"/>
      <c r="G123" s="959"/>
      <c r="H123" s="959"/>
      <c r="I123" s="959"/>
      <c r="J123" s="959"/>
      <c r="K123" s="959"/>
      <c r="L123" s="959"/>
      <c r="M123" s="959"/>
      <c r="N123" s="959"/>
      <c r="O123" s="959"/>
      <c r="P123" s="959"/>
      <c r="Q123" s="959"/>
      <c r="R123" s="959"/>
      <c r="S123" s="959"/>
      <c r="T123" s="959"/>
      <c r="U123" s="959"/>
      <c r="V123" s="959"/>
      <c r="W123" s="959"/>
      <c r="X123" s="959"/>
      <c r="Y123" s="959"/>
      <c r="Z123" s="959"/>
    </row>
    <row r="124">
      <c r="A124" s="958"/>
      <c r="B124" s="959"/>
      <c r="C124" s="959"/>
      <c r="D124" s="959"/>
      <c r="E124" s="959"/>
      <c r="F124" s="959"/>
      <c r="G124" s="959"/>
      <c r="H124" s="959"/>
      <c r="I124" s="959"/>
      <c r="J124" s="959"/>
      <c r="K124" s="959"/>
      <c r="L124" s="959"/>
      <c r="M124" s="959"/>
      <c r="N124" s="959"/>
      <c r="O124" s="959"/>
      <c r="P124" s="959"/>
      <c r="Q124" s="959"/>
      <c r="R124" s="959"/>
      <c r="S124" s="959"/>
      <c r="T124" s="959"/>
      <c r="U124" s="959"/>
      <c r="V124" s="959"/>
      <c r="W124" s="959"/>
      <c r="X124" s="959"/>
      <c r="Y124" s="959"/>
      <c r="Z124" s="959"/>
    </row>
    <row r="125">
      <c r="A125" s="958"/>
      <c r="B125" s="959"/>
      <c r="C125" s="959"/>
      <c r="D125" s="959"/>
      <c r="E125" s="959"/>
      <c r="F125" s="959"/>
      <c r="G125" s="959"/>
      <c r="H125" s="959"/>
      <c r="I125" s="959"/>
      <c r="J125" s="959"/>
      <c r="K125" s="959"/>
      <c r="L125" s="959"/>
      <c r="M125" s="959"/>
      <c r="N125" s="959"/>
      <c r="O125" s="959"/>
      <c r="P125" s="959"/>
      <c r="Q125" s="959"/>
      <c r="R125" s="959"/>
      <c r="S125" s="959"/>
      <c r="T125" s="959"/>
      <c r="U125" s="959"/>
      <c r="V125" s="959"/>
      <c r="W125" s="959"/>
      <c r="X125" s="959"/>
      <c r="Y125" s="959"/>
      <c r="Z125" s="959"/>
    </row>
    <row r="126">
      <c r="A126" s="958"/>
      <c r="B126" s="959"/>
      <c r="C126" s="959"/>
      <c r="D126" s="959"/>
      <c r="E126" s="959"/>
      <c r="F126" s="959"/>
      <c r="G126" s="959"/>
      <c r="H126" s="959"/>
      <c r="I126" s="959"/>
      <c r="J126" s="959"/>
      <c r="K126" s="959"/>
      <c r="L126" s="959"/>
      <c r="M126" s="959"/>
      <c r="N126" s="959"/>
      <c r="O126" s="959"/>
      <c r="P126" s="959"/>
      <c r="Q126" s="959"/>
      <c r="R126" s="959"/>
      <c r="S126" s="959"/>
      <c r="T126" s="959"/>
      <c r="U126" s="959"/>
      <c r="V126" s="959"/>
      <c r="W126" s="959"/>
      <c r="X126" s="959"/>
      <c r="Y126" s="959"/>
      <c r="Z126" s="959"/>
    </row>
    <row r="127">
      <c r="A127" s="958"/>
      <c r="B127" s="959"/>
      <c r="C127" s="959"/>
      <c r="D127" s="959"/>
      <c r="E127" s="959"/>
      <c r="F127" s="959"/>
      <c r="G127" s="959"/>
      <c r="H127" s="959"/>
      <c r="I127" s="959"/>
      <c r="J127" s="959"/>
      <c r="K127" s="959"/>
      <c r="L127" s="959"/>
      <c r="M127" s="959"/>
      <c r="N127" s="959"/>
      <c r="O127" s="959"/>
      <c r="P127" s="959"/>
      <c r="Q127" s="959"/>
      <c r="R127" s="959"/>
      <c r="S127" s="959"/>
      <c r="T127" s="959"/>
      <c r="U127" s="959"/>
      <c r="V127" s="959"/>
      <c r="W127" s="959"/>
      <c r="X127" s="959"/>
      <c r="Y127" s="959"/>
      <c r="Z127" s="959"/>
    </row>
    <row r="128">
      <c r="A128" s="958"/>
      <c r="B128" s="959"/>
      <c r="C128" s="959"/>
      <c r="D128" s="959"/>
      <c r="E128" s="959"/>
      <c r="F128" s="959"/>
      <c r="G128" s="959"/>
      <c r="H128" s="959"/>
      <c r="I128" s="959"/>
      <c r="J128" s="959"/>
      <c r="K128" s="959"/>
      <c r="L128" s="959"/>
      <c r="M128" s="959"/>
      <c r="N128" s="959"/>
      <c r="O128" s="959"/>
      <c r="P128" s="959"/>
      <c r="Q128" s="959"/>
      <c r="R128" s="959"/>
      <c r="S128" s="959"/>
      <c r="T128" s="959"/>
      <c r="U128" s="959"/>
      <c r="V128" s="959"/>
      <c r="W128" s="959"/>
      <c r="X128" s="959"/>
      <c r="Y128" s="959"/>
      <c r="Z128" s="959"/>
    </row>
    <row r="129">
      <c r="A129" s="964" t="s">
        <v>1629</v>
      </c>
      <c r="K129" s="959"/>
      <c r="L129" s="959"/>
      <c r="M129" s="959"/>
      <c r="N129" s="959"/>
      <c r="O129" s="959"/>
      <c r="P129" s="959"/>
      <c r="Q129" s="959"/>
      <c r="R129" s="959"/>
      <c r="S129" s="959"/>
      <c r="T129" s="959"/>
      <c r="U129" s="959"/>
      <c r="V129" s="959"/>
      <c r="W129" s="959"/>
      <c r="X129" s="959"/>
      <c r="Y129" s="959"/>
      <c r="Z129" s="959"/>
    </row>
    <row r="130">
      <c r="A130" s="963" t="s">
        <v>1766</v>
      </c>
      <c r="B130" s="963" t="s">
        <v>1871</v>
      </c>
      <c r="C130" s="963" t="s">
        <v>1768</v>
      </c>
      <c r="D130" s="963" t="s">
        <v>1769</v>
      </c>
      <c r="E130" s="963" t="s">
        <v>1770</v>
      </c>
      <c r="F130" s="963" t="s">
        <v>1771</v>
      </c>
      <c r="G130" s="963" t="s">
        <v>604</v>
      </c>
      <c r="H130" s="963" t="s">
        <v>1772</v>
      </c>
      <c r="I130" s="963" t="s">
        <v>1773</v>
      </c>
      <c r="J130" s="963" t="s">
        <v>618</v>
      </c>
      <c r="K130" s="959"/>
      <c r="L130" s="959"/>
      <c r="M130" s="959"/>
      <c r="N130" s="959"/>
      <c r="O130" s="959"/>
      <c r="P130" s="959"/>
      <c r="Q130" s="959"/>
      <c r="R130" s="959"/>
      <c r="S130" s="959"/>
      <c r="T130" s="959"/>
      <c r="U130" s="959"/>
      <c r="V130" s="959"/>
      <c r="W130" s="959"/>
      <c r="X130" s="959"/>
      <c r="Y130" s="959"/>
      <c r="Z130" s="959"/>
    </row>
    <row r="131">
      <c r="A131" s="978" t="s">
        <v>1816</v>
      </c>
      <c r="B131" s="978" t="s">
        <v>642</v>
      </c>
      <c r="C131" s="978" t="s">
        <v>642</v>
      </c>
      <c r="D131" s="978" t="s">
        <v>642</v>
      </c>
      <c r="E131" s="978" t="s">
        <v>1872</v>
      </c>
      <c r="F131" s="978">
        <v>96.0</v>
      </c>
      <c r="G131" s="978" t="s">
        <v>564</v>
      </c>
      <c r="H131" s="978" t="s">
        <v>1873</v>
      </c>
      <c r="I131" s="978" t="s">
        <v>1874</v>
      </c>
      <c r="J131" s="979" t="s">
        <v>1875</v>
      </c>
      <c r="K131" s="980"/>
      <c r="L131" s="980"/>
      <c r="M131" s="980"/>
      <c r="N131" s="980"/>
      <c r="O131" s="980"/>
      <c r="P131" s="980"/>
      <c r="Q131" s="980"/>
      <c r="R131" s="980"/>
      <c r="S131" s="980"/>
      <c r="T131" s="980"/>
      <c r="U131" s="980"/>
      <c r="V131" s="980"/>
      <c r="W131" s="980"/>
      <c r="X131" s="980"/>
      <c r="Y131" s="980"/>
      <c r="Z131" s="980"/>
    </row>
    <row r="132">
      <c r="A132" s="978" t="s">
        <v>1782</v>
      </c>
      <c r="B132" s="978">
        <v>28.0</v>
      </c>
      <c r="C132" s="978" t="s">
        <v>642</v>
      </c>
      <c r="D132" s="978" t="s">
        <v>642</v>
      </c>
      <c r="E132" s="978" t="s">
        <v>1876</v>
      </c>
      <c r="F132" s="978">
        <v>30.0</v>
      </c>
      <c r="G132" s="978" t="s">
        <v>564</v>
      </c>
      <c r="H132" s="978" t="s">
        <v>1877</v>
      </c>
      <c r="I132" s="978" t="s">
        <v>1874</v>
      </c>
      <c r="J132" s="979" t="s">
        <v>1878</v>
      </c>
      <c r="K132" s="980"/>
      <c r="L132" s="980"/>
      <c r="M132" s="980"/>
      <c r="N132" s="980"/>
      <c r="O132" s="980"/>
      <c r="P132" s="980"/>
      <c r="Q132" s="980"/>
      <c r="R132" s="980"/>
      <c r="S132" s="980"/>
      <c r="T132" s="980"/>
      <c r="U132" s="980"/>
      <c r="V132" s="980"/>
      <c r="W132" s="980"/>
      <c r="X132" s="980"/>
      <c r="Y132" s="980"/>
      <c r="Z132" s="980"/>
    </row>
    <row r="133">
      <c r="A133" s="978" t="s">
        <v>1785</v>
      </c>
      <c r="B133" s="978">
        <v>28.0</v>
      </c>
      <c r="C133" s="978" t="s">
        <v>1879</v>
      </c>
      <c r="D133" s="978" t="s">
        <v>1880</v>
      </c>
      <c r="E133" s="978" t="s">
        <v>1876</v>
      </c>
      <c r="F133" s="978">
        <v>36.0</v>
      </c>
      <c r="G133" s="978" t="s">
        <v>564</v>
      </c>
      <c r="H133" s="978" t="s">
        <v>1881</v>
      </c>
      <c r="I133" s="978" t="s">
        <v>1874</v>
      </c>
      <c r="J133" s="1008" t="s">
        <v>1882</v>
      </c>
      <c r="K133" s="980"/>
      <c r="L133" s="980"/>
      <c r="M133" s="980"/>
      <c r="N133" s="980"/>
      <c r="O133" s="980"/>
      <c r="P133" s="980"/>
      <c r="Q133" s="980"/>
      <c r="R133" s="980"/>
      <c r="S133" s="980"/>
      <c r="T133" s="980"/>
      <c r="U133" s="980"/>
      <c r="V133" s="980"/>
      <c r="W133" s="980"/>
      <c r="X133" s="980"/>
      <c r="Y133" s="980"/>
      <c r="Z133" s="980"/>
    </row>
    <row r="134">
      <c r="A134" s="978" t="s">
        <v>1785</v>
      </c>
      <c r="B134" s="978">
        <v>28.0</v>
      </c>
      <c r="C134" s="978" t="s">
        <v>1883</v>
      </c>
      <c r="D134" s="978" t="s">
        <v>1880</v>
      </c>
      <c r="E134" s="978" t="s">
        <v>1876</v>
      </c>
      <c r="F134" s="978">
        <v>4.0</v>
      </c>
      <c r="G134" s="978" t="s">
        <v>564</v>
      </c>
      <c r="H134" s="978" t="s">
        <v>1884</v>
      </c>
      <c r="I134" s="978" t="s">
        <v>1874</v>
      </c>
      <c r="J134" s="1009" t="s">
        <v>1885</v>
      </c>
      <c r="K134" s="980"/>
      <c r="L134" s="980"/>
      <c r="M134" s="980"/>
      <c r="N134" s="980"/>
      <c r="O134" s="980"/>
      <c r="P134" s="980"/>
      <c r="Q134" s="980"/>
      <c r="R134" s="980"/>
      <c r="S134" s="980"/>
      <c r="T134" s="980"/>
      <c r="U134" s="980"/>
      <c r="V134" s="980"/>
      <c r="W134" s="980"/>
      <c r="X134" s="980"/>
      <c r="Y134" s="980"/>
      <c r="Z134" s="980"/>
    </row>
    <row r="135">
      <c r="A135" s="978" t="s">
        <v>1802</v>
      </c>
      <c r="B135" s="978">
        <v>28.0</v>
      </c>
      <c r="C135" s="978" t="s">
        <v>642</v>
      </c>
      <c r="D135" s="978" t="s">
        <v>642</v>
      </c>
      <c r="E135" s="978" t="s">
        <v>1876</v>
      </c>
      <c r="F135" s="978">
        <v>10.0</v>
      </c>
      <c r="G135" s="978" t="s">
        <v>564</v>
      </c>
      <c r="H135" s="978" t="s">
        <v>1804</v>
      </c>
      <c r="I135" s="978" t="s">
        <v>567</v>
      </c>
      <c r="J135" s="1008" t="s">
        <v>1886</v>
      </c>
      <c r="K135" s="980"/>
      <c r="L135" s="980"/>
      <c r="M135" s="980"/>
      <c r="N135" s="980"/>
      <c r="O135" s="980"/>
      <c r="P135" s="980"/>
      <c r="Q135" s="980"/>
      <c r="R135" s="980"/>
      <c r="S135" s="980"/>
      <c r="T135" s="980"/>
      <c r="U135" s="980"/>
      <c r="V135" s="980"/>
      <c r="W135" s="980"/>
      <c r="X135" s="980"/>
      <c r="Y135" s="980"/>
      <c r="Z135" s="980"/>
    </row>
    <row r="136">
      <c r="A136" s="976" t="s">
        <v>1785</v>
      </c>
      <c r="B136" s="976">
        <v>20.0</v>
      </c>
      <c r="C136" s="976" t="s">
        <v>1887</v>
      </c>
      <c r="D136" s="976" t="s">
        <v>642</v>
      </c>
      <c r="E136" s="976" t="s">
        <v>1888</v>
      </c>
      <c r="F136" s="976">
        <v>6.0</v>
      </c>
      <c r="G136" s="976" t="s">
        <v>1889</v>
      </c>
      <c r="H136" s="976" t="s">
        <v>1890</v>
      </c>
      <c r="I136" s="976" t="s">
        <v>1099</v>
      </c>
      <c r="J136" s="977" t="s">
        <v>1891</v>
      </c>
      <c r="K136" s="959"/>
      <c r="L136" s="959"/>
      <c r="M136" s="959"/>
      <c r="N136" s="959"/>
      <c r="O136" s="959"/>
      <c r="P136" s="959"/>
      <c r="Q136" s="959"/>
      <c r="R136" s="959"/>
      <c r="S136" s="959"/>
      <c r="T136" s="959"/>
      <c r="U136" s="959"/>
      <c r="V136" s="959"/>
      <c r="W136" s="959"/>
      <c r="X136" s="959"/>
      <c r="Y136" s="959"/>
      <c r="Z136" s="959"/>
    </row>
    <row r="137">
      <c r="A137" s="976" t="s">
        <v>1782</v>
      </c>
      <c r="B137" s="976">
        <v>20.0</v>
      </c>
      <c r="C137" s="976" t="s">
        <v>642</v>
      </c>
      <c r="D137" s="976" t="s">
        <v>642</v>
      </c>
      <c r="E137" s="976" t="s">
        <v>1888</v>
      </c>
      <c r="F137" s="976">
        <v>6.0</v>
      </c>
      <c r="G137" s="976" t="s">
        <v>1889</v>
      </c>
      <c r="H137" s="976" t="s">
        <v>1890</v>
      </c>
      <c r="I137" s="976" t="s">
        <v>1099</v>
      </c>
      <c r="J137" s="977" t="s">
        <v>1892</v>
      </c>
      <c r="K137" s="959"/>
      <c r="L137" s="959"/>
      <c r="M137" s="959"/>
      <c r="N137" s="959"/>
      <c r="O137" s="959"/>
      <c r="P137" s="959"/>
      <c r="Q137" s="959"/>
      <c r="R137" s="959"/>
      <c r="S137" s="959"/>
      <c r="T137" s="959"/>
      <c r="U137" s="959"/>
      <c r="V137" s="959"/>
      <c r="W137" s="959"/>
      <c r="X137" s="959"/>
      <c r="Y137" s="959"/>
      <c r="Z137" s="959"/>
    </row>
    <row r="138">
      <c r="A138" s="1010" t="s">
        <v>1816</v>
      </c>
      <c r="B138" s="1010" t="s">
        <v>642</v>
      </c>
      <c r="C138" s="1010" t="s">
        <v>642</v>
      </c>
      <c r="D138" s="1010" t="s">
        <v>642</v>
      </c>
      <c r="E138" s="1010" t="s">
        <v>1817</v>
      </c>
      <c r="F138" s="1010">
        <v>6.0</v>
      </c>
      <c r="G138" s="1010" t="s">
        <v>1889</v>
      </c>
      <c r="H138" s="1010" t="s">
        <v>1890</v>
      </c>
      <c r="I138" s="1010" t="s">
        <v>1099</v>
      </c>
      <c r="J138" s="1011" t="s">
        <v>1892</v>
      </c>
      <c r="K138" s="958" t="s">
        <v>1893</v>
      </c>
      <c r="L138" s="959"/>
      <c r="M138" s="959"/>
      <c r="N138" s="959"/>
      <c r="O138" s="959"/>
      <c r="P138" s="959"/>
      <c r="Q138" s="959"/>
      <c r="R138" s="959"/>
      <c r="S138" s="959"/>
      <c r="T138" s="959"/>
      <c r="U138" s="959"/>
      <c r="V138" s="959"/>
      <c r="W138" s="959"/>
      <c r="X138" s="959"/>
      <c r="Y138" s="959"/>
      <c r="Z138" s="959"/>
    </row>
    <row r="139">
      <c r="A139" s="976" t="s">
        <v>1778</v>
      </c>
      <c r="B139" s="976">
        <v>24.0</v>
      </c>
      <c r="C139" s="976" t="s">
        <v>1894</v>
      </c>
      <c r="D139" s="976" t="s">
        <v>886</v>
      </c>
      <c r="E139" s="976" t="s">
        <v>1895</v>
      </c>
      <c r="F139" s="976">
        <v>1.0</v>
      </c>
      <c r="G139" s="976" t="s">
        <v>1121</v>
      </c>
      <c r="H139" s="976" t="s">
        <v>1896</v>
      </c>
      <c r="I139" s="976" t="s">
        <v>508</v>
      </c>
      <c r="J139" s="1000" t="s">
        <v>1148</v>
      </c>
      <c r="K139" s="959"/>
      <c r="L139" s="959"/>
      <c r="M139" s="959"/>
      <c r="N139" s="959"/>
      <c r="O139" s="959"/>
      <c r="P139" s="959"/>
      <c r="Q139" s="959"/>
      <c r="R139" s="959"/>
      <c r="S139" s="959"/>
      <c r="T139" s="959"/>
      <c r="U139" s="959"/>
      <c r="V139" s="959"/>
      <c r="W139" s="959"/>
      <c r="X139" s="959"/>
      <c r="Y139" s="959"/>
      <c r="Z139" s="959"/>
    </row>
    <row r="140">
      <c r="A140" s="976" t="s">
        <v>1897</v>
      </c>
      <c r="B140" s="976">
        <v>20.0</v>
      </c>
      <c r="C140" s="976" t="s">
        <v>1898</v>
      </c>
      <c r="D140" s="976">
        <v>0.0</v>
      </c>
      <c r="E140" s="976" t="s">
        <v>1899</v>
      </c>
      <c r="F140" s="976">
        <v>10.0</v>
      </c>
      <c r="G140" s="976" t="s">
        <v>420</v>
      </c>
      <c r="H140" s="976" t="s">
        <v>1900</v>
      </c>
      <c r="I140" s="976" t="s">
        <v>382</v>
      </c>
      <c r="J140" s="1000" t="s">
        <v>1901</v>
      </c>
      <c r="K140" s="958" t="s">
        <v>1797</v>
      </c>
      <c r="L140" s="959"/>
      <c r="M140" s="959"/>
      <c r="N140" s="959"/>
      <c r="O140" s="959"/>
      <c r="P140" s="959"/>
      <c r="Q140" s="959"/>
      <c r="R140" s="959"/>
      <c r="S140" s="959"/>
      <c r="T140" s="959"/>
      <c r="U140" s="959"/>
      <c r="V140" s="959"/>
      <c r="W140" s="959"/>
      <c r="X140" s="959"/>
      <c r="Y140" s="959"/>
      <c r="Z140" s="959"/>
    </row>
    <row r="141">
      <c r="A141" s="976" t="s">
        <v>1782</v>
      </c>
      <c r="B141" s="976">
        <v>20.0</v>
      </c>
      <c r="C141" s="976" t="s">
        <v>642</v>
      </c>
      <c r="D141" s="976" t="s">
        <v>642</v>
      </c>
      <c r="E141" s="976" t="s">
        <v>1817</v>
      </c>
      <c r="F141" s="976">
        <v>10.0</v>
      </c>
      <c r="G141" s="976" t="s">
        <v>420</v>
      </c>
      <c r="H141" s="976" t="s">
        <v>1900</v>
      </c>
      <c r="I141" s="976" t="s">
        <v>382</v>
      </c>
      <c r="J141" s="1000" t="s">
        <v>1902</v>
      </c>
      <c r="K141" s="959"/>
      <c r="L141" s="959"/>
      <c r="M141" s="959"/>
      <c r="N141" s="959"/>
      <c r="O141" s="959"/>
      <c r="P141" s="959"/>
      <c r="Q141" s="959"/>
      <c r="R141" s="959"/>
      <c r="S141" s="959"/>
      <c r="T141" s="959"/>
      <c r="U141" s="959"/>
      <c r="V141" s="959"/>
      <c r="W141" s="959"/>
      <c r="X141" s="959"/>
      <c r="Y141" s="959"/>
      <c r="Z141" s="959"/>
    </row>
    <row r="142">
      <c r="A142" s="970" t="s">
        <v>1903</v>
      </c>
      <c r="K142" s="959"/>
      <c r="L142" s="959"/>
      <c r="M142" s="959"/>
      <c r="N142" s="959"/>
      <c r="O142" s="959"/>
      <c r="P142" s="959"/>
      <c r="Q142" s="959"/>
      <c r="R142" s="959"/>
      <c r="S142" s="959"/>
      <c r="T142" s="959"/>
      <c r="U142" s="959"/>
      <c r="V142" s="959"/>
      <c r="W142" s="959"/>
      <c r="X142" s="959"/>
      <c r="Y142" s="959"/>
      <c r="Z142" s="959"/>
    </row>
    <row r="143">
      <c r="A143" s="971" t="s">
        <v>1766</v>
      </c>
      <c r="B143" s="971" t="s">
        <v>1871</v>
      </c>
      <c r="C143" s="971" t="s">
        <v>1768</v>
      </c>
      <c r="D143" s="971" t="s">
        <v>1769</v>
      </c>
      <c r="E143" s="971" t="s">
        <v>1770</v>
      </c>
      <c r="F143" s="971" t="s">
        <v>1771</v>
      </c>
      <c r="G143" s="971" t="s">
        <v>604</v>
      </c>
      <c r="H143" s="971" t="s">
        <v>1772</v>
      </c>
      <c r="I143" s="971" t="s">
        <v>1773</v>
      </c>
      <c r="J143" s="971" t="s">
        <v>618</v>
      </c>
      <c r="K143" s="959"/>
      <c r="L143" s="959"/>
      <c r="M143" s="959"/>
      <c r="N143" s="959"/>
      <c r="O143" s="959"/>
      <c r="P143" s="959"/>
      <c r="Q143" s="959"/>
      <c r="R143" s="959"/>
      <c r="S143" s="959"/>
      <c r="T143" s="959"/>
      <c r="U143" s="959"/>
      <c r="V143" s="959"/>
      <c r="W143" s="959"/>
      <c r="X143" s="959"/>
      <c r="Y143" s="959"/>
      <c r="Z143" s="959"/>
    </row>
    <row r="144">
      <c r="A144" s="978" t="s">
        <v>1782</v>
      </c>
      <c r="B144" s="978">
        <v>13.0</v>
      </c>
      <c r="C144" s="978" t="s">
        <v>642</v>
      </c>
      <c r="D144" s="978" t="s">
        <v>642</v>
      </c>
      <c r="E144" s="978" t="s">
        <v>1876</v>
      </c>
      <c r="F144" s="978">
        <v>6.0</v>
      </c>
      <c r="G144" s="978" t="s">
        <v>564</v>
      </c>
      <c r="H144" s="978" t="s">
        <v>1904</v>
      </c>
      <c r="I144" s="978" t="s">
        <v>1874</v>
      </c>
      <c r="J144" s="1008" t="s">
        <v>1905</v>
      </c>
      <c r="K144" s="980"/>
      <c r="L144" s="980"/>
      <c r="M144" s="980"/>
      <c r="N144" s="980"/>
      <c r="O144" s="980"/>
      <c r="P144" s="980"/>
      <c r="Q144" s="980"/>
      <c r="R144" s="980"/>
      <c r="S144" s="980"/>
      <c r="T144" s="980"/>
      <c r="U144" s="980"/>
      <c r="V144" s="980"/>
      <c r="W144" s="980"/>
      <c r="X144" s="980"/>
      <c r="Y144" s="980"/>
      <c r="Z144" s="980"/>
    </row>
    <row r="145">
      <c r="A145" s="958"/>
      <c r="B145" s="958" t="s">
        <v>150</v>
      </c>
      <c r="C145" s="959"/>
      <c r="D145" s="959"/>
      <c r="E145" s="959"/>
      <c r="F145" s="959"/>
      <c r="G145" s="959"/>
      <c r="H145" s="959"/>
      <c r="I145" s="959"/>
      <c r="J145" s="959"/>
      <c r="K145" s="959"/>
      <c r="L145" s="959"/>
      <c r="M145" s="959"/>
      <c r="N145" s="959"/>
      <c r="O145" s="959"/>
      <c r="P145" s="959"/>
      <c r="Q145" s="959"/>
      <c r="R145" s="959"/>
      <c r="S145" s="959"/>
      <c r="T145" s="959"/>
      <c r="U145" s="959"/>
      <c r="V145" s="959"/>
      <c r="W145" s="959"/>
      <c r="X145" s="959"/>
      <c r="Y145" s="959"/>
      <c r="Z145" s="959"/>
    </row>
    <row r="146">
      <c r="A146" s="958"/>
      <c r="B146" s="959"/>
      <c r="C146" s="959"/>
      <c r="D146" s="959"/>
      <c r="E146" s="959"/>
      <c r="F146" s="959"/>
      <c r="G146" s="959"/>
      <c r="H146" s="959"/>
      <c r="I146" s="959"/>
      <c r="J146" s="959"/>
      <c r="K146" s="959"/>
      <c r="L146" s="959"/>
      <c r="M146" s="959"/>
      <c r="N146" s="959"/>
      <c r="O146" s="959"/>
      <c r="P146" s="959"/>
      <c r="Q146" s="959"/>
      <c r="R146" s="959"/>
      <c r="S146" s="959"/>
      <c r="T146" s="959"/>
      <c r="U146" s="959"/>
      <c r="V146" s="959"/>
      <c r="W146" s="959"/>
      <c r="X146" s="959"/>
      <c r="Y146" s="959"/>
      <c r="Z146" s="959"/>
    </row>
    <row r="147">
      <c r="A147" s="958"/>
      <c r="B147" s="959"/>
      <c r="C147" s="959"/>
      <c r="D147" s="959"/>
      <c r="E147" s="959"/>
      <c r="F147" s="959"/>
      <c r="G147" s="959"/>
      <c r="H147" s="959"/>
      <c r="I147" s="959"/>
      <c r="J147" s="959"/>
      <c r="K147" s="959"/>
      <c r="L147" s="959"/>
      <c r="M147" s="959"/>
      <c r="N147" s="959"/>
      <c r="O147" s="959"/>
      <c r="P147" s="959"/>
      <c r="Q147" s="959"/>
      <c r="R147" s="959"/>
      <c r="S147" s="959"/>
      <c r="T147" s="959"/>
      <c r="U147" s="959"/>
      <c r="V147" s="959"/>
      <c r="W147" s="959"/>
      <c r="X147" s="959"/>
      <c r="Y147" s="959"/>
      <c r="Z147" s="959"/>
    </row>
    <row r="148">
      <c r="A148" s="958"/>
      <c r="B148" s="959"/>
      <c r="C148" s="959"/>
      <c r="D148" s="959"/>
      <c r="E148" s="959"/>
      <c r="F148" s="959"/>
      <c r="G148" s="959"/>
      <c r="H148" s="959"/>
      <c r="I148" s="959"/>
      <c r="J148" s="959"/>
      <c r="K148" s="959"/>
      <c r="L148" s="959"/>
      <c r="M148" s="959"/>
      <c r="N148" s="959"/>
      <c r="O148" s="959"/>
      <c r="P148" s="959"/>
      <c r="Q148" s="959"/>
      <c r="R148" s="959"/>
      <c r="S148" s="959"/>
      <c r="T148" s="959"/>
      <c r="U148" s="959"/>
      <c r="V148" s="959"/>
      <c r="W148" s="959"/>
      <c r="X148" s="959"/>
      <c r="Y148" s="959"/>
      <c r="Z148" s="959"/>
    </row>
    <row r="149">
      <c r="A149" s="958"/>
      <c r="B149" s="959"/>
      <c r="C149" s="959"/>
      <c r="D149" s="959"/>
      <c r="E149" s="959"/>
      <c r="F149" s="959"/>
      <c r="G149" s="959"/>
      <c r="H149" s="959"/>
      <c r="I149" s="959"/>
      <c r="J149" s="959"/>
      <c r="K149" s="959"/>
      <c r="L149" s="959"/>
      <c r="M149" s="959"/>
      <c r="N149" s="959"/>
      <c r="O149" s="959"/>
      <c r="P149" s="959"/>
      <c r="Q149" s="959"/>
      <c r="R149" s="959"/>
      <c r="S149" s="959"/>
      <c r="T149" s="959"/>
      <c r="U149" s="959"/>
      <c r="V149" s="959"/>
      <c r="W149" s="959"/>
      <c r="X149" s="959"/>
      <c r="Y149" s="959"/>
      <c r="Z149" s="959"/>
    </row>
    <row r="150">
      <c r="A150" s="958"/>
      <c r="B150" s="959"/>
      <c r="C150" s="959"/>
      <c r="D150" s="959"/>
      <c r="E150" s="959"/>
      <c r="F150" s="959"/>
      <c r="G150" s="959"/>
      <c r="H150" s="959"/>
      <c r="I150" s="959"/>
      <c r="J150" s="959"/>
      <c r="K150" s="959"/>
      <c r="L150" s="959"/>
      <c r="M150" s="959"/>
      <c r="N150" s="959"/>
      <c r="O150" s="959"/>
      <c r="P150" s="959"/>
      <c r="Q150" s="959"/>
      <c r="R150" s="959"/>
      <c r="S150" s="959"/>
      <c r="T150" s="959"/>
      <c r="U150" s="959"/>
      <c r="V150" s="959"/>
      <c r="W150" s="959"/>
      <c r="X150" s="959"/>
      <c r="Y150" s="959"/>
      <c r="Z150" s="959"/>
    </row>
    <row r="151">
      <c r="A151" s="1012" t="s">
        <v>1906</v>
      </c>
      <c r="K151" s="959"/>
      <c r="L151" s="959"/>
      <c r="M151" s="959"/>
      <c r="N151" s="959"/>
      <c r="O151" s="959"/>
      <c r="P151" s="959"/>
      <c r="Q151" s="959"/>
      <c r="R151" s="959"/>
      <c r="S151" s="959"/>
      <c r="T151" s="959"/>
      <c r="U151" s="959"/>
      <c r="V151" s="959"/>
      <c r="W151" s="959"/>
      <c r="X151" s="959"/>
      <c r="Y151" s="959"/>
      <c r="Z151" s="959"/>
    </row>
    <row r="152">
      <c r="A152" s="1013" t="s">
        <v>1766</v>
      </c>
      <c r="B152" s="1013" t="s">
        <v>1871</v>
      </c>
      <c r="C152" s="1013" t="s">
        <v>1768</v>
      </c>
      <c r="D152" s="1013" t="s">
        <v>1769</v>
      </c>
      <c r="E152" s="1013" t="s">
        <v>1770</v>
      </c>
      <c r="F152" s="1013" t="s">
        <v>1771</v>
      </c>
      <c r="G152" s="1013" t="s">
        <v>604</v>
      </c>
      <c r="H152" s="1013" t="s">
        <v>1772</v>
      </c>
      <c r="I152" s="1013" t="s">
        <v>1773</v>
      </c>
      <c r="J152" s="1013" t="s">
        <v>618</v>
      </c>
      <c r="K152" s="959"/>
      <c r="L152" s="959"/>
      <c r="M152" s="959"/>
      <c r="N152" s="959"/>
      <c r="O152" s="959"/>
      <c r="P152" s="959"/>
      <c r="Q152" s="959"/>
      <c r="R152" s="959"/>
      <c r="S152" s="959"/>
      <c r="T152" s="959"/>
      <c r="U152" s="959"/>
      <c r="V152" s="959"/>
      <c r="W152" s="959"/>
      <c r="X152" s="959"/>
      <c r="Y152" s="959"/>
      <c r="Z152" s="959"/>
    </row>
    <row r="153">
      <c r="A153" s="976" t="s">
        <v>1778</v>
      </c>
      <c r="B153" s="976">
        <v>32.0</v>
      </c>
      <c r="C153" s="976" t="s">
        <v>1907</v>
      </c>
      <c r="D153" s="976"/>
      <c r="E153" s="976" t="s">
        <v>1908</v>
      </c>
      <c r="F153" s="976">
        <v>25.0</v>
      </c>
      <c r="G153" s="976" t="s">
        <v>1121</v>
      </c>
      <c r="H153" s="976"/>
      <c r="I153" s="976" t="s">
        <v>508</v>
      </c>
      <c r="J153" s="1000" t="s">
        <v>1909</v>
      </c>
      <c r="K153" s="959"/>
      <c r="L153" s="959"/>
      <c r="M153" s="959"/>
      <c r="N153" s="959"/>
      <c r="O153" s="959"/>
      <c r="P153" s="959"/>
      <c r="Q153" s="959"/>
      <c r="R153" s="959"/>
      <c r="S153" s="959"/>
      <c r="T153" s="959"/>
      <c r="U153" s="959"/>
      <c r="V153" s="959"/>
      <c r="W153" s="959"/>
      <c r="X153" s="959"/>
      <c r="Y153" s="959"/>
      <c r="Z153" s="959"/>
    </row>
    <row r="154">
      <c r="A154" s="976"/>
      <c r="B154" s="976">
        <v>32.0</v>
      </c>
      <c r="C154" s="976" t="s">
        <v>1910</v>
      </c>
      <c r="D154" s="976"/>
      <c r="E154" s="976" t="s">
        <v>1908</v>
      </c>
      <c r="F154" s="976">
        <v>25.0</v>
      </c>
      <c r="G154" s="976" t="s">
        <v>1121</v>
      </c>
      <c r="H154" s="976"/>
      <c r="I154" s="976" t="s">
        <v>508</v>
      </c>
      <c r="J154" s="1000" t="s">
        <v>1911</v>
      </c>
      <c r="K154" s="959"/>
      <c r="L154" s="959"/>
      <c r="M154" s="959"/>
      <c r="N154" s="959"/>
      <c r="O154" s="959"/>
      <c r="P154" s="959"/>
      <c r="Q154" s="959"/>
      <c r="R154" s="959"/>
      <c r="S154" s="959"/>
      <c r="T154" s="959"/>
      <c r="U154" s="959"/>
      <c r="V154" s="959"/>
      <c r="W154" s="959"/>
      <c r="X154" s="959"/>
      <c r="Y154" s="959"/>
      <c r="Z154" s="959"/>
    </row>
    <row r="155">
      <c r="A155" s="976" t="s">
        <v>1816</v>
      </c>
      <c r="B155" s="976"/>
      <c r="C155" s="976"/>
      <c r="D155" s="983"/>
      <c r="E155" s="976" t="s">
        <v>1912</v>
      </c>
      <c r="F155" s="976">
        <v>100.0</v>
      </c>
      <c r="G155" s="976" t="s">
        <v>1121</v>
      </c>
      <c r="H155" s="983"/>
      <c r="I155" s="976" t="s">
        <v>508</v>
      </c>
      <c r="J155" s="977" t="s">
        <v>1913</v>
      </c>
      <c r="K155" s="959"/>
      <c r="L155" s="959"/>
      <c r="M155" s="959"/>
      <c r="N155" s="959"/>
      <c r="O155" s="959"/>
      <c r="P155" s="959"/>
      <c r="Q155" s="959"/>
      <c r="R155" s="959"/>
      <c r="S155" s="959"/>
      <c r="T155" s="959"/>
      <c r="U155" s="959"/>
      <c r="V155" s="959"/>
      <c r="W155" s="959"/>
      <c r="X155" s="959"/>
      <c r="Y155" s="959"/>
      <c r="Z155" s="959"/>
    </row>
    <row r="156">
      <c r="A156" s="976" t="s">
        <v>1782</v>
      </c>
      <c r="B156" s="976">
        <v>32.0</v>
      </c>
      <c r="C156" s="983"/>
      <c r="D156" s="983"/>
      <c r="E156" s="976" t="s">
        <v>1914</v>
      </c>
      <c r="F156" s="976">
        <v>100.0</v>
      </c>
      <c r="G156" s="976" t="s">
        <v>1121</v>
      </c>
      <c r="H156" s="983"/>
      <c r="I156" s="976" t="s">
        <v>508</v>
      </c>
      <c r="J156" s="977" t="s">
        <v>1915</v>
      </c>
      <c r="K156" s="959"/>
      <c r="L156" s="959"/>
      <c r="M156" s="959"/>
      <c r="N156" s="959"/>
      <c r="O156" s="959"/>
      <c r="P156" s="959"/>
      <c r="Q156" s="959"/>
      <c r="R156" s="959"/>
      <c r="S156" s="959"/>
      <c r="T156" s="959"/>
      <c r="U156" s="959"/>
      <c r="V156" s="959"/>
      <c r="W156" s="959"/>
      <c r="X156" s="959"/>
      <c r="Y156" s="959"/>
      <c r="Z156" s="959"/>
    </row>
    <row r="157">
      <c r="A157" s="958"/>
      <c r="B157" s="959"/>
      <c r="C157" s="959"/>
      <c r="D157" s="959"/>
      <c r="E157" s="959"/>
      <c r="F157" s="959"/>
      <c r="G157" s="959"/>
      <c r="H157" s="959"/>
      <c r="I157" s="959"/>
      <c r="J157" s="959"/>
      <c r="K157" s="959"/>
      <c r="L157" s="959"/>
      <c r="M157" s="959"/>
      <c r="N157" s="959"/>
      <c r="O157" s="959"/>
      <c r="P157" s="959"/>
      <c r="Q157" s="959"/>
      <c r="R157" s="959"/>
      <c r="S157" s="959"/>
      <c r="T157" s="959"/>
      <c r="U157" s="959"/>
      <c r="V157" s="959"/>
      <c r="W157" s="959"/>
      <c r="X157" s="959"/>
      <c r="Y157" s="959"/>
      <c r="Z157" s="959"/>
    </row>
    <row r="158">
      <c r="A158" s="958"/>
      <c r="B158" s="959"/>
      <c r="C158" s="959"/>
      <c r="D158" s="959"/>
      <c r="E158" s="959"/>
      <c r="F158" s="959"/>
      <c r="G158" s="959"/>
      <c r="H158" s="959"/>
      <c r="I158" s="959"/>
      <c r="J158" s="959"/>
      <c r="K158" s="959"/>
      <c r="L158" s="959"/>
      <c r="M158" s="959"/>
      <c r="N158" s="959"/>
      <c r="O158" s="959"/>
      <c r="P158" s="959"/>
      <c r="Q158" s="959"/>
      <c r="R158" s="959"/>
      <c r="S158" s="959"/>
      <c r="T158" s="959"/>
      <c r="U158" s="959"/>
      <c r="V158" s="959"/>
      <c r="W158" s="959"/>
      <c r="X158" s="959"/>
      <c r="Y158" s="959"/>
      <c r="Z158" s="959"/>
    </row>
    <row r="159">
      <c r="A159" s="958"/>
      <c r="B159" s="959"/>
      <c r="C159" s="959"/>
      <c r="D159" s="959"/>
      <c r="E159" s="959"/>
      <c r="F159" s="959"/>
      <c r="G159" s="959"/>
      <c r="H159" s="959"/>
      <c r="I159" s="959"/>
      <c r="J159" s="959"/>
      <c r="K159" s="959"/>
      <c r="L159" s="959"/>
      <c r="M159" s="959"/>
      <c r="N159" s="959"/>
      <c r="O159" s="959"/>
      <c r="P159" s="959"/>
      <c r="Q159" s="959"/>
      <c r="R159" s="959"/>
      <c r="S159" s="959"/>
      <c r="T159" s="959"/>
      <c r="U159" s="959"/>
      <c r="V159" s="959"/>
      <c r="W159" s="959"/>
      <c r="X159" s="959"/>
      <c r="Y159" s="959"/>
      <c r="Z159" s="959"/>
    </row>
    <row r="160">
      <c r="A160" s="959"/>
      <c r="B160" s="959"/>
      <c r="C160" s="959"/>
      <c r="D160" s="959"/>
      <c r="E160" s="959"/>
      <c r="F160" s="959"/>
      <c r="G160" s="959"/>
      <c r="H160" s="959"/>
      <c r="I160" s="959"/>
      <c r="J160" s="959"/>
      <c r="K160" s="959"/>
      <c r="L160" s="959"/>
      <c r="M160" s="959"/>
      <c r="N160" s="959"/>
      <c r="O160" s="959"/>
      <c r="P160" s="959"/>
      <c r="Q160" s="959"/>
      <c r="R160" s="959"/>
      <c r="S160" s="959"/>
      <c r="T160" s="959"/>
      <c r="U160" s="959"/>
      <c r="V160" s="959"/>
      <c r="W160" s="959"/>
      <c r="X160" s="959"/>
      <c r="Y160" s="959"/>
      <c r="Z160" s="959"/>
    </row>
    <row r="161">
      <c r="A161" s="959"/>
      <c r="B161" s="959"/>
      <c r="C161" s="959"/>
      <c r="D161" s="959"/>
      <c r="E161" s="959"/>
      <c r="F161" s="959"/>
      <c r="G161" s="959"/>
      <c r="H161" s="959"/>
      <c r="I161" s="959"/>
      <c r="J161" s="959"/>
      <c r="K161" s="959"/>
      <c r="L161" s="959"/>
      <c r="M161" s="959"/>
      <c r="N161" s="959"/>
      <c r="O161" s="959"/>
      <c r="P161" s="959"/>
      <c r="Q161" s="959"/>
      <c r="R161" s="959"/>
      <c r="S161" s="959"/>
      <c r="T161" s="959"/>
      <c r="U161" s="959"/>
      <c r="V161" s="959"/>
      <c r="W161" s="959"/>
      <c r="X161" s="959"/>
      <c r="Y161" s="959"/>
      <c r="Z161" s="959"/>
    </row>
    <row r="162">
      <c r="A162" s="959"/>
      <c r="B162" s="959"/>
      <c r="C162" s="959"/>
      <c r="D162" s="959"/>
      <c r="E162" s="959"/>
      <c r="F162" s="959"/>
      <c r="G162" s="959"/>
      <c r="H162" s="959"/>
      <c r="I162" s="959"/>
      <c r="J162" s="959"/>
      <c r="K162" s="959"/>
      <c r="L162" s="959"/>
      <c r="M162" s="959"/>
      <c r="N162" s="959"/>
      <c r="O162" s="959"/>
      <c r="P162" s="959"/>
      <c r="Q162" s="959"/>
      <c r="R162" s="959"/>
      <c r="S162" s="959"/>
      <c r="T162" s="959"/>
      <c r="U162" s="959"/>
      <c r="V162" s="959"/>
      <c r="W162" s="959"/>
      <c r="X162" s="959"/>
      <c r="Y162" s="959"/>
      <c r="Z162" s="959"/>
    </row>
    <row r="163">
      <c r="A163" s="959"/>
      <c r="B163" s="959"/>
      <c r="C163" s="959"/>
      <c r="D163" s="959"/>
      <c r="E163" s="959"/>
      <c r="F163" s="959"/>
      <c r="G163" s="959"/>
      <c r="H163" s="959"/>
      <c r="I163" s="959"/>
      <c r="J163" s="959"/>
      <c r="K163" s="959"/>
      <c r="L163" s="959"/>
      <c r="M163" s="959"/>
      <c r="N163" s="959"/>
      <c r="O163" s="959"/>
      <c r="P163" s="959"/>
      <c r="Q163" s="959"/>
      <c r="R163" s="959"/>
      <c r="S163" s="959"/>
      <c r="T163" s="959"/>
      <c r="U163" s="959"/>
      <c r="V163" s="959"/>
      <c r="W163" s="959"/>
      <c r="X163" s="959"/>
      <c r="Y163" s="959"/>
      <c r="Z163" s="959"/>
    </row>
    <row r="164">
      <c r="A164" s="959"/>
      <c r="B164" s="959"/>
      <c r="C164" s="959"/>
      <c r="D164" s="959"/>
      <c r="E164" s="959"/>
      <c r="F164" s="959"/>
      <c r="G164" s="959"/>
      <c r="H164" s="959"/>
      <c r="I164" s="959"/>
      <c r="J164" s="959"/>
      <c r="K164" s="959"/>
      <c r="L164" s="959"/>
      <c r="M164" s="959"/>
      <c r="N164" s="959"/>
      <c r="O164" s="959"/>
      <c r="P164" s="959"/>
      <c r="Q164" s="959"/>
      <c r="R164" s="959"/>
      <c r="S164" s="959"/>
      <c r="T164" s="959"/>
      <c r="U164" s="959"/>
      <c r="V164" s="959"/>
      <c r="W164" s="959"/>
      <c r="X164" s="959"/>
      <c r="Y164" s="959"/>
      <c r="Z164" s="959"/>
    </row>
    <row r="165">
      <c r="A165" s="959"/>
      <c r="B165" s="959"/>
      <c r="C165" s="959"/>
      <c r="D165" s="959"/>
      <c r="E165" s="959"/>
      <c r="F165" s="959"/>
      <c r="G165" s="959"/>
      <c r="H165" s="959"/>
      <c r="I165" s="959"/>
      <c r="J165" s="959"/>
      <c r="K165" s="959"/>
      <c r="L165" s="959"/>
      <c r="M165" s="959"/>
      <c r="N165" s="959"/>
      <c r="O165" s="959"/>
      <c r="P165" s="959"/>
      <c r="Q165" s="959"/>
      <c r="R165" s="959"/>
      <c r="S165" s="959"/>
      <c r="T165" s="959"/>
      <c r="U165" s="959"/>
      <c r="V165" s="959"/>
      <c r="W165" s="959"/>
      <c r="X165" s="959"/>
      <c r="Y165" s="959"/>
      <c r="Z165" s="959"/>
    </row>
    <row r="166">
      <c r="A166" s="959"/>
      <c r="B166" s="959"/>
      <c r="C166" s="959"/>
      <c r="D166" s="959"/>
      <c r="E166" s="959"/>
      <c r="F166" s="959"/>
      <c r="G166" s="959"/>
      <c r="H166" s="959"/>
      <c r="I166" s="959"/>
      <c r="J166" s="959"/>
      <c r="K166" s="959"/>
      <c r="L166" s="959"/>
      <c r="M166" s="959"/>
      <c r="N166" s="959"/>
      <c r="O166" s="959"/>
      <c r="P166" s="959"/>
      <c r="Q166" s="959"/>
      <c r="R166" s="959"/>
      <c r="S166" s="959"/>
      <c r="T166" s="959"/>
      <c r="U166" s="959"/>
      <c r="V166" s="959"/>
      <c r="W166" s="959"/>
      <c r="X166" s="959"/>
      <c r="Y166" s="959"/>
      <c r="Z166" s="959"/>
    </row>
    <row r="167">
      <c r="A167" s="959"/>
      <c r="B167" s="959"/>
      <c r="C167" s="959"/>
      <c r="D167" s="959"/>
      <c r="E167" s="959"/>
      <c r="F167" s="959"/>
      <c r="G167" s="959"/>
      <c r="H167" s="959"/>
      <c r="I167" s="959"/>
      <c r="J167" s="959"/>
      <c r="K167" s="959"/>
      <c r="L167" s="959"/>
      <c r="M167" s="959"/>
      <c r="N167" s="959"/>
      <c r="O167" s="959"/>
      <c r="P167" s="959"/>
      <c r="Q167" s="959"/>
      <c r="R167" s="959"/>
      <c r="S167" s="959"/>
      <c r="T167" s="959"/>
      <c r="U167" s="959"/>
      <c r="V167" s="959"/>
      <c r="W167" s="959"/>
      <c r="X167" s="959"/>
      <c r="Y167" s="959"/>
      <c r="Z167" s="959"/>
    </row>
    <row r="168">
      <c r="A168" s="959"/>
      <c r="B168" s="959"/>
      <c r="C168" s="959"/>
      <c r="D168" s="959"/>
      <c r="E168" s="959"/>
      <c r="F168" s="959"/>
      <c r="G168" s="959"/>
      <c r="H168" s="959"/>
      <c r="I168" s="959"/>
      <c r="J168" s="959"/>
      <c r="K168" s="959"/>
      <c r="L168" s="959"/>
      <c r="M168" s="959"/>
      <c r="N168" s="959"/>
      <c r="O168" s="959"/>
      <c r="P168" s="959"/>
      <c r="Q168" s="959"/>
      <c r="R168" s="959"/>
      <c r="S168" s="959"/>
      <c r="T168" s="959"/>
      <c r="U168" s="959"/>
      <c r="V168" s="959"/>
      <c r="W168" s="959"/>
      <c r="X168" s="959"/>
      <c r="Y168" s="959"/>
      <c r="Z168" s="959"/>
    </row>
    <row r="169">
      <c r="A169" s="959"/>
      <c r="B169" s="959"/>
      <c r="C169" s="959"/>
      <c r="D169" s="959"/>
      <c r="E169" s="959"/>
      <c r="F169" s="959"/>
      <c r="G169" s="959"/>
      <c r="H169" s="959"/>
      <c r="I169" s="959"/>
      <c r="J169" s="959"/>
      <c r="K169" s="959"/>
      <c r="L169" s="959"/>
      <c r="M169" s="959"/>
      <c r="N169" s="959"/>
      <c r="O169" s="959"/>
      <c r="P169" s="959"/>
      <c r="Q169" s="959"/>
      <c r="R169" s="959"/>
      <c r="S169" s="959"/>
      <c r="T169" s="959"/>
      <c r="U169" s="959"/>
      <c r="V169" s="959"/>
      <c r="W169" s="959"/>
      <c r="X169" s="959"/>
      <c r="Y169" s="959"/>
      <c r="Z169" s="959"/>
    </row>
    <row r="170">
      <c r="A170" s="959"/>
      <c r="B170" s="959"/>
      <c r="C170" s="959"/>
      <c r="D170" s="959"/>
      <c r="E170" s="959"/>
      <c r="F170" s="959"/>
      <c r="G170" s="959"/>
      <c r="H170" s="959"/>
      <c r="I170" s="959"/>
      <c r="J170" s="959"/>
      <c r="K170" s="959"/>
      <c r="L170" s="959"/>
      <c r="M170" s="959"/>
      <c r="N170" s="959"/>
      <c r="O170" s="959"/>
      <c r="P170" s="959"/>
      <c r="Q170" s="959"/>
      <c r="R170" s="959"/>
      <c r="S170" s="959"/>
      <c r="T170" s="959"/>
      <c r="U170" s="959"/>
      <c r="V170" s="959"/>
      <c r="W170" s="959"/>
      <c r="X170" s="959"/>
      <c r="Y170" s="959"/>
      <c r="Z170" s="959"/>
    </row>
    <row r="171">
      <c r="A171" s="959"/>
      <c r="B171" s="959"/>
      <c r="C171" s="959"/>
      <c r="D171" s="959"/>
      <c r="E171" s="959"/>
      <c r="F171" s="959"/>
      <c r="G171" s="959"/>
      <c r="H171" s="959"/>
      <c r="I171" s="959"/>
      <c r="J171" s="959"/>
      <c r="K171" s="959"/>
      <c r="L171" s="959"/>
      <c r="M171" s="959"/>
      <c r="N171" s="959"/>
      <c r="O171" s="959"/>
      <c r="P171" s="959"/>
      <c r="Q171" s="959"/>
      <c r="R171" s="959"/>
      <c r="S171" s="959"/>
      <c r="T171" s="959"/>
      <c r="U171" s="959"/>
      <c r="V171" s="959"/>
      <c r="W171" s="959"/>
      <c r="X171" s="959"/>
      <c r="Y171" s="959"/>
      <c r="Z171" s="959"/>
    </row>
    <row r="172">
      <c r="A172" s="959"/>
      <c r="B172" s="959"/>
      <c r="C172" s="959"/>
      <c r="D172" s="959"/>
      <c r="E172" s="959"/>
      <c r="F172" s="959"/>
      <c r="G172" s="959"/>
      <c r="H172" s="959"/>
      <c r="I172" s="959"/>
      <c r="J172" s="959"/>
      <c r="K172" s="959"/>
      <c r="L172" s="959"/>
      <c r="M172" s="959"/>
      <c r="N172" s="959"/>
      <c r="O172" s="959"/>
      <c r="P172" s="959"/>
      <c r="Q172" s="959"/>
      <c r="R172" s="959"/>
      <c r="S172" s="959"/>
      <c r="T172" s="959"/>
      <c r="U172" s="959"/>
      <c r="V172" s="959"/>
      <c r="W172" s="959"/>
      <c r="X172" s="959"/>
      <c r="Y172" s="959"/>
      <c r="Z172" s="959"/>
    </row>
    <row r="173">
      <c r="A173" s="959"/>
      <c r="B173" s="959"/>
      <c r="C173" s="959"/>
      <c r="D173" s="959"/>
      <c r="E173" s="959"/>
      <c r="F173" s="959"/>
      <c r="G173" s="959"/>
      <c r="H173" s="959"/>
      <c r="I173" s="959"/>
      <c r="J173" s="959"/>
      <c r="K173" s="959"/>
      <c r="L173" s="959"/>
      <c r="M173" s="959"/>
      <c r="N173" s="959"/>
      <c r="O173" s="959"/>
      <c r="P173" s="959"/>
      <c r="Q173" s="959"/>
      <c r="R173" s="959"/>
      <c r="S173" s="959"/>
      <c r="T173" s="959"/>
      <c r="U173" s="959"/>
      <c r="V173" s="959"/>
      <c r="W173" s="959"/>
      <c r="X173" s="959"/>
      <c r="Y173" s="959"/>
      <c r="Z173" s="959"/>
    </row>
    <row r="174">
      <c r="A174" s="959"/>
      <c r="B174" s="959"/>
      <c r="C174" s="959"/>
      <c r="D174" s="959"/>
      <c r="E174" s="959"/>
      <c r="F174" s="959"/>
      <c r="G174" s="959"/>
      <c r="H174" s="959"/>
      <c r="I174" s="959"/>
      <c r="J174" s="959"/>
      <c r="K174" s="959"/>
      <c r="L174" s="959"/>
      <c r="M174" s="959"/>
      <c r="N174" s="959"/>
      <c r="O174" s="959"/>
      <c r="P174" s="959"/>
      <c r="Q174" s="959"/>
      <c r="R174" s="959"/>
      <c r="S174" s="959"/>
      <c r="T174" s="959"/>
      <c r="U174" s="959"/>
      <c r="V174" s="959"/>
      <c r="W174" s="959"/>
      <c r="X174" s="959"/>
      <c r="Y174" s="959"/>
      <c r="Z174" s="959"/>
    </row>
    <row r="175">
      <c r="A175" s="959"/>
      <c r="B175" s="959"/>
      <c r="C175" s="959"/>
      <c r="D175" s="959"/>
      <c r="E175" s="959"/>
      <c r="F175" s="959"/>
      <c r="G175" s="959"/>
      <c r="H175" s="959"/>
      <c r="I175" s="959"/>
      <c r="J175" s="959"/>
      <c r="K175" s="959"/>
      <c r="L175" s="959"/>
      <c r="M175" s="959"/>
      <c r="N175" s="959"/>
      <c r="O175" s="959"/>
      <c r="P175" s="959"/>
      <c r="Q175" s="959"/>
      <c r="R175" s="959"/>
      <c r="S175" s="959"/>
      <c r="T175" s="959"/>
      <c r="U175" s="959"/>
      <c r="V175" s="959"/>
      <c r="W175" s="959"/>
      <c r="X175" s="959"/>
      <c r="Y175" s="959"/>
      <c r="Z175" s="959"/>
    </row>
    <row r="176">
      <c r="A176" s="959"/>
      <c r="B176" s="959"/>
      <c r="C176" s="959"/>
      <c r="D176" s="959"/>
      <c r="E176" s="959"/>
      <c r="F176" s="959"/>
      <c r="G176" s="959"/>
      <c r="H176" s="959"/>
      <c r="I176" s="959"/>
      <c r="J176" s="959"/>
      <c r="K176" s="959"/>
      <c r="L176" s="959"/>
      <c r="M176" s="959"/>
      <c r="N176" s="959"/>
      <c r="O176" s="959"/>
      <c r="P176" s="959"/>
      <c r="Q176" s="959"/>
      <c r="R176" s="959"/>
      <c r="S176" s="959"/>
      <c r="T176" s="959"/>
      <c r="U176" s="959"/>
      <c r="V176" s="959"/>
      <c r="W176" s="959"/>
      <c r="X176" s="959"/>
      <c r="Y176" s="959"/>
      <c r="Z176" s="959"/>
    </row>
    <row r="177">
      <c r="A177" s="959"/>
      <c r="B177" s="959"/>
      <c r="C177" s="959"/>
      <c r="D177" s="959"/>
      <c r="E177" s="959"/>
      <c r="F177" s="959"/>
      <c r="G177" s="959"/>
      <c r="H177" s="959"/>
      <c r="I177" s="959"/>
      <c r="J177" s="959"/>
      <c r="K177" s="959"/>
      <c r="L177" s="959"/>
      <c r="M177" s="959"/>
      <c r="N177" s="959"/>
      <c r="O177" s="959"/>
      <c r="P177" s="959"/>
      <c r="Q177" s="959"/>
      <c r="R177" s="959"/>
      <c r="S177" s="959"/>
      <c r="T177" s="959"/>
      <c r="U177" s="959"/>
      <c r="V177" s="959"/>
      <c r="W177" s="959"/>
      <c r="X177" s="959"/>
      <c r="Y177" s="959"/>
      <c r="Z177" s="959"/>
    </row>
    <row r="178">
      <c r="A178" s="959"/>
      <c r="B178" s="959"/>
      <c r="C178" s="959"/>
      <c r="D178" s="959"/>
      <c r="E178" s="959"/>
      <c r="F178" s="959"/>
      <c r="G178" s="959"/>
      <c r="H178" s="959"/>
      <c r="I178" s="959"/>
      <c r="J178" s="959"/>
      <c r="K178" s="959"/>
      <c r="L178" s="959"/>
      <c r="M178" s="959"/>
      <c r="N178" s="959"/>
      <c r="O178" s="959"/>
      <c r="P178" s="959"/>
      <c r="Q178" s="959"/>
      <c r="R178" s="959"/>
      <c r="S178" s="959"/>
      <c r="T178" s="959"/>
      <c r="U178" s="959"/>
      <c r="V178" s="959"/>
      <c r="W178" s="959"/>
      <c r="X178" s="959"/>
      <c r="Y178" s="959"/>
      <c r="Z178" s="959"/>
    </row>
    <row r="179">
      <c r="A179" s="959"/>
      <c r="B179" s="959"/>
      <c r="C179" s="959"/>
      <c r="D179" s="959"/>
      <c r="E179" s="959"/>
      <c r="F179" s="959"/>
      <c r="G179" s="959"/>
      <c r="H179" s="959"/>
      <c r="I179" s="959"/>
      <c r="J179" s="959"/>
      <c r="K179" s="959"/>
      <c r="L179" s="959"/>
      <c r="M179" s="959"/>
      <c r="N179" s="959"/>
      <c r="O179" s="959"/>
      <c r="P179" s="959"/>
      <c r="Q179" s="959"/>
      <c r="R179" s="959"/>
      <c r="S179" s="959"/>
      <c r="T179" s="959"/>
      <c r="U179" s="959"/>
      <c r="V179" s="959"/>
      <c r="W179" s="959"/>
      <c r="X179" s="959"/>
      <c r="Y179" s="959"/>
      <c r="Z179" s="959"/>
    </row>
    <row r="180">
      <c r="A180" s="959"/>
      <c r="B180" s="959"/>
      <c r="C180" s="959"/>
      <c r="D180" s="959"/>
      <c r="E180" s="959"/>
      <c r="F180" s="959"/>
      <c r="G180" s="959"/>
      <c r="H180" s="959"/>
      <c r="I180" s="959"/>
      <c r="J180" s="959"/>
      <c r="K180" s="959"/>
      <c r="L180" s="959"/>
      <c r="M180" s="959"/>
      <c r="N180" s="959"/>
      <c r="O180" s="959"/>
      <c r="P180" s="959"/>
      <c r="Q180" s="959"/>
      <c r="R180" s="959"/>
      <c r="S180" s="959"/>
      <c r="T180" s="959"/>
      <c r="U180" s="959"/>
      <c r="V180" s="959"/>
      <c r="W180" s="959"/>
      <c r="X180" s="959"/>
      <c r="Y180" s="959"/>
      <c r="Z180" s="959"/>
    </row>
    <row r="181">
      <c r="A181" s="959"/>
      <c r="B181" s="959"/>
      <c r="C181" s="959"/>
      <c r="D181" s="959"/>
      <c r="E181" s="959"/>
      <c r="F181" s="959"/>
      <c r="G181" s="959"/>
      <c r="H181" s="959"/>
      <c r="I181" s="959"/>
      <c r="J181" s="959"/>
      <c r="K181" s="959"/>
      <c r="L181" s="959"/>
      <c r="M181" s="959"/>
      <c r="N181" s="959"/>
      <c r="O181" s="959"/>
      <c r="P181" s="959"/>
      <c r="Q181" s="959"/>
      <c r="R181" s="959"/>
      <c r="S181" s="959"/>
      <c r="T181" s="959"/>
      <c r="U181" s="959"/>
      <c r="V181" s="959"/>
      <c r="W181" s="959"/>
      <c r="X181" s="959"/>
      <c r="Y181" s="959"/>
      <c r="Z181" s="959"/>
    </row>
    <row r="182">
      <c r="A182" s="959"/>
      <c r="B182" s="959"/>
      <c r="C182" s="959"/>
      <c r="D182" s="959"/>
      <c r="E182" s="959"/>
      <c r="F182" s="959"/>
      <c r="G182" s="959"/>
      <c r="H182" s="959"/>
      <c r="I182" s="959"/>
      <c r="J182" s="959"/>
      <c r="K182" s="959"/>
      <c r="L182" s="959"/>
      <c r="M182" s="959"/>
      <c r="N182" s="959"/>
      <c r="O182" s="959"/>
      <c r="P182" s="959"/>
      <c r="Q182" s="959"/>
      <c r="R182" s="959"/>
      <c r="S182" s="959"/>
      <c r="T182" s="959"/>
      <c r="U182" s="959"/>
      <c r="V182" s="959"/>
      <c r="W182" s="959"/>
      <c r="X182" s="959"/>
      <c r="Y182" s="959"/>
      <c r="Z182" s="959"/>
    </row>
    <row r="183">
      <c r="A183" s="959"/>
      <c r="B183" s="959"/>
      <c r="C183" s="959"/>
      <c r="D183" s="959"/>
      <c r="E183" s="959"/>
      <c r="F183" s="959"/>
      <c r="G183" s="959"/>
      <c r="H183" s="959"/>
      <c r="I183" s="959"/>
      <c r="J183" s="959"/>
      <c r="K183" s="959"/>
      <c r="L183" s="959"/>
      <c r="M183" s="959"/>
      <c r="N183" s="959"/>
      <c r="O183" s="959"/>
      <c r="P183" s="959"/>
      <c r="Q183" s="959"/>
      <c r="R183" s="959"/>
      <c r="S183" s="959"/>
      <c r="T183" s="959"/>
      <c r="U183" s="959"/>
      <c r="V183" s="959"/>
      <c r="W183" s="959"/>
      <c r="X183" s="959"/>
      <c r="Y183" s="959"/>
      <c r="Z183" s="959"/>
    </row>
    <row r="184">
      <c r="A184" s="959"/>
      <c r="B184" s="959"/>
      <c r="C184" s="959"/>
      <c r="D184" s="959"/>
      <c r="E184" s="959"/>
      <c r="F184" s="959"/>
      <c r="G184" s="959"/>
      <c r="H184" s="959"/>
      <c r="I184" s="959"/>
      <c r="J184" s="959"/>
      <c r="K184" s="959"/>
      <c r="L184" s="959"/>
      <c r="M184" s="959"/>
      <c r="N184" s="959"/>
      <c r="O184" s="959"/>
      <c r="P184" s="959"/>
      <c r="Q184" s="959"/>
      <c r="R184" s="959"/>
      <c r="S184" s="959"/>
      <c r="T184" s="959"/>
      <c r="U184" s="959"/>
      <c r="V184" s="959"/>
      <c r="W184" s="959"/>
      <c r="X184" s="959"/>
      <c r="Y184" s="959"/>
      <c r="Z184" s="959"/>
    </row>
    <row r="185">
      <c r="A185" s="959"/>
      <c r="B185" s="959"/>
      <c r="C185" s="959"/>
      <c r="D185" s="959"/>
      <c r="E185" s="959"/>
      <c r="F185" s="959"/>
      <c r="G185" s="959"/>
      <c r="H185" s="959"/>
      <c r="I185" s="959"/>
      <c r="J185" s="959"/>
      <c r="K185" s="959"/>
      <c r="L185" s="959"/>
      <c r="M185" s="959"/>
      <c r="N185" s="959"/>
      <c r="O185" s="959"/>
      <c r="P185" s="959"/>
      <c r="Q185" s="959"/>
      <c r="R185" s="959"/>
      <c r="S185" s="959"/>
      <c r="T185" s="959"/>
      <c r="U185" s="959"/>
      <c r="V185" s="959"/>
      <c r="W185" s="959"/>
      <c r="X185" s="959"/>
      <c r="Y185" s="959"/>
      <c r="Z185" s="959"/>
    </row>
    <row r="186">
      <c r="A186" s="959"/>
      <c r="B186" s="959"/>
      <c r="C186" s="959"/>
      <c r="D186" s="959"/>
      <c r="E186" s="959"/>
      <c r="F186" s="959"/>
      <c r="G186" s="959"/>
      <c r="H186" s="959"/>
      <c r="I186" s="959"/>
      <c r="J186" s="959"/>
      <c r="K186" s="959"/>
      <c r="L186" s="959"/>
      <c r="M186" s="959"/>
      <c r="N186" s="959"/>
      <c r="O186" s="959"/>
      <c r="P186" s="959"/>
      <c r="Q186" s="959"/>
      <c r="R186" s="959"/>
      <c r="S186" s="959"/>
      <c r="T186" s="959"/>
      <c r="U186" s="959"/>
      <c r="V186" s="959"/>
      <c r="W186" s="959"/>
      <c r="X186" s="959"/>
      <c r="Y186" s="959"/>
      <c r="Z186" s="959"/>
    </row>
    <row r="187">
      <c r="A187" s="959"/>
      <c r="B187" s="959"/>
      <c r="C187" s="959"/>
      <c r="D187" s="959"/>
      <c r="E187" s="959"/>
      <c r="F187" s="959"/>
      <c r="G187" s="959"/>
      <c r="H187" s="959"/>
      <c r="I187" s="959"/>
      <c r="J187" s="959"/>
      <c r="K187" s="959"/>
      <c r="L187" s="959"/>
      <c r="M187" s="959"/>
      <c r="N187" s="959"/>
      <c r="O187" s="959"/>
      <c r="P187" s="959"/>
      <c r="Q187" s="959"/>
      <c r="R187" s="959"/>
      <c r="S187" s="959"/>
      <c r="T187" s="959"/>
      <c r="U187" s="959"/>
      <c r="V187" s="959"/>
      <c r="W187" s="959"/>
      <c r="X187" s="959"/>
      <c r="Y187" s="959"/>
      <c r="Z187" s="959"/>
    </row>
    <row r="188">
      <c r="A188" s="959"/>
      <c r="B188" s="959"/>
      <c r="C188" s="959"/>
      <c r="D188" s="959"/>
      <c r="E188" s="959"/>
      <c r="F188" s="959"/>
      <c r="G188" s="959"/>
      <c r="H188" s="959"/>
      <c r="I188" s="959"/>
      <c r="J188" s="959"/>
      <c r="K188" s="959"/>
      <c r="L188" s="959"/>
      <c r="M188" s="959"/>
      <c r="N188" s="959"/>
      <c r="O188" s="959"/>
      <c r="P188" s="959"/>
      <c r="Q188" s="959"/>
      <c r="R188" s="959"/>
      <c r="S188" s="959"/>
      <c r="T188" s="959"/>
      <c r="U188" s="959"/>
      <c r="V188" s="959"/>
      <c r="W188" s="959"/>
      <c r="X188" s="959"/>
      <c r="Y188" s="959"/>
      <c r="Z188" s="959"/>
    </row>
    <row r="189">
      <c r="A189" s="959"/>
      <c r="B189" s="959"/>
      <c r="C189" s="959"/>
      <c r="D189" s="959"/>
      <c r="E189" s="959"/>
      <c r="F189" s="959"/>
      <c r="G189" s="959"/>
      <c r="H189" s="959"/>
      <c r="I189" s="959"/>
      <c r="J189" s="959"/>
      <c r="K189" s="959"/>
      <c r="L189" s="959"/>
      <c r="M189" s="959"/>
      <c r="N189" s="959"/>
      <c r="O189" s="959"/>
      <c r="P189" s="959"/>
      <c r="Q189" s="959"/>
      <c r="R189" s="959"/>
      <c r="S189" s="959"/>
      <c r="T189" s="959"/>
      <c r="U189" s="959"/>
      <c r="V189" s="959"/>
      <c r="W189" s="959"/>
      <c r="X189" s="959"/>
      <c r="Y189" s="959"/>
      <c r="Z189" s="959"/>
    </row>
    <row r="190">
      <c r="A190" s="959"/>
      <c r="B190" s="959"/>
      <c r="C190" s="959"/>
      <c r="D190" s="959"/>
      <c r="E190" s="959"/>
      <c r="F190" s="959"/>
      <c r="G190" s="959"/>
      <c r="H190" s="959"/>
      <c r="I190" s="959"/>
      <c r="J190" s="959"/>
      <c r="K190" s="959"/>
      <c r="L190" s="959"/>
      <c r="M190" s="959"/>
      <c r="N190" s="959"/>
      <c r="O190" s="959"/>
      <c r="P190" s="959"/>
      <c r="Q190" s="959"/>
      <c r="R190" s="959"/>
      <c r="S190" s="959"/>
      <c r="T190" s="959"/>
      <c r="U190" s="959"/>
      <c r="V190" s="959"/>
      <c r="W190" s="959"/>
      <c r="X190" s="959"/>
      <c r="Y190" s="959"/>
      <c r="Z190" s="959"/>
    </row>
    <row r="191">
      <c r="A191" s="959"/>
      <c r="B191" s="959"/>
      <c r="C191" s="959"/>
      <c r="D191" s="959"/>
      <c r="E191" s="959"/>
      <c r="F191" s="959"/>
      <c r="G191" s="959"/>
      <c r="H191" s="959"/>
      <c r="I191" s="959"/>
      <c r="J191" s="959"/>
      <c r="K191" s="959"/>
      <c r="L191" s="959"/>
      <c r="M191" s="959"/>
      <c r="N191" s="959"/>
      <c r="O191" s="959"/>
      <c r="P191" s="959"/>
      <c r="Q191" s="959"/>
      <c r="R191" s="959"/>
      <c r="S191" s="959"/>
      <c r="T191" s="959"/>
      <c r="U191" s="959"/>
      <c r="V191" s="959"/>
      <c r="W191" s="959"/>
      <c r="X191" s="959"/>
      <c r="Y191" s="959"/>
      <c r="Z191" s="959"/>
    </row>
    <row r="192">
      <c r="A192" s="959"/>
      <c r="B192" s="959"/>
      <c r="C192" s="959"/>
      <c r="D192" s="959"/>
      <c r="E192" s="959"/>
      <c r="F192" s="959"/>
      <c r="G192" s="959"/>
      <c r="H192" s="959"/>
      <c r="I192" s="959"/>
      <c r="J192" s="959"/>
      <c r="K192" s="959"/>
      <c r="L192" s="959"/>
      <c r="M192" s="959"/>
      <c r="N192" s="959"/>
      <c r="O192" s="959"/>
      <c r="P192" s="959"/>
      <c r="Q192" s="959"/>
      <c r="R192" s="959"/>
      <c r="S192" s="959"/>
      <c r="T192" s="959"/>
      <c r="U192" s="959"/>
      <c r="V192" s="959"/>
      <c r="W192" s="959"/>
      <c r="X192" s="959"/>
      <c r="Y192" s="959"/>
      <c r="Z192" s="959"/>
    </row>
    <row r="193">
      <c r="A193" s="959"/>
      <c r="B193" s="959"/>
      <c r="C193" s="959"/>
      <c r="D193" s="959"/>
      <c r="E193" s="959"/>
      <c r="F193" s="959"/>
      <c r="G193" s="959"/>
      <c r="H193" s="959"/>
      <c r="I193" s="959"/>
      <c r="J193" s="959"/>
      <c r="K193" s="959"/>
      <c r="L193" s="959"/>
      <c r="M193" s="959"/>
      <c r="N193" s="959"/>
      <c r="O193" s="959"/>
      <c r="P193" s="959"/>
      <c r="Q193" s="959"/>
      <c r="R193" s="959"/>
      <c r="S193" s="959"/>
      <c r="T193" s="959"/>
      <c r="U193" s="959"/>
      <c r="V193" s="959"/>
      <c r="W193" s="959"/>
      <c r="X193" s="959"/>
      <c r="Y193" s="959"/>
      <c r="Z193" s="959"/>
    </row>
    <row r="194">
      <c r="A194" s="959"/>
      <c r="B194" s="959"/>
      <c r="C194" s="959"/>
      <c r="D194" s="959"/>
      <c r="E194" s="959"/>
      <c r="F194" s="959"/>
      <c r="G194" s="959"/>
      <c r="H194" s="959"/>
      <c r="I194" s="959"/>
      <c r="J194" s="959"/>
      <c r="K194" s="959"/>
      <c r="L194" s="959"/>
      <c r="M194" s="959"/>
      <c r="N194" s="959"/>
      <c r="O194" s="959"/>
      <c r="P194" s="959"/>
      <c r="Q194" s="959"/>
      <c r="R194" s="959"/>
      <c r="S194" s="959"/>
      <c r="T194" s="959"/>
      <c r="U194" s="959"/>
      <c r="V194" s="959"/>
      <c r="W194" s="959"/>
      <c r="X194" s="959"/>
      <c r="Y194" s="959"/>
      <c r="Z194" s="959"/>
    </row>
    <row r="195">
      <c r="A195" s="959"/>
      <c r="B195" s="959"/>
      <c r="C195" s="959"/>
      <c r="D195" s="959"/>
      <c r="E195" s="959"/>
      <c r="F195" s="959"/>
      <c r="G195" s="959"/>
      <c r="H195" s="959"/>
      <c r="I195" s="959"/>
      <c r="J195" s="959"/>
      <c r="K195" s="959"/>
      <c r="L195" s="959"/>
      <c r="M195" s="959"/>
      <c r="N195" s="959"/>
      <c r="O195" s="959"/>
      <c r="P195" s="959"/>
      <c r="Q195" s="959"/>
      <c r="R195" s="959"/>
      <c r="S195" s="959"/>
      <c r="T195" s="959"/>
      <c r="U195" s="959"/>
      <c r="V195" s="959"/>
      <c r="W195" s="959"/>
      <c r="X195" s="959"/>
      <c r="Y195" s="959"/>
      <c r="Z195" s="959"/>
    </row>
    <row r="196">
      <c r="A196" s="959"/>
      <c r="B196" s="959"/>
      <c r="C196" s="959"/>
      <c r="D196" s="959"/>
      <c r="E196" s="959"/>
      <c r="F196" s="959"/>
      <c r="G196" s="959"/>
      <c r="H196" s="959"/>
      <c r="I196" s="959"/>
      <c r="J196" s="959"/>
      <c r="K196" s="959"/>
      <c r="L196" s="959"/>
      <c r="M196" s="959"/>
      <c r="N196" s="959"/>
      <c r="O196" s="959"/>
      <c r="P196" s="959"/>
      <c r="Q196" s="959"/>
      <c r="R196" s="959"/>
      <c r="S196" s="959"/>
      <c r="T196" s="959"/>
      <c r="U196" s="959"/>
      <c r="V196" s="959"/>
      <c r="W196" s="959"/>
      <c r="X196" s="959"/>
      <c r="Y196" s="959"/>
      <c r="Z196" s="959"/>
    </row>
    <row r="197">
      <c r="A197" s="959"/>
      <c r="B197" s="959"/>
      <c r="C197" s="959"/>
      <c r="D197" s="959"/>
      <c r="E197" s="959"/>
      <c r="F197" s="959"/>
      <c r="G197" s="959"/>
      <c r="H197" s="959"/>
      <c r="I197" s="959"/>
      <c r="J197" s="959"/>
      <c r="K197" s="959"/>
      <c r="L197" s="959"/>
      <c r="M197" s="959"/>
      <c r="N197" s="959"/>
      <c r="O197" s="959"/>
      <c r="P197" s="959"/>
      <c r="Q197" s="959"/>
      <c r="R197" s="959"/>
      <c r="S197" s="959"/>
      <c r="T197" s="959"/>
      <c r="U197" s="959"/>
      <c r="V197" s="959"/>
      <c r="W197" s="959"/>
      <c r="X197" s="959"/>
      <c r="Y197" s="959"/>
      <c r="Z197" s="959"/>
    </row>
    <row r="198">
      <c r="A198" s="959"/>
      <c r="B198" s="959"/>
      <c r="C198" s="959"/>
      <c r="D198" s="959"/>
      <c r="E198" s="959"/>
      <c r="F198" s="959"/>
      <c r="G198" s="959"/>
      <c r="H198" s="959"/>
      <c r="I198" s="959"/>
      <c r="J198" s="959"/>
      <c r="K198" s="959"/>
      <c r="L198" s="959"/>
      <c r="M198" s="959"/>
      <c r="N198" s="959"/>
      <c r="O198" s="959"/>
      <c r="P198" s="959"/>
      <c r="Q198" s="959"/>
      <c r="R198" s="959"/>
      <c r="S198" s="959"/>
      <c r="T198" s="959"/>
      <c r="U198" s="959"/>
      <c r="V198" s="959"/>
      <c r="W198" s="959"/>
      <c r="X198" s="959"/>
      <c r="Y198" s="959"/>
      <c r="Z198" s="959"/>
    </row>
    <row r="199">
      <c r="A199" s="959"/>
      <c r="B199" s="959"/>
      <c r="C199" s="959"/>
      <c r="D199" s="959"/>
      <c r="E199" s="959"/>
      <c r="F199" s="959"/>
      <c r="G199" s="959"/>
      <c r="H199" s="959"/>
      <c r="I199" s="959"/>
      <c r="J199" s="959"/>
      <c r="K199" s="959"/>
      <c r="L199" s="959"/>
      <c r="M199" s="959"/>
      <c r="N199" s="959"/>
      <c r="O199" s="959"/>
      <c r="P199" s="959"/>
      <c r="Q199" s="959"/>
      <c r="R199" s="959"/>
      <c r="S199" s="959"/>
      <c r="T199" s="959"/>
      <c r="U199" s="959"/>
      <c r="V199" s="959"/>
      <c r="W199" s="959"/>
      <c r="X199" s="959"/>
      <c r="Y199" s="959"/>
      <c r="Z199" s="959"/>
    </row>
    <row r="200">
      <c r="A200" s="959"/>
      <c r="B200" s="959"/>
      <c r="C200" s="959"/>
      <c r="D200" s="959"/>
      <c r="E200" s="959"/>
      <c r="F200" s="959"/>
      <c r="G200" s="959"/>
      <c r="H200" s="959"/>
      <c r="I200" s="959"/>
      <c r="J200" s="959"/>
      <c r="K200" s="959"/>
      <c r="L200" s="959"/>
      <c r="M200" s="959"/>
      <c r="N200" s="959"/>
      <c r="O200" s="959"/>
      <c r="P200" s="959"/>
      <c r="Q200" s="959"/>
      <c r="R200" s="959"/>
      <c r="S200" s="959"/>
      <c r="T200" s="959"/>
      <c r="U200" s="959"/>
      <c r="V200" s="959"/>
      <c r="W200" s="959"/>
      <c r="X200" s="959"/>
      <c r="Y200" s="959"/>
      <c r="Z200" s="959"/>
    </row>
    <row r="201">
      <c r="A201" s="959"/>
      <c r="B201" s="959"/>
      <c r="C201" s="959"/>
      <c r="D201" s="959"/>
      <c r="E201" s="959"/>
      <c r="F201" s="959"/>
      <c r="G201" s="959"/>
      <c r="H201" s="959"/>
      <c r="I201" s="959"/>
      <c r="J201" s="959"/>
      <c r="K201" s="959"/>
      <c r="L201" s="959"/>
      <c r="M201" s="959"/>
      <c r="N201" s="959"/>
      <c r="O201" s="959"/>
      <c r="P201" s="959"/>
      <c r="Q201" s="959"/>
      <c r="R201" s="959"/>
      <c r="S201" s="959"/>
      <c r="T201" s="959"/>
      <c r="U201" s="959"/>
      <c r="V201" s="959"/>
      <c r="W201" s="959"/>
      <c r="X201" s="959"/>
      <c r="Y201" s="959"/>
      <c r="Z201" s="959"/>
    </row>
    <row r="202">
      <c r="A202" s="959"/>
      <c r="B202" s="959"/>
      <c r="C202" s="959"/>
      <c r="D202" s="959"/>
      <c r="E202" s="959"/>
      <c r="F202" s="959"/>
      <c r="G202" s="959"/>
      <c r="H202" s="959"/>
      <c r="I202" s="959"/>
      <c r="J202" s="959"/>
      <c r="K202" s="959"/>
      <c r="L202" s="959"/>
      <c r="M202" s="959"/>
      <c r="N202" s="959"/>
      <c r="O202" s="959"/>
      <c r="P202" s="959"/>
      <c r="Q202" s="959"/>
      <c r="R202" s="959"/>
      <c r="S202" s="959"/>
      <c r="T202" s="959"/>
      <c r="U202" s="959"/>
      <c r="V202" s="959"/>
      <c r="W202" s="959"/>
      <c r="X202" s="959"/>
      <c r="Y202" s="959"/>
      <c r="Z202" s="959"/>
    </row>
    <row r="203">
      <c r="A203" s="959"/>
      <c r="B203" s="959"/>
      <c r="C203" s="959"/>
      <c r="D203" s="959"/>
      <c r="E203" s="959"/>
      <c r="F203" s="959"/>
      <c r="G203" s="959"/>
      <c r="H203" s="959"/>
      <c r="I203" s="959"/>
      <c r="J203" s="959"/>
      <c r="K203" s="959"/>
      <c r="L203" s="959"/>
      <c r="M203" s="959"/>
      <c r="N203" s="959"/>
      <c r="O203" s="959"/>
      <c r="P203" s="959"/>
      <c r="Q203" s="959"/>
      <c r="R203" s="959"/>
      <c r="S203" s="959"/>
      <c r="T203" s="959"/>
      <c r="U203" s="959"/>
      <c r="V203" s="959"/>
      <c r="W203" s="959"/>
      <c r="X203" s="959"/>
      <c r="Y203" s="959"/>
      <c r="Z203" s="959"/>
    </row>
    <row r="204">
      <c r="A204" s="959"/>
      <c r="B204" s="959"/>
      <c r="C204" s="959"/>
      <c r="D204" s="959"/>
      <c r="E204" s="959"/>
      <c r="F204" s="959"/>
      <c r="G204" s="959"/>
      <c r="H204" s="959"/>
      <c r="I204" s="959"/>
      <c r="J204" s="959"/>
      <c r="K204" s="959"/>
      <c r="L204" s="959"/>
      <c r="M204" s="959"/>
      <c r="N204" s="959"/>
      <c r="O204" s="959"/>
      <c r="P204" s="959"/>
      <c r="Q204" s="959"/>
      <c r="R204" s="959"/>
      <c r="S204" s="959"/>
      <c r="T204" s="959"/>
      <c r="U204" s="959"/>
      <c r="V204" s="959"/>
      <c r="W204" s="959"/>
      <c r="X204" s="959"/>
      <c r="Y204" s="959"/>
      <c r="Z204" s="959"/>
    </row>
    <row r="205">
      <c r="A205" s="959"/>
      <c r="B205" s="959"/>
      <c r="C205" s="959"/>
      <c r="D205" s="959"/>
      <c r="E205" s="959"/>
      <c r="F205" s="959"/>
      <c r="G205" s="959"/>
      <c r="H205" s="959"/>
      <c r="I205" s="959"/>
      <c r="J205" s="959"/>
      <c r="K205" s="959"/>
      <c r="L205" s="959"/>
      <c r="M205" s="959"/>
      <c r="N205" s="959"/>
      <c r="O205" s="959"/>
      <c r="P205" s="959"/>
      <c r="Q205" s="959"/>
      <c r="R205" s="959"/>
      <c r="S205" s="959"/>
      <c r="T205" s="959"/>
      <c r="U205" s="959"/>
      <c r="V205" s="959"/>
      <c r="W205" s="959"/>
      <c r="X205" s="959"/>
      <c r="Y205" s="959"/>
      <c r="Z205" s="959"/>
    </row>
    <row r="206">
      <c r="A206" s="959"/>
      <c r="B206" s="959"/>
      <c r="C206" s="959"/>
      <c r="D206" s="959"/>
      <c r="E206" s="959"/>
      <c r="F206" s="959"/>
      <c r="G206" s="959"/>
      <c r="H206" s="959"/>
      <c r="I206" s="959"/>
      <c r="J206" s="959"/>
      <c r="K206" s="959"/>
      <c r="L206" s="959"/>
      <c r="M206" s="959"/>
      <c r="N206" s="959"/>
      <c r="O206" s="959"/>
      <c r="P206" s="959"/>
      <c r="Q206" s="959"/>
      <c r="R206" s="959"/>
      <c r="S206" s="959"/>
      <c r="T206" s="959"/>
      <c r="U206" s="959"/>
      <c r="V206" s="959"/>
      <c r="W206" s="959"/>
      <c r="X206" s="959"/>
      <c r="Y206" s="959"/>
      <c r="Z206" s="959"/>
    </row>
    <row r="207">
      <c r="A207" s="959"/>
      <c r="B207" s="959"/>
      <c r="C207" s="959"/>
      <c r="D207" s="959"/>
      <c r="E207" s="959"/>
      <c r="F207" s="959"/>
      <c r="G207" s="959"/>
      <c r="H207" s="959"/>
      <c r="I207" s="959"/>
      <c r="J207" s="959"/>
      <c r="K207" s="959"/>
      <c r="L207" s="959"/>
      <c r="M207" s="959"/>
      <c r="N207" s="959"/>
      <c r="O207" s="959"/>
      <c r="P207" s="959"/>
      <c r="Q207" s="959"/>
      <c r="R207" s="959"/>
      <c r="S207" s="959"/>
      <c r="T207" s="959"/>
      <c r="U207" s="959"/>
      <c r="V207" s="959"/>
      <c r="W207" s="959"/>
      <c r="X207" s="959"/>
      <c r="Y207" s="959"/>
      <c r="Z207" s="959"/>
    </row>
    <row r="208">
      <c r="A208" s="959"/>
      <c r="B208" s="959"/>
      <c r="C208" s="959"/>
      <c r="D208" s="959"/>
      <c r="E208" s="959"/>
      <c r="F208" s="959"/>
      <c r="G208" s="959"/>
      <c r="H208" s="959"/>
      <c r="I208" s="959"/>
      <c r="J208" s="959"/>
      <c r="K208" s="959"/>
      <c r="L208" s="959"/>
      <c r="M208" s="959"/>
      <c r="N208" s="959"/>
      <c r="O208" s="959"/>
      <c r="P208" s="959"/>
      <c r="Q208" s="959"/>
      <c r="R208" s="959"/>
      <c r="S208" s="959"/>
      <c r="T208" s="959"/>
      <c r="U208" s="959"/>
      <c r="V208" s="959"/>
      <c r="W208" s="959"/>
      <c r="X208" s="959"/>
      <c r="Y208" s="959"/>
      <c r="Z208" s="959"/>
    </row>
    <row r="209">
      <c r="A209" s="959"/>
      <c r="B209" s="959"/>
      <c r="C209" s="959"/>
      <c r="D209" s="959"/>
      <c r="E209" s="959"/>
      <c r="F209" s="959"/>
      <c r="G209" s="959"/>
      <c r="H209" s="959"/>
      <c r="I209" s="959"/>
      <c r="J209" s="959"/>
      <c r="K209" s="959"/>
      <c r="L209" s="959"/>
      <c r="M209" s="959"/>
      <c r="N209" s="959"/>
      <c r="O209" s="959"/>
      <c r="P209" s="959"/>
      <c r="Q209" s="959"/>
      <c r="R209" s="959"/>
      <c r="S209" s="959"/>
      <c r="T209" s="959"/>
      <c r="U209" s="959"/>
      <c r="V209" s="959"/>
      <c r="W209" s="959"/>
      <c r="X209" s="959"/>
      <c r="Y209" s="959"/>
      <c r="Z209" s="959"/>
    </row>
    <row r="210">
      <c r="A210" s="959"/>
      <c r="B210" s="959"/>
      <c r="C210" s="959"/>
      <c r="D210" s="959"/>
      <c r="E210" s="959"/>
      <c r="F210" s="959"/>
      <c r="G210" s="959"/>
      <c r="H210" s="959"/>
      <c r="I210" s="959"/>
      <c r="J210" s="959"/>
      <c r="K210" s="959"/>
      <c r="L210" s="959"/>
      <c r="M210" s="959"/>
      <c r="N210" s="959"/>
      <c r="O210" s="959"/>
      <c r="P210" s="959"/>
      <c r="Q210" s="959"/>
      <c r="R210" s="959"/>
      <c r="S210" s="959"/>
      <c r="T210" s="959"/>
      <c r="U210" s="959"/>
      <c r="V210" s="959"/>
      <c r="W210" s="959"/>
      <c r="X210" s="959"/>
      <c r="Y210" s="959"/>
      <c r="Z210" s="959"/>
    </row>
    <row r="211">
      <c r="A211" s="959"/>
      <c r="B211" s="959"/>
      <c r="C211" s="959"/>
      <c r="D211" s="959"/>
      <c r="E211" s="959"/>
      <c r="F211" s="959"/>
      <c r="G211" s="959"/>
      <c r="H211" s="959"/>
      <c r="I211" s="959"/>
      <c r="J211" s="959"/>
      <c r="K211" s="959"/>
      <c r="L211" s="959"/>
      <c r="M211" s="959"/>
      <c r="N211" s="959"/>
      <c r="O211" s="959"/>
      <c r="P211" s="959"/>
      <c r="Q211" s="959"/>
      <c r="R211" s="959"/>
      <c r="S211" s="959"/>
      <c r="T211" s="959"/>
      <c r="U211" s="959"/>
      <c r="V211" s="959"/>
      <c r="W211" s="959"/>
      <c r="X211" s="959"/>
      <c r="Y211" s="959"/>
      <c r="Z211" s="959"/>
    </row>
    <row r="212">
      <c r="A212" s="959"/>
      <c r="B212" s="959"/>
      <c r="C212" s="959"/>
      <c r="D212" s="959"/>
      <c r="E212" s="959"/>
      <c r="F212" s="959"/>
      <c r="G212" s="959"/>
      <c r="H212" s="959"/>
      <c r="I212" s="959"/>
      <c r="J212" s="959"/>
      <c r="K212" s="959"/>
      <c r="L212" s="959"/>
      <c r="M212" s="959"/>
      <c r="N212" s="959"/>
      <c r="O212" s="959"/>
      <c r="P212" s="959"/>
      <c r="Q212" s="959"/>
      <c r="R212" s="959"/>
      <c r="S212" s="959"/>
      <c r="T212" s="959"/>
      <c r="U212" s="959"/>
      <c r="V212" s="959"/>
      <c r="W212" s="959"/>
      <c r="X212" s="959"/>
      <c r="Y212" s="959"/>
      <c r="Z212" s="959"/>
    </row>
    <row r="213">
      <c r="A213" s="959"/>
      <c r="B213" s="959"/>
      <c r="C213" s="959"/>
      <c r="D213" s="959"/>
      <c r="E213" s="959"/>
      <c r="F213" s="959"/>
      <c r="G213" s="959"/>
      <c r="H213" s="959"/>
      <c r="I213" s="959"/>
      <c r="J213" s="959"/>
      <c r="K213" s="959"/>
      <c r="L213" s="959"/>
      <c r="M213" s="959"/>
      <c r="N213" s="959"/>
      <c r="O213" s="959"/>
      <c r="P213" s="959"/>
      <c r="Q213" s="959"/>
      <c r="R213" s="959"/>
      <c r="S213" s="959"/>
      <c r="T213" s="959"/>
      <c r="U213" s="959"/>
      <c r="V213" s="959"/>
      <c r="W213" s="959"/>
      <c r="X213" s="959"/>
      <c r="Y213" s="959"/>
      <c r="Z213" s="959"/>
    </row>
    <row r="214">
      <c r="A214" s="959"/>
      <c r="B214" s="959"/>
      <c r="C214" s="959"/>
      <c r="D214" s="959"/>
      <c r="E214" s="959"/>
      <c r="F214" s="959"/>
      <c r="G214" s="959"/>
      <c r="H214" s="959"/>
      <c r="I214" s="959"/>
      <c r="J214" s="959"/>
      <c r="K214" s="959"/>
      <c r="L214" s="959"/>
      <c r="M214" s="959"/>
      <c r="N214" s="959"/>
      <c r="O214" s="959"/>
      <c r="P214" s="959"/>
      <c r="Q214" s="959"/>
      <c r="R214" s="959"/>
      <c r="S214" s="959"/>
      <c r="T214" s="959"/>
      <c r="U214" s="959"/>
      <c r="V214" s="959"/>
      <c r="W214" s="959"/>
      <c r="X214" s="959"/>
      <c r="Y214" s="959"/>
      <c r="Z214" s="959"/>
    </row>
    <row r="215">
      <c r="A215" s="959"/>
      <c r="B215" s="959"/>
      <c r="C215" s="959"/>
      <c r="D215" s="959"/>
      <c r="E215" s="959"/>
      <c r="F215" s="959"/>
      <c r="G215" s="959"/>
      <c r="H215" s="959"/>
      <c r="I215" s="959"/>
      <c r="J215" s="959"/>
      <c r="K215" s="959"/>
      <c r="L215" s="959"/>
      <c r="M215" s="959"/>
      <c r="N215" s="959"/>
      <c r="O215" s="959"/>
      <c r="P215" s="959"/>
      <c r="Q215" s="959"/>
      <c r="R215" s="959"/>
      <c r="S215" s="959"/>
      <c r="T215" s="959"/>
      <c r="U215" s="959"/>
      <c r="V215" s="959"/>
      <c r="W215" s="959"/>
      <c r="X215" s="959"/>
      <c r="Y215" s="959"/>
      <c r="Z215" s="959"/>
    </row>
    <row r="216">
      <c r="A216" s="959"/>
      <c r="B216" s="959"/>
      <c r="C216" s="959"/>
      <c r="D216" s="959"/>
      <c r="E216" s="959"/>
      <c r="F216" s="959"/>
      <c r="G216" s="959"/>
      <c r="H216" s="959"/>
      <c r="I216" s="959"/>
      <c r="J216" s="959"/>
      <c r="K216" s="959"/>
      <c r="L216" s="959"/>
      <c r="M216" s="959"/>
      <c r="N216" s="959"/>
      <c r="O216" s="959"/>
      <c r="P216" s="959"/>
      <c r="Q216" s="959"/>
      <c r="R216" s="959"/>
      <c r="S216" s="959"/>
      <c r="T216" s="959"/>
      <c r="U216" s="959"/>
      <c r="V216" s="959"/>
      <c r="W216" s="959"/>
      <c r="X216" s="959"/>
      <c r="Y216" s="959"/>
      <c r="Z216" s="959"/>
    </row>
    <row r="217">
      <c r="A217" s="959"/>
      <c r="B217" s="959"/>
      <c r="C217" s="959"/>
      <c r="D217" s="959"/>
      <c r="E217" s="959"/>
      <c r="F217" s="959"/>
      <c r="G217" s="959"/>
      <c r="H217" s="959"/>
      <c r="I217" s="959"/>
      <c r="J217" s="959"/>
      <c r="K217" s="959"/>
      <c r="L217" s="959"/>
      <c r="M217" s="959"/>
      <c r="N217" s="959"/>
      <c r="O217" s="959"/>
      <c r="P217" s="959"/>
      <c r="Q217" s="959"/>
      <c r="R217" s="959"/>
      <c r="S217" s="959"/>
      <c r="T217" s="959"/>
      <c r="U217" s="959"/>
      <c r="V217" s="959"/>
      <c r="W217" s="959"/>
      <c r="X217" s="959"/>
      <c r="Y217" s="959"/>
      <c r="Z217" s="959"/>
    </row>
    <row r="218">
      <c r="A218" s="959"/>
      <c r="B218" s="959"/>
      <c r="C218" s="959"/>
      <c r="D218" s="959"/>
      <c r="E218" s="959"/>
      <c r="F218" s="959"/>
      <c r="G218" s="959"/>
      <c r="H218" s="959"/>
      <c r="I218" s="959"/>
      <c r="J218" s="959"/>
      <c r="K218" s="959"/>
      <c r="L218" s="959"/>
      <c r="M218" s="959"/>
      <c r="N218" s="959"/>
      <c r="O218" s="959"/>
      <c r="P218" s="959"/>
      <c r="Q218" s="959"/>
      <c r="R218" s="959"/>
      <c r="S218" s="959"/>
      <c r="T218" s="959"/>
      <c r="U218" s="959"/>
      <c r="V218" s="959"/>
      <c r="W218" s="959"/>
      <c r="X218" s="959"/>
      <c r="Y218" s="959"/>
      <c r="Z218" s="959"/>
    </row>
    <row r="219">
      <c r="A219" s="959"/>
      <c r="B219" s="959"/>
      <c r="C219" s="959"/>
      <c r="D219" s="959"/>
      <c r="E219" s="959"/>
      <c r="F219" s="959"/>
      <c r="G219" s="959"/>
      <c r="H219" s="959"/>
      <c r="I219" s="959"/>
      <c r="J219" s="959"/>
      <c r="K219" s="959"/>
      <c r="L219" s="959"/>
      <c r="M219" s="959"/>
      <c r="N219" s="959"/>
      <c r="O219" s="959"/>
      <c r="P219" s="959"/>
      <c r="Q219" s="959"/>
      <c r="R219" s="959"/>
      <c r="S219" s="959"/>
      <c r="T219" s="959"/>
      <c r="U219" s="959"/>
      <c r="V219" s="959"/>
      <c r="W219" s="959"/>
      <c r="X219" s="959"/>
      <c r="Y219" s="959"/>
      <c r="Z219" s="959"/>
    </row>
    <row r="220">
      <c r="A220" s="959"/>
      <c r="B220" s="959"/>
      <c r="C220" s="959"/>
      <c r="D220" s="959"/>
      <c r="E220" s="959"/>
      <c r="F220" s="959"/>
      <c r="G220" s="959"/>
      <c r="H220" s="959"/>
      <c r="I220" s="959"/>
      <c r="J220" s="959"/>
      <c r="K220" s="959"/>
      <c r="L220" s="959"/>
      <c r="M220" s="959"/>
      <c r="N220" s="959"/>
      <c r="O220" s="959"/>
      <c r="P220" s="959"/>
      <c r="Q220" s="959"/>
      <c r="R220" s="959"/>
      <c r="S220" s="959"/>
      <c r="T220" s="959"/>
      <c r="U220" s="959"/>
      <c r="V220" s="959"/>
      <c r="W220" s="959"/>
      <c r="X220" s="959"/>
      <c r="Y220" s="959"/>
      <c r="Z220" s="959"/>
    </row>
    <row r="221">
      <c r="A221" s="959"/>
      <c r="B221" s="959"/>
      <c r="C221" s="959"/>
      <c r="D221" s="959"/>
      <c r="E221" s="959"/>
      <c r="F221" s="959"/>
      <c r="G221" s="959"/>
      <c r="H221" s="959"/>
      <c r="I221" s="959"/>
      <c r="J221" s="959"/>
      <c r="K221" s="959"/>
      <c r="L221" s="959"/>
      <c r="M221" s="959"/>
      <c r="N221" s="959"/>
      <c r="O221" s="959"/>
      <c r="P221" s="959"/>
      <c r="Q221" s="959"/>
      <c r="R221" s="959"/>
      <c r="S221" s="959"/>
      <c r="T221" s="959"/>
      <c r="U221" s="959"/>
      <c r="V221" s="959"/>
      <c r="W221" s="959"/>
      <c r="X221" s="959"/>
      <c r="Y221" s="959"/>
      <c r="Z221" s="959"/>
    </row>
    <row r="222">
      <c r="A222" s="959"/>
      <c r="B222" s="959"/>
      <c r="C222" s="959"/>
      <c r="D222" s="959"/>
      <c r="E222" s="959"/>
      <c r="F222" s="959"/>
      <c r="G222" s="959"/>
      <c r="H222" s="959"/>
      <c r="I222" s="959"/>
      <c r="J222" s="959"/>
      <c r="K222" s="959"/>
      <c r="L222" s="959"/>
      <c r="M222" s="959"/>
      <c r="N222" s="959"/>
      <c r="O222" s="959"/>
      <c r="P222" s="959"/>
      <c r="Q222" s="959"/>
      <c r="R222" s="959"/>
      <c r="S222" s="959"/>
      <c r="T222" s="959"/>
      <c r="U222" s="959"/>
      <c r="V222" s="959"/>
      <c r="W222" s="959"/>
      <c r="X222" s="959"/>
      <c r="Y222" s="959"/>
      <c r="Z222" s="959"/>
    </row>
    <row r="223">
      <c r="A223" s="959"/>
      <c r="B223" s="959"/>
      <c r="C223" s="959"/>
      <c r="D223" s="959"/>
      <c r="E223" s="959"/>
      <c r="F223" s="959"/>
      <c r="G223" s="959"/>
      <c r="H223" s="959"/>
      <c r="I223" s="959"/>
      <c r="J223" s="959"/>
      <c r="K223" s="959"/>
      <c r="L223" s="959"/>
      <c r="M223" s="959"/>
      <c r="N223" s="959"/>
      <c r="O223" s="959"/>
      <c r="P223" s="959"/>
      <c r="Q223" s="959"/>
      <c r="R223" s="959"/>
      <c r="S223" s="959"/>
      <c r="T223" s="959"/>
      <c r="U223" s="959"/>
      <c r="V223" s="959"/>
      <c r="W223" s="959"/>
      <c r="X223" s="959"/>
      <c r="Y223" s="959"/>
      <c r="Z223" s="959"/>
    </row>
    <row r="224">
      <c r="A224" s="959"/>
      <c r="B224" s="959"/>
      <c r="C224" s="959"/>
      <c r="D224" s="959"/>
      <c r="E224" s="959"/>
      <c r="F224" s="959"/>
      <c r="G224" s="959"/>
      <c r="H224" s="959"/>
      <c r="I224" s="959"/>
      <c r="J224" s="959"/>
      <c r="K224" s="959"/>
      <c r="L224" s="959"/>
      <c r="M224" s="959"/>
      <c r="N224" s="959"/>
      <c r="O224" s="959"/>
      <c r="P224" s="959"/>
      <c r="Q224" s="959"/>
      <c r="R224" s="959"/>
      <c r="S224" s="959"/>
      <c r="T224" s="959"/>
      <c r="U224" s="959"/>
      <c r="V224" s="959"/>
      <c r="W224" s="959"/>
      <c r="X224" s="959"/>
      <c r="Y224" s="959"/>
      <c r="Z224" s="959"/>
    </row>
    <row r="225">
      <c r="A225" s="959"/>
      <c r="B225" s="959"/>
      <c r="C225" s="959"/>
      <c r="D225" s="959"/>
      <c r="E225" s="959"/>
      <c r="F225" s="959"/>
      <c r="G225" s="959"/>
      <c r="H225" s="959"/>
      <c r="I225" s="959"/>
      <c r="J225" s="959"/>
      <c r="K225" s="959"/>
      <c r="L225" s="959"/>
      <c r="M225" s="959"/>
      <c r="N225" s="959"/>
      <c r="O225" s="959"/>
      <c r="P225" s="959"/>
      <c r="Q225" s="959"/>
      <c r="R225" s="959"/>
      <c r="S225" s="959"/>
      <c r="T225" s="959"/>
      <c r="U225" s="959"/>
      <c r="V225" s="959"/>
      <c r="W225" s="959"/>
      <c r="X225" s="959"/>
      <c r="Y225" s="959"/>
      <c r="Z225" s="959"/>
    </row>
    <row r="226">
      <c r="A226" s="959"/>
      <c r="B226" s="959"/>
      <c r="C226" s="959"/>
      <c r="D226" s="959"/>
      <c r="E226" s="959"/>
      <c r="F226" s="959"/>
      <c r="G226" s="959"/>
      <c r="H226" s="959"/>
      <c r="I226" s="959"/>
      <c r="J226" s="959"/>
      <c r="K226" s="959"/>
      <c r="L226" s="959"/>
      <c r="M226" s="959"/>
      <c r="N226" s="959"/>
      <c r="O226" s="959"/>
      <c r="P226" s="959"/>
      <c r="Q226" s="959"/>
      <c r="R226" s="959"/>
      <c r="S226" s="959"/>
      <c r="T226" s="959"/>
      <c r="U226" s="959"/>
      <c r="V226" s="959"/>
      <c r="W226" s="959"/>
      <c r="X226" s="959"/>
      <c r="Y226" s="959"/>
      <c r="Z226" s="959"/>
    </row>
    <row r="227">
      <c r="A227" s="959"/>
      <c r="B227" s="959"/>
      <c r="C227" s="959"/>
      <c r="D227" s="959"/>
      <c r="E227" s="959"/>
      <c r="F227" s="959"/>
      <c r="G227" s="959"/>
      <c r="H227" s="959"/>
      <c r="I227" s="959"/>
      <c r="J227" s="959"/>
      <c r="K227" s="959"/>
      <c r="L227" s="959"/>
      <c r="M227" s="959"/>
      <c r="N227" s="959"/>
      <c r="O227" s="959"/>
      <c r="P227" s="959"/>
      <c r="Q227" s="959"/>
      <c r="R227" s="959"/>
      <c r="S227" s="959"/>
      <c r="T227" s="959"/>
      <c r="U227" s="959"/>
      <c r="V227" s="959"/>
      <c r="W227" s="959"/>
      <c r="X227" s="959"/>
      <c r="Y227" s="959"/>
      <c r="Z227" s="959"/>
    </row>
    <row r="228">
      <c r="A228" s="959"/>
      <c r="B228" s="959"/>
      <c r="C228" s="959"/>
      <c r="D228" s="959"/>
      <c r="E228" s="959"/>
      <c r="F228" s="959"/>
      <c r="G228" s="959"/>
      <c r="H228" s="959"/>
      <c r="I228" s="959"/>
      <c r="J228" s="959"/>
      <c r="K228" s="959"/>
      <c r="L228" s="959"/>
      <c r="M228" s="959"/>
      <c r="N228" s="959"/>
      <c r="O228" s="959"/>
      <c r="P228" s="959"/>
      <c r="Q228" s="959"/>
      <c r="R228" s="959"/>
      <c r="S228" s="959"/>
      <c r="T228" s="959"/>
      <c r="U228" s="959"/>
      <c r="V228" s="959"/>
      <c r="W228" s="959"/>
      <c r="X228" s="959"/>
      <c r="Y228" s="959"/>
      <c r="Z228" s="959"/>
    </row>
    <row r="229">
      <c r="A229" s="959"/>
      <c r="B229" s="959"/>
      <c r="C229" s="959"/>
      <c r="D229" s="959"/>
      <c r="E229" s="959"/>
      <c r="F229" s="959"/>
      <c r="G229" s="959"/>
      <c r="H229" s="959"/>
      <c r="I229" s="959"/>
      <c r="J229" s="959"/>
      <c r="K229" s="959"/>
      <c r="L229" s="959"/>
      <c r="M229" s="959"/>
      <c r="N229" s="959"/>
      <c r="O229" s="959"/>
      <c r="P229" s="959"/>
      <c r="Q229" s="959"/>
      <c r="R229" s="959"/>
      <c r="S229" s="959"/>
      <c r="T229" s="959"/>
      <c r="U229" s="959"/>
      <c r="V229" s="959"/>
      <c r="W229" s="959"/>
      <c r="X229" s="959"/>
      <c r="Y229" s="959"/>
      <c r="Z229" s="959"/>
    </row>
    <row r="230">
      <c r="A230" s="959"/>
      <c r="B230" s="959"/>
      <c r="C230" s="959"/>
      <c r="D230" s="959"/>
      <c r="E230" s="959"/>
      <c r="F230" s="959"/>
      <c r="G230" s="959"/>
      <c r="H230" s="959"/>
      <c r="I230" s="959"/>
      <c r="J230" s="959"/>
      <c r="K230" s="959"/>
      <c r="L230" s="959"/>
      <c r="M230" s="959"/>
      <c r="N230" s="959"/>
      <c r="O230" s="959"/>
      <c r="P230" s="959"/>
      <c r="Q230" s="959"/>
      <c r="R230" s="959"/>
      <c r="S230" s="959"/>
      <c r="T230" s="959"/>
      <c r="U230" s="959"/>
      <c r="V230" s="959"/>
      <c r="W230" s="959"/>
      <c r="X230" s="959"/>
      <c r="Y230" s="959"/>
      <c r="Z230" s="959"/>
    </row>
    <row r="231">
      <c r="A231" s="959"/>
      <c r="B231" s="959"/>
      <c r="C231" s="959"/>
      <c r="D231" s="959"/>
      <c r="E231" s="959"/>
      <c r="F231" s="959"/>
      <c r="G231" s="959"/>
      <c r="H231" s="959"/>
      <c r="I231" s="959"/>
      <c r="J231" s="959"/>
      <c r="K231" s="959"/>
      <c r="L231" s="959"/>
      <c r="M231" s="959"/>
      <c r="N231" s="959"/>
      <c r="O231" s="959"/>
      <c r="P231" s="959"/>
      <c r="Q231" s="959"/>
      <c r="R231" s="959"/>
      <c r="S231" s="959"/>
      <c r="T231" s="959"/>
      <c r="U231" s="959"/>
      <c r="V231" s="959"/>
      <c r="W231" s="959"/>
      <c r="X231" s="959"/>
      <c r="Y231" s="959"/>
      <c r="Z231" s="959"/>
    </row>
    <row r="232">
      <c r="A232" s="959"/>
      <c r="B232" s="959"/>
      <c r="C232" s="959"/>
      <c r="D232" s="959"/>
      <c r="E232" s="959"/>
      <c r="F232" s="959"/>
      <c r="G232" s="959"/>
      <c r="H232" s="959"/>
      <c r="I232" s="959"/>
      <c r="J232" s="959"/>
      <c r="K232" s="959"/>
      <c r="L232" s="959"/>
      <c r="M232" s="959"/>
      <c r="N232" s="959"/>
      <c r="O232" s="959"/>
      <c r="P232" s="959"/>
      <c r="Q232" s="959"/>
      <c r="R232" s="959"/>
      <c r="S232" s="959"/>
      <c r="T232" s="959"/>
      <c r="U232" s="959"/>
      <c r="V232" s="959"/>
      <c r="W232" s="959"/>
      <c r="X232" s="959"/>
      <c r="Y232" s="959"/>
      <c r="Z232" s="959"/>
    </row>
    <row r="233">
      <c r="A233" s="959"/>
      <c r="B233" s="959"/>
      <c r="C233" s="959"/>
      <c r="D233" s="959"/>
      <c r="E233" s="959"/>
      <c r="F233" s="959"/>
      <c r="G233" s="959"/>
      <c r="H233" s="959"/>
      <c r="I233" s="959"/>
      <c r="J233" s="959"/>
      <c r="K233" s="959"/>
      <c r="L233" s="959"/>
      <c r="M233" s="959"/>
      <c r="N233" s="959"/>
      <c r="O233" s="959"/>
      <c r="P233" s="959"/>
      <c r="Q233" s="959"/>
      <c r="R233" s="959"/>
      <c r="S233" s="959"/>
      <c r="T233" s="959"/>
      <c r="U233" s="959"/>
      <c r="V233" s="959"/>
      <c r="W233" s="959"/>
      <c r="X233" s="959"/>
      <c r="Y233" s="959"/>
      <c r="Z233" s="959"/>
    </row>
    <row r="234">
      <c r="A234" s="959"/>
      <c r="B234" s="959"/>
      <c r="C234" s="959"/>
      <c r="D234" s="959"/>
      <c r="E234" s="959"/>
      <c r="F234" s="959"/>
      <c r="G234" s="959"/>
      <c r="H234" s="959"/>
      <c r="I234" s="959"/>
      <c r="J234" s="959"/>
      <c r="K234" s="959"/>
      <c r="L234" s="959"/>
      <c r="M234" s="959"/>
      <c r="N234" s="959"/>
      <c r="O234" s="959"/>
      <c r="P234" s="959"/>
      <c r="Q234" s="959"/>
      <c r="R234" s="959"/>
      <c r="S234" s="959"/>
      <c r="T234" s="959"/>
      <c r="U234" s="959"/>
      <c r="V234" s="959"/>
      <c r="W234" s="959"/>
      <c r="X234" s="959"/>
      <c r="Y234" s="959"/>
      <c r="Z234" s="959"/>
    </row>
    <row r="235">
      <c r="A235" s="959"/>
      <c r="B235" s="959"/>
      <c r="C235" s="959"/>
      <c r="D235" s="959"/>
      <c r="E235" s="959"/>
      <c r="F235" s="959"/>
      <c r="G235" s="959"/>
      <c r="H235" s="959"/>
      <c r="I235" s="959"/>
      <c r="J235" s="959"/>
      <c r="K235" s="959"/>
      <c r="L235" s="959"/>
      <c r="M235" s="959"/>
      <c r="N235" s="959"/>
      <c r="O235" s="959"/>
      <c r="P235" s="959"/>
      <c r="Q235" s="959"/>
      <c r="R235" s="959"/>
      <c r="S235" s="959"/>
      <c r="T235" s="959"/>
      <c r="U235" s="959"/>
      <c r="V235" s="959"/>
      <c r="W235" s="959"/>
      <c r="X235" s="959"/>
      <c r="Y235" s="959"/>
      <c r="Z235" s="959"/>
    </row>
    <row r="236">
      <c r="A236" s="959"/>
      <c r="B236" s="959"/>
      <c r="C236" s="959"/>
      <c r="D236" s="959"/>
      <c r="E236" s="959"/>
      <c r="F236" s="959"/>
      <c r="G236" s="959"/>
      <c r="H236" s="959"/>
      <c r="I236" s="959"/>
      <c r="J236" s="959"/>
      <c r="K236" s="959"/>
      <c r="L236" s="959"/>
      <c r="M236" s="959"/>
      <c r="N236" s="959"/>
      <c r="O236" s="959"/>
      <c r="P236" s="959"/>
      <c r="Q236" s="959"/>
      <c r="R236" s="959"/>
      <c r="S236" s="959"/>
      <c r="T236" s="959"/>
      <c r="U236" s="959"/>
      <c r="V236" s="959"/>
      <c r="W236" s="959"/>
      <c r="X236" s="959"/>
      <c r="Y236" s="959"/>
      <c r="Z236" s="959"/>
    </row>
    <row r="237">
      <c r="A237" s="959"/>
      <c r="B237" s="959"/>
      <c r="C237" s="959"/>
      <c r="D237" s="959"/>
      <c r="E237" s="959"/>
      <c r="F237" s="959"/>
      <c r="G237" s="959"/>
      <c r="H237" s="959"/>
      <c r="I237" s="959"/>
      <c r="J237" s="959"/>
      <c r="K237" s="959"/>
      <c r="L237" s="959"/>
      <c r="M237" s="959"/>
      <c r="N237" s="959"/>
      <c r="O237" s="959"/>
      <c r="P237" s="959"/>
      <c r="Q237" s="959"/>
      <c r="R237" s="959"/>
      <c r="S237" s="959"/>
      <c r="T237" s="959"/>
      <c r="U237" s="959"/>
      <c r="V237" s="959"/>
      <c r="W237" s="959"/>
      <c r="X237" s="959"/>
      <c r="Y237" s="959"/>
      <c r="Z237" s="959"/>
    </row>
    <row r="238">
      <c r="A238" s="959"/>
      <c r="B238" s="959"/>
      <c r="C238" s="959"/>
      <c r="D238" s="959"/>
      <c r="E238" s="959"/>
      <c r="F238" s="959"/>
      <c r="G238" s="959"/>
      <c r="H238" s="959"/>
      <c r="I238" s="959"/>
      <c r="J238" s="959"/>
      <c r="K238" s="959"/>
      <c r="L238" s="959"/>
      <c r="M238" s="959"/>
      <c r="N238" s="959"/>
      <c r="O238" s="959"/>
      <c r="P238" s="959"/>
      <c r="Q238" s="959"/>
      <c r="R238" s="959"/>
      <c r="S238" s="959"/>
      <c r="T238" s="959"/>
      <c r="U238" s="959"/>
      <c r="V238" s="959"/>
      <c r="W238" s="959"/>
      <c r="X238" s="959"/>
      <c r="Y238" s="959"/>
      <c r="Z238" s="959"/>
    </row>
    <row r="239">
      <c r="A239" s="959"/>
      <c r="B239" s="959"/>
      <c r="C239" s="959"/>
      <c r="D239" s="959"/>
      <c r="E239" s="959"/>
      <c r="F239" s="959"/>
      <c r="G239" s="959"/>
      <c r="H239" s="959"/>
      <c r="I239" s="959"/>
      <c r="J239" s="959"/>
      <c r="K239" s="959"/>
      <c r="L239" s="959"/>
      <c r="M239" s="959"/>
      <c r="N239" s="959"/>
      <c r="O239" s="959"/>
      <c r="P239" s="959"/>
      <c r="Q239" s="959"/>
      <c r="R239" s="959"/>
      <c r="S239" s="959"/>
      <c r="T239" s="959"/>
      <c r="U239" s="959"/>
      <c r="V239" s="959"/>
      <c r="W239" s="959"/>
      <c r="X239" s="959"/>
      <c r="Y239" s="959"/>
      <c r="Z239" s="959"/>
    </row>
    <row r="240">
      <c r="A240" s="959"/>
      <c r="B240" s="959"/>
      <c r="C240" s="959"/>
      <c r="D240" s="959"/>
      <c r="E240" s="959"/>
      <c r="F240" s="959"/>
      <c r="G240" s="959"/>
      <c r="H240" s="959"/>
      <c r="I240" s="959"/>
      <c r="J240" s="959"/>
      <c r="K240" s="959"/>
      <c r="L240" s="959"/>
      <c r="M240" s="959"/>
      <c r="N240" s="959"/>
      <c r="O240" s="959"/>
      <c r="P240" s="959"/>
      <c r="Q240" s="959"/>
      <c r="R240" s="959"/>
      <c r="S240" s="959"/>
      <c r="T240" s="959"/>
      <c r="U240" s="959"/>
      <c r="V240" s="959"/>
      <c r="W240" s="959"/>
      <c r="X240" s="959"/>
      <c r="Y240" s="959"/>
      <c r="Z240" s="959"/>
    </row>
    <row r="241">
      <c r="A241" s="959"/>
      <c r="B241" s="959"/>
      <c r="C241" s="959"/>
      <c r="D241" s="959"/>
      <c r="E241" s="959"/>
      <c r="F241" s="959"/>
      <c r="G241" s="959"/>
      <c r="H241" s="959"/>
      <c r="I241" s="959"/>
      <c r="J241" s="959"/>
      <c r="K241" s="959"/>
      <c r="L241" s="959"/>
      <c r="M241" s="959"/>
      <c r="N241" s="959"/>
      <c r="O241" s="959"/>
      <c r="P241" s="959"/>
      <c r="Q241" s="959"/>
      <c r="R241" s="959"/>
      <c r="S241" s="959"/>
      <c r="T241" s="959"/>
      <c r="U241" s="959"/>
      <c r="V241" s="959"/>
      <c r="W241" s="959"/>
      <c r="X241" s="959"/>
      <c r="Y241" s="959"/>
      <c r="Z241" s="959"/>
    </row>
    <row r="242">
      <c r="A242" s="959"/>
      <c r="B242" s="959"/>
      <c r="C242" s="959"/>
      <c r="D242" s="959"/>
      <c r="E242" s="959"/>
      <c r="F242" s="959"/>
      <c r="G242" s="959"/>
      <c r="H242" s="959"/>
      <c r="I242" s="959"/>
      <c r="J242" s="959"/>
      <c r="K242" s="959"/>
      <c r="L242" s="959"/>
      <c r="M242" s="959"/>
      <c r="N242" s="959"/>
      <c r="O242" s="959"/>
      <c r="P242" s="959"/>
      <c r="Q242" s="959"/>
      <c r="R242" s="959"/>
      <c r="S242" s="959"/>
      <c r="T242" s="959"/>
      <c r="U242" s="959"/>
      <c r="V242" s="959"/>
      <c r="W242" s="959"/>
      <c r="X242" s="959"/>
      <c r="Y242" s="959"/>
      <c r="Z242" s="959"/>
    </row>
    <row r="243">
      <c r="A243" s="959"/>
      <c r="B243" s="959"/>
      <c r="C243" s="959"/>
      <c r="D243" s="959"/>
      <c r="E243" s="959"/>
      <c r="F243" s="959"/>
      <c r="G243" s="959"/>
      <c r="H243" s="959"/>
      <c r="I243" s="959"/>
      <c r="J243" s="959"/>
      <c r="K243" s="959"/>
      <c r="L243" s="959"/>
      <c r="M243" s="959"/>
      <c r="N243" s="959"/>
      <c r="O243" s="959"/>
      <c r="P243" s="959"/>
      <c r="Q243" s="959"/>
      <c r="R243" s="959"/>
      <c r="S243" s="959"/>
      <c r="T243" s="959"/>
      <c r="U243" s="959"/>
      <c r="V243" s="959"/>
      <c r="W243" s="959"/>
      <c r="X243" s="959"/>
      <c r="Y243" s="959"/>
      <c r="Z243" s="959"/>
    </row>
    <row r="244">
      <c r="A244" s="959"/>
      <c r="B244" s="959"/>
      <c r="C244" s="959"/>
      <c r="D244" s="959"/>
      <c r="E244" s="959"/>
      <c r="F244" s="959"/>
      <c r="G244" s="959"/>
      <c r="H244" s="959"/>
      <c r="I244" s="959"/>
      <c r="J244" s="959"/>
      <c r="K244" s="959"/>
      <c r="L244" s="959"/>
      <c r="M244" s="959"/>
      <c r="N244" s="959"/>
      <c r="O244" s="959"/>
      <c r="P244" s="959"/>
      <c r="Q244" s="959"/>
      <c r="R244" s="959"/>
      <c r="S244" s="959"/>
      <c r="T244" s="959"/>
      <c r="U244" s="959"/>
      <c r="V244" s="959"/>
      <c r="W244" s="959"/>
      <c r="X244" s="959"/>
      <c r="Y244" s="959"/>
      <c r="Z244" s="959"/>
    </row>
    <row r="245">
      <c r="A245" s="959"/>
      <c r="B245" s="959"/>
      <c r="C245" s="959"/>
      <c r="D245" s="959"/>
      <c r="E245" s="959"/>
      <c r="F245" s="959"/>
      <c r="G245" s="959"/>
      <c r="H245" s="959"/>
      <c r="I245" s="959"/>
      <c r="J245" s="959"/>
      <c r="K245" s="959"/>
      <c r="L245" s="959"/>
      <c r="M245" s="959"/>
      <c r="N245" s="959"/>
      <c r="O245" s="959"/>
      <c r="P245" s="959"/>
      <c r="Q245" s="959"/>
      <c r="R245" s="959"/>
      <c r="S245" s="959"/>
      <c r="T245" s="959"/>
      <c r="U245" s="959"/>
      <c r="V245" s="959"/>
      <c r="W245" s="959"/>
      <c r="X245" s="959"/>
      <c r="Y245" s="959"/>
      <c r="Z245" s="959"/>
    </row>
    <row r="246">
      <c r="A246" s="959"/>
      <c r="B246" s="959"/>
      <c r="C246" s="959"/>
      <c r="D246" s="959"/>
      <c r="E246" s="959"/>
      <c r="F246" s="959"/>
      <c r="G246" s="959"/>
      <c r="H246" s="959"/>
      <c r="I246" s="959"/>
      <c r="J246" s="959"/>
      <c r="K246" s="959"/>
      <c r="L246" s="959"/>
      <c r="M246" s="959"/>
      <c r="N246" s="959"/>
      <c r="O246" s="959"/>
      <c r="P246" s="959"/>
      <c r="Q246" s="959"/>
      <c r="R246" s="959"/>
      <c r="S246" s="959"/>
      <c r="T246" s="959"/>
      <c r="U246" s="959"/>
      <c r="V246" s="959"/>
      <c r="W246" s="959"/>
      <c r="X246" s="959"/>
      <c r="Y246" s="959"/>
      <c r="Z246" s="959"/>
    </row>
    <row r="247">
      <c r="A247" s="959"/>
      <c r="B247" s="959"/>
      <c r="C247" s="959"/>
      <c r="D247" s="959"/>
      <c r="E247" s="959"/>
      <c r="F247" s="959"/>
      <c r="G247" s="959"/>
      <c r="H247" s="959"/>
      <c r="I247" s="959"/>
      <c r="J247" s="959"/>
      <c r="K247" s="959"/>
      <c r="L247" s="959"/>
      <c r="M247" s="959"/>
      <c r="N247" s="959"/>
      <c r="O247" s="959"/>
      <c r="P247" s="959"/>
      <c r="Q247" s="959"/>
      <c r="R247" s="959"/>
      <c r="S247" s="959"/>
      <c r="T247" s="959"/>
      <c r="U247" s="959"/>
      <c r="V247" s="959"/>
      <c r="W247" s="959"/>
      <c r="X247" s="959"/>
      <c r="Y247" s="959"/>
      <c r="Z247" s="959"/>
    </row>
    <row r="248">
      <c r="A248" s="959"/>
      <c r="B248" s="959"/>
      <c r="C248" s="959"/>
      <c r="D248" s="959"/>
      <c r="E248" s="959"/>
      <c r="F248" s="959"/>
      <c r="G248" s="959"/>
      <c r="H248" s="959"/>
      <c r="I248" s="959"/>
      <c r="J248" s="959"/>
      <c r="K248" s="959"/>
      <c r="L248" s="959"/>
      <c r="M248" s="959"/>
      <c r="N248" s="959"/>
      <c r="O248" s="959"/>
      <c r="P248" s="959"/>
      <c r="Q248" s="959"/>
      <c r="R248" s="959"/>
      <c r="S248" s="959"/>
      <c r="T248" s="959"/>
      <c r="U248" s="959"/>
      <c r="V248" s="959"/>
      <c r="W248" s="959"/>
      <c r="X248" s="959"/>
      <c r="Y248" s="959"/>
      <c r="Z248" s="959"/>
    </row>
    <row r="249">
      <c r="A249" s="959"/>
      <c r="B249" s="959"/>
      <c r="C249" s="959"/>
      <c r="D249" s="959"/>
      <c r="E249" s="959"/>
      <c r="F249" s="959"/>
      <c r="G249" s="959"/>
      <c r="H249" s="959"/>
      <c r="I249" s="959"/>
      <c r="J249" s="959"/>
      <c r="K249" s="959"/>
      <c r="L249" s="959"/>
      <c r="M249" s="959"/>
      <c r="N249" s="959"/>
      <c r="O249" s="959"/>
      <c r="P249" s="959"/>
      <c r="Q249" s="959"/>
      <c r="R249" s="959"/>
      <c r="S249" s="959"/>
      <c r="T249" s="959"/>
      <c r="U249" s="959"/>
      <c r="V249" s="959"/>
      <c r="W249" s="959"/>
      <c r="X249" s="959"/>
      <c r="Y249" s="959"/>
      <c r="Z249" s="959"/>
    </row>
    <row r="250">
      <c r="A250" s="959"/>
      <c r="B250" s="959"/>
      <c r="C250" s="959"/>
      <c r="D250" s="959"/>
      <c r="E250" s="959"/>
      <c r="F250" s="959"/>
      <c r="G250" s="959"/>
      <c r="H250" s="959"/>
      <c r="I250" s="959"/>
      <c r="J250" s="959"/>
      <c r="K250" s="959"/>
      <c r="L250" s="959"/>
      <c r="M250" s="959"/>
      <c r="N250" s="959"/>
      <c r="O250" s="959"/>
      <c r="P250" s="959"/>
      <c r="Q250" s="959"/>
      <c r="R250" s="959"/>
      <c r="S250" s="959"/>
      <c r="T250" s="959"/>
      <c r="U250" s="959"/>
      <c r="V250" s="959"/>
      <c r="W250" s="959"/>
      <c r="X250" s="959"/>
      <c r="Y250" s="959"/>
      <c r="Z250" s="959"/>
    </row>
    <row r="251">
      <c r="A251" s="959"/>
      <c r="B251" s="959"/>
      <c r="C251" s="959"/>
      <c r="D251" s="959"/>
      <c r="E251" s="959"/>
      <c r="F251" s="959"/>
      <c r="G251" s="959"/>
      <c r="H251" s="959"/>
      <c r="I251" s="959"/>
      <c r="J251" s="959"/>
      <c r="K251" s="959"/>
      <c r="L251" s="959"/>
      <c r="M251" s="959"/>
      <c r="N251" s="959"/>
      <c r="O251" s="959"/>
      <c r="P251" s="959"/>
      <c r="Q251" s="959"/>
      <c r="R251" s="959"/>
      <c r="S251" s="959"/>
      <c r="T251" s="959"/>
      <c r="U251" s="959"/>
      <c r="V251" s="959"/>
      <c r="W251" s="959"/>
      <c r="X251" s="959"/>
      <c r="Y251" s="959"/>
      <c r="Z251" s="959"/>
    </row>
    <row r="252">
      <c r="A252" s="959"/>
      <c r="B252" s="959"/>
      <c r="C252" s="959"/>
      <c r="D252" s="959"/>
      <c r="E252" s="959"/>
      <c r="F252" s="959"/>
      <c r="G252" s="959"/>
      <c r="H252" s="959"/>
      <c r="I252" s="959"/>
      <c r="J252" s="959"/>
      <c r="K252" s="959"/>
      <c r="L252" s="959"/>
      <c r="M252" s="959"/>
      <c r="N252" s="959"/>
      <c r="O252" s="959"/>
      <c r="P252" s="959"/>
      <c r="Q252" s="959"/>
      <c r="R252" s="959"/>
      <c r="S252" s="959"/>
      <c r="T252" s="959"/>
      <c r="U252" s="959"/>
      <c r="V252" s="959"/>
      <c r="W252" s="959"/>
      <c r="X252" s="959"/>
      <c r="Y252" s="959"/>
      <c r="Z252" s="959"/>
    </row>
    <row r="253">
      <c r="A253" s="959"/>
      <c r="B253" s="959"/>
      <c r="C253" s="959"/>
      <c r="D253" s="959"/>
      <c r="E253" s="959"/>
      <c r="F253" s="959"/>
      <c r="G253" s="959"/>
      <c r="H253" s="959"/>
      <c r="I253" s="959"/>
      <c r="J253" s="959"/>
      <c r="K253" s="959"/>
      <c r="L253" s="959"/>
      <c r="M253" s="959"/>
      <c r="N253" s="959"/>
      <c r="O253" s="959"/>
      <c r="P253" s="959"/>
      <c r="Q253" s="959"/>
      <c r="R253" s="959"/>
      <c r="S253" s="959"/>
      <c r="T253" s="959"/>
      <c r="U253" s="959"/>
      <c r="V253" s="959"/>
      <c r="W253" s="959"/>
      <c r="X253" s="959"/>
      <c r="Y253" s="959"/>
      <c r="Z253" s="959"/>
    </row>
    <row r="254">
      <c r="A254" s="959"/>
      <c r="B254" s="959"/>
      <c r="C254" s="959"/>
      <c r="D254" s="959"/>
      <c r="E254" s="959"/>
      <c r="F254" s="959"/>
      <c r="G254" s="959"/>
      <c r="H254" s="959"/>
      <c r="I254" s="959"/>
      <c r="J254" s="959"/>
      <c r="K254" s="959"/>
      <c r="L254" s="959"/>
      <c r="M254" s="959"/>
      <c r="N254" s="959"/>
      <c r="O254" s="959"/>
      <c r="P254" s="959"/>
      <c r="Q254" s="959"/>
      <c r="R254" s="959"/>
      <c r="S254" s="959"/>
      <c r="T254" s="959"/>
      <c r="U254" s="959"/>
      <c r="V254" s="959"/>
      <c r="W254" s="959"/>
      <c r="X254" s="959"/>
      <c r="Y254" s="959"/>
      <c r="Z254" s="959"/>
    </row>
    <row r="255">
      <c r="A255" s="959"/>
      <c r="B255" s="959"/>
      <c r="C255" s="959"/>
      <c r="D255" s="959"/>
      <c r="E255" s="959"/>
      <c r="F255" s="959"/>
      <c r="G255" s="959"/>
      <c r="H255" s="959"/>
      <c r="I255" s="959"/>
      <c r="J255" s="959"/>
      <c r="K255" s="959"/>
      <c r="L255" s="959"/>
      <c r="M255" s="959"/>
      <c r="N255" s="959"/>
      <c r="O255" s="959"/>
      <c r="P255" s="959"/>
      <c r="Q255" s="959"/>
      <c r="R255" s="959"/>
      <c r="S255" s="959"/>
      <c r="T255" s="959"/>
      <c r="U255" s="959"/>
      <c r="V255" s="959"/>
      <c r="W255" s="959"/>
      <c r="X255" s="959"/>
      <c r="Y255" s="959"/>
      <c r="Z255" s="959"/>
    </row>
    <row r="256">
      <c r="A256" s="959"/>
      <c r="B256" s="959"/>
      <c r="C256" s="959"/>
      <c r="D256" s="959"/>
      <c r="E256" s="959"/>
      <c r="F256" s="959"/>
      <c r="G256" s="959"/>
      <c r="H256" s="959"/>
      <c r="I256" s="959"/>
      <c r="J256" s="959"/>
      <c r="K256" s="959"/>
      <c r="L256" s="959"/>
      <c r="M256" s="959"/>
      <c r="N256" s="959"/>
      <c r="O256" s="959"/>
      <c r="P256" s="959"/>
      <c r="Q256" s="959"/>
      <c r="R256" s="959"/>
      <c r="S256" s="959"/>
      <c r="T256" s="959"/>
      <c r="U256" s="959"/>
      <c r="V256" s="959"/>
      <c r="W256" s="959"/>
      <c r="X256" s="959"/>
      <c r="Y256" s="959"/>
      <c r="Z256" s="959"/>
    </row>
    <row r="257">
      <c r="A257" s="959"/>
      <c r="B257" s="959"/>
      <c r="C257" s="959"/>
      <c r="D257" s="959"/>
      <c r="E257" s="959"/>
      <c r="F257" s="959"/>
      <c r="G257" s="959"/>
      <c r="H257" s="959"/>
      <c r="I257" s="959"/>
      <c r="J257" s="959"/>
      <c r="K257" s="959"/>
      <c r="L257" s="959"/>
      <c r="M257" s="959"/>
      <c r="N257" s="959"/>
      <c r="O257" s="959"/>
      <c r="P257" s="959"/>
      <c r="Q257" s="959"/>
      <c r="R257" s="959"/>
      <c r="S257" s="959"/>
      <c r="T257" s="959"/>
      <c r="U257" s="959"/>
      <c r="V257" s="959"/>
      <c r="W257" s="959"/>
      <c r="X257" s="959"/>
      <c r="Y257" s="959"/>
      <c r="Z257" s="959"/>
    </row>
    <row r="258">
      <c r="A258" s="959"/>
      <c r="B258" s="959"/>
      <c r="C258" s="959"/>
      <c r="D258" s="959"/>
      <c r="E258" s="959"/>
      <c r="F258" s="959"/>
      <c r="G258" s="959"/>
      <c r="H258" s="959"/>
      <c r="I258" s="959"/>
      <c r="J258" s="959"/>
      <c r="K258" s="959"/>
      <c r="L258" s="959"/>
      <c r="M258" s="959"/>
      <c r="N258" s="959"/>
      <c r="O258" s="959"/>
      <c r="P258" s="959"/>
      <c r="Q258" s="959"/>
      <c r="R258" s="959"/>
      <c r="S258" s="959"/>
      <c r="T258" s="959"/>
      <c r="U258" s="959"/>
      <c r="V258" s="959"/>
      <c r="W258" s="959"/>
      <c r="X258" s="959"/>
      <c r="Y258" s="959"/>
      <c r="Z258" s="959"/>
    </row>
    <row r="259">
      <c r="A259" s="959"/>
      <c r="B259" s="959"/>
      <c r="C259" s="959"/>
      <c r="D259" s="959"/>
      <c r="E259" s="959"/>
      <c r="F259" s="959"/>
      <c r="G259" s="959"/>
      <c r="H259" s="959"/>
      <c r="I259" s="959"/>
      <c r="J259" s="959"/>
      <c r="K259" s="959"/>
      <c r="L259" s="959"/>
      <c r="M259" s="959"/>
      <c r="N259" s="959"/>
      <c r="O259" s="959"/>
      <c r="P259" s="959"/>
      <c r="Q259" s="959"/>
      <c r="R259" s="959"/>
      <c r="S259" s="959"/>
      <c r="T259" s="959"/>
      <c r="U259" s="959"/>
      <c r="V259" s="959"/>
      <c r="W259" s="959"/>
      <c r="X259" s="959"/>
      <c r="Y259" s="959"/>
      <c r="Z259" s="959"/>
    </row>
    <row r="260">
      <c r="A260" s="959"/>
      <c r="B260" s="959"/>
      <c r="C260" s="959"/>
      <c r="D260" s="959"/>
      <c r="E260" s="959"/>
      <c r="F260" s="959"/>
      <c r="G260" s="959"/>
      <c r="H260" s="959"/>
      <c r="I260" s="959"/>
      <c r="J260" s="959"/>
      <c r="K260" s="959"/>
      <c r="L260" s="959"/>
      <c r="M260" s="959"/>
      <c r="N260" s="959"/>
      <c r="O260" s="959"/>
      <c r="P260" s="959"/>
      <c r="Q260" s="959"/>
      <c r="R260" s="959"/>
      <c r="S260" s="959"/>
      <c r="T260" s="959"/>
      <c r="U260" s="959"/>
      <c r="V260" s="959"/>
      <c r="W260" s="959"/>
      <c r="X260" s="959"/>
      <c r="Y260" s="959"/>
      <c r="Z260" s="959"/>
    </row>
    <row r="261">
      <c r="A261" s="959"/>
      <c r="B261" s="959"/>
      <c r="C261" s="959"/>
      <c r="D261" s="959"/>
      <c r="E261" s="959"/>
      <c r="F261" s="959"/>
      <c r="G261" s="959"/>
      <c r="H261" s="959"/>
      <c r="I261" s="959"/>
      <c r="J261" s="959"/>
      <c r="K261" s="959"/>
      <c r="L261" s="959"/>
      <c r="M261" s="959"/>
      <c r="N261" s="959"/>
      <c r="O261" s="959"/>
      <c r="P261" s="959"/>
      <c r="Q261" s="959"/>
      <c r="R261" s="959"/>
      <c r="S261" s="959"/>
      <c r="T261" s="959"/>
      <c r="U261" s="959"/>
      <c r="V261" s="959"/>
      <c r="W261" s="959"/>
      <c r="X261" s="959"/>
      <c r="Y261" s="959"/>
      <c r="Z261" s="959"/>
    </row>
    <row r="262">
      <c r="A262" s="959"/>
      <c r="B262" s="959"/>
      <c r="C262" s="959"/>
      <c r="D262" s="959"/>
      <c r="E262" s="959"/>
      <c r="F262" s="959"/>
      <c r="G262" s="959"/>
      <c r="H262" s="959"/>
      <c r="I262" s="959"/>
      <c r="J262" s="959"/>
      <c r="K262" s="959"/>
      <c r="L262" s="959"/>
      <c r="M262" s="959"/>
      <c r="N262" s="959"/>
      <c r="O262" s="959"/>
      <c r="P262" s="959"/>
      <c r="Q262" s="959"/>
      <c r="R262" s="959"/>
      <c r="S262" s="959"/>
      <c r="T262" s="959"/>
      <c r="U262" s="959"/>
      <c r="V262" s="959"/>
      <c r="W262" s="959"/>
      <c r="X262" s="959"/>
      <c r="Y262" s="959"/>
      <c r="Z262" s="959"/>
    </row>
    <row r="263">
      <c r="A263" s="959"/>
      <c r="B263" s="959"/>
      <c r="C263" s="959"/>
      <c r="D263" s="959"/>
      <c r="E263" s="959"/>
      <c r="F263" s="959"/>
      <c r="G263" s="959"/>
      <c r="H263" s="959"/>
      <c r="I263" s="959"/>
      <c r="J263" s="959"/>
      <c r="K263" s="959"/>
      <c r="L263" s="959"/>
      <c r="M263" s="959"/>
      <c r="N263" s="959"/>
      <c r="O263" s="959"/>
      <c r="P263" s="959"/>
      <c r="Q263" s="959"/>
      <c r="R263" s="959"/>
      <c r="S263" s="959"/>
      <c r="T263" s="959"/>
      <c r="U263" s="959"/>
      <c r="V263" s="959"/>
      <c r="W263" s="959"/>
      <c r="X263" s="959"/>
      <c r="Y263" s="959"/>
      <c r="Z263" s="959"/>
    </row>
    <row r="264">
      <c r="A264" s="959"/>
      <c r="B264" s="959"/>
      <c r="C264" s="959"/>
      <c r="D264" s="959"/>
      <c r="E264" s="959"/>
      <c r="F264" s="959"/>
      <c r="G264" s="959"/>
      <c r="H264" s="959"/>
      <c r="I264" s="959"/>
      <c r="J264" s="959"/>
      <c r="K264" s="959"/>
      <c r="L264" s="959"/>
      <c r="M264" s="959"/>
      <c r="N264" s="959"/>
      <c r="O264" s="959"/>
      <c r="P264" s="959"/>
      <c r="Q264" s="959"/>
      <c r="R264" s="959"/>
      <c r="S264" s="959"/>
      <c r="T264" s="959"/>
      <c r="U264" s="959"/>
      <c r="V264" s="959"/>
      <c r="W264" s="959"/>
      <c r="X264" s="959"/>
      <c r="Y264" s="959"/>
      <c r="Z264" s="959"/>
    </row>
    <row r="265">
      <c r="A265" s="959"/>
      <c r="B265" s="959"/>
      <c r="C265" s="959"/>
      <c r="D265" s="959"/>
      <c r="E265" s="959"/>
      <c r="F265" s="959"/>
      <c r="G265" s="959"/>
      <c r="H265" s="959"/>
      <c r="I265" s="959"/>
      <c r="J265" s="959"/>
      <c r="K265" s="959"/>
      <c r="L265" s="959"/>
      <c r="M265" s="959"/>
      <c r="N265" s="959"/>
      <c r="O265" s="959"/>
      <c r="P265" s="959"/>
      <c r="Q265" s="959"/>
      <c r="R265" s="959"/>
      <c r="S265" s="959"/>
      <c r="T265" s="959"/>
      <c r="U265" s="959"/>
      <c r="V265" s="959"/>
      <c r="W265" s="959"/>
      <c r="X265" s="959"/>
      <c r="Y265" s="959"/>
      <c r="Z265" s="959"/>
    </row>
    <row r="266">
      <c r="A266" s="959"/>
      <c r="B266" s="959"/>
      <c r="C266" s="959"/>
      <c r="D266" s="959"/>
      <c r="E266" s="959"/>
      <c r="F266" s="959"/>
      <c r="G266" s="959"/>
      <c r="H266" s="959"/>
      <c r="I266" s="959"/>
      <c r="J266" s="959"/>
      <c r="K266" s="959"/>
      <c r="L266" s="959"/>
      <c r="M266" s="959"/>
      <c r="N266" s="959"/>
      <c r="O266" s="959"/>
      <c r="P266" s="959"/>
      <c r="Q266" s="959"/>
      <c r="R266" s="959"/>
      <c r="S266" s="959"/>
      <c r="T266" s="959"/>
      <c r="U266" s="959"/>
      <c r="V266" s="959"/>
      <c r="W266" s="959"/>
      <c r="X266" s="959"/>
      <c r="Y266" s="959"/>
      <c r="Z266" s="959"/>
    </row>
    <row r="267">
      <c r="A267" s="959"/>
      <c r="B267" s="959"/>
      <c r="C267" s="959"/>
      <c r="D267" s="959"/>
      <c r="E267" s="959"/>
      <c r="F267" s="959"/>
      <c r="G267" s="959"/>
      <c r="H267" s="959"/>
      <c r="I267" s="959"/>
      <c r="J267" s="959"/>
      <c r="K267" s="959"/>
      <c r="L267" s="959"/>
      <c r="M267" s="959"/>
      <c r="N267" s="959"/>
      <c r="O267" s="959"/>
      <c r="P267" s="959"/>
      <c r="Q267" s="959"/>
      <c r="R267" s="959"/>
      <c r="S267" s="959"/>
      <c r="T267" s="959"/>
      <c r="U267" s="959"/>
      <c r="V267" s="959"/>
      <c r="W267" s="959"/>
      <c r="X267" s="959"/>
      <c r="Y267" s="959"/>
      <c r="Z267" s="959"/>
    </row>
    <row r="268">
      <c r="A268" s="959"/>
      <c r="B268" s="959"/>
      <c r="C268" s="959"/>
      <c r="D268" s="959"/>
      <c r="E268" s="959"/>
      <c r="F268" s="959"/>
      <c r="G268" s="959"/>
      <c r="H268" s="959"/>
      <c r="I268" s="959"/>
      <c r="J268" s="959"/>
      <c r="K268" s="959"/>
      <c r="L268" s="959"/>
      <c r="M268" s="959"/>
      <c r="N268" s="959"/>
      <c r="O268" s="959"/>
      <c r="P268" s="959"/>
      <c r="Q268" s="959"/>
      <c r="R268" s="959"/>
      <c r="S268" s="959"/>
      <c r="T268" s="959"/>
      <c r="U268" s="959"/>
      <c r="V268" s="959"/>
      <c r="W268" s="959"/>
      <c r="X268" s="959"/>
      <c r="Y268" s="959"/>
      <c r="Z268" s="959"/>
    </row>
    <row r="269">
      <c r="A269" s="959"/>
      <c r="B269" s="959"/>
      <c r="C269" s="959"/>
      <c r="D269" s="959"/>
      <c r="E269" s="959"/>
      <c r="F269" s="959"/>
      <c r="G269" s="959"/>
      <c r="H269" s="959"/>
      <c r="I269" s="959"/>
      <c r="J269" s="959"/>
      <c r="K269" s="959"/>
      <c r="L269" s="959"/>
      <c r="M269" s="959"/>
      <c r="N269" s="959"/>
      <c r="O269" s="959"/>
      <c r="P269" s="959"/>
      <c r="Q269" s="959"/>
      <c r="R269" s="959"/>
      <c r="S269" s="959"/>
      <c r="T269" s="959"/>
      <c r="U269" s="959"/>
      <c r="V269" s="959"/>
      <c r="W269" s="959"/>
      <c r="X269" s="959"/>
      <c r="Y269" s="959"/>
      <c r="Z269" s="959"/>
    </row>
    <row r="270">
      <c r="A270" s="959"/>
      <c r="B270" s="959"/>
      <c r="C270" s="959"/>
      <c r="D270" s="959"/>
      <c r="E270" s="959"/>
      <c r="F270" s="959"/>
      <c r="G270" s="959"/>
      <c r="H270" s="959"/>
      <c r="I270" s="959"/>
      <c r="J270" s="959"/>
      <c r="K270" s="959"/>
      <c r="L270" s="959"/>
      <c r="M270" s="959"/>
      <c r="N270" s="959"/>
      <c r="O270" s="959"/>
      <c r="P270" s="959"/>
      <c r="Q270" s="959"/>
      <c r="R270" s="959"/>
      <c r="S270" s="959"/>
      <c r="T270" s="959"/>
      <c r="U270" s="959"/>
      <c r="V270" s="959"/>
      <c r="W270" s="959"/>
      <c r="X270" s="959"/>
      <c r="Y270" s="959"/>
      <c r="Z270" s="959"/>
    </row>
    <row r="271">
      <c r="A271" s="959"/>
      <c r="B271" s="959"/>
      <c r="C271" s="959"/>
      <c r="D271" s="959"/>
      <c r="E271" s="959"/>
      <c r="F271" s="959"/>
      <c r="G271" s="959"/>
      <c r="H271" s="959"/>
      <c r="I271" s="959"/>
      <c r="J271" s="959"/>
      <c r="K271" s="959"/>
      <c r="L271" s="959"/>
      <c r="M271" s="959"/>
      <c r="N271" s="959"/>
      <c r="O271" s="959"/>
      <c r="P271" s="959"/>
      <c r="Q271" s="959"/>
      <c r="R271" s="959"/>
      <c r="S271" s="959"/>
      <c r="T271" s="959"/>
      <c r="U271" s="959"/>
      <c r="V271" s="959"/>
      <c r="W271" s="959"/>
      <c r="X271" s="959"/>
      <c r="Y271" s="959"/>
      <c r="Z271" s="959"/>
    </row>
    <row r="272">
      <c r="A272" s="959"/>
      <c r="B272" s="959"/>
      <c r="C272" s="959"/>
      <c r="D272" s="959"/>
      <c r="E272" s="959"/>
      <c r="F272" s="959"/>
      <c r="G272" s="959"/>
      <c r="H272" s="959"/>
      <c r="I272" s="959"/>
      <c r="J272" s="959"/>
      <c r="K272" s="959"/>
      <c r="L272" s="959"/>
      <c r="M272" s="959"/>
      <c r="N272" s="959"/>
      <c r="O272" s="959"/>
      <c r="P272" s="959"/>
      <c r="Q272" s="959"/>
      <c r="R272" s="959"/>
      <c r="S272" s="959"/>
      <c r="T272" s="959"/>
      <c r="U272" s="959"/>
      <c r="V272" s="959"/>
      <c r="W272" s="959"/>
      <c r="X272" s="959"/>
      <c r="Y272" s="959"/>
      <c r="Z272" s="959"/>
    </row>
    <row r="273">
      <c r="A273" s="959"/>
      <c r="B273" s="959"/>
      <c r="C273" s="959"/>
      <c r="D273" s="959"/>
      <c r="E273" s="959"/>
      <c r="F273" s="959"/>
      <c r="G273" s="959"/>
      <c r="H273" s="959"/>
      <c r="I273" s="959"/>
      <c r="J273" s="959"/>
      <c r="K273" s="959"/>
      <c r="L273" s="959"/>
      <c r="M273" s="959"/>
      <c r="N273" s="959"/>
      <c r="O273" s="959"/>
      <c r="P273" s="959"/>
      <c r="Q273" s="959"/>
      <c r="R273" s="959"/>
      <c r="S273" s="959"/>
      <c r="T273" s="959"/>
      <c r="U273" s="959"/>
      <c r="V273" s="959"/>
      <c r="W273" s="959"/>
      <c r="X273" s="959"/>
      <c r="Y273" s="959"/>
      <c r="Z273" s="959"/>
    </row>
    <row r="274">
      <c r="A274" s="959"/>
      <c r="B274" s="959"/>
      <c r="C274" s="959"/>
      <c r="D274" s="959"/>
      <c r="E274" s="959"/>
      <c r="F274" s="959"/>
      <c r="G274" s="959"/>
      <c r="H274" s="959"/>
      <c r="I274" s="959"/>
      <c r="J274" s="959"/>
      <c r="K274" s="959"/>
      <c r="L274" s="959"/>
      <c r="M274" s="959"/>
      <c r="N274" s="959"/>
      <c r="O274" s="959"/>
      <c r="P274" s="959"/>
      <c r="Q274" s="959"/>
      <c r="R274" s="959"/>
      <c r="S274" s="959"/>
      <c r="T274" s="959"/>
      <c r="U274" s="959"/>
      <c r="V274" s="959"/>
      <c r="W274" s="959"/>
      <c r="X274" s="959"/>
      <c r="Y274" s="959"/>
      <c r="Z274" s="959"/>
    </row>
    <row r="275">
      <c r="A275" s="959"/>
      <c r="B275" s="959"/>
      <c r="C275" s="959"/>
      <c r="D275" s="959"/>
      <c r="E275" s="959"/>
      <c r="F275" s="959"/>
      <c r="G275" s="959"/>
      <c r="H275" s="959"/>
      <c r="I275" s="959"/>
      <c r="J275" s="959"/>
      <c r="K275" s="959"/>
      <c r="L275" s="959"/>
      <c r="M275" s="959"/>
      <c r="N275" s="959"/>
      <c r="O275" s="959"/>
      <c r="P275" s="959"/>
      <c r="Q275" s="959"/>
      <c r="R275" s="959"/>
      <c r="S275" s="959"/>
      <c r="T275" s="959"/>
      <c r="U275" s="959"/>
      <c r="V275" s="959"/>
      <c r="W275" s="959"/>
      <c r="X275" s="959"/>
      <c r="Y275" s="959"/>
      <c r="Z275" s="959"/>
    </row>
    <row r="276">
      <c r="A276" s="959"/>
      <c r="B276" s="959"/>
      <c r="C276" s="959"/>
      <c r="D276" s="959"/>
      <c r="E276" s="959"/>
      <c r="F276" s="959"/>
      <c r="G276" s="959"/>
      <c r="H276" s="959"/>
      <c r="I276" s="959"/>
      <c r="J276" s="959"/>
      <c r="K276" s="959"/>
      <c r="L276" s="959"/>
      <c r="M276" s="959"/>
      <c r="N276" s="959"/>
      <c r="O276" s="959"/>
      <c r="P276" s="959"/>
      <c r="Q276" s="959"/>
      <c r="R276" s="959"/>
      <c r="S276" s="959"/>
      <c r="T276" s="959"/>
      <c r="U276" s="959"/>
      <c r="V276" s="959"/>
      <c r="W276" s="959"/>
      <c r="X276" s="959"/>
      <c r="Y276" s="959"/>
      <c r="Z276" s="959"/>
    </row>
    <row r="277">
      <c r="A277" s="959"/>
      <c r="B277" s="959"/>
      <c r="C277" s="959"/>
      <c r="D277" s="959"/>
      <c r="E277" s="959"/>
      <c r="F277" s="959"/>
      <c r="G277" s="959"/>
      <c r="H277" s="959"/>
      <c r="I277" s="959"/>
      <c r="J277" s="959"/>
      <c r="K277" s="959"/>
      <c r="L277" s="959"/>
      <c r="M277" s="959"/>
      <c r="N277" s="959"/>
      <c r="O277" s="959"/>
      <c r="P277" s="959"/>
      <c r="Q277" s="959"/>
      <c r="R277" s="959"/>
      <c r="S277" s="959"/>
      <c r="T277" s="959"/>
      <c r="U277" s="959"/>
      <c r="V277" s="959"/>
      <c r="W277" s="959"/>
      <c r="X277" s="959"/>
      <c r="Y277" s="959"/>
      <c r="Z277" s="959"/>
    </row>
    <row r="278">
      <c r="A278" s="959"/>
      <c r="B278" s="959"/>
      <c r="C278" s="959"/>
      <c r="D278" s="959"/>
      <c r="E278" s="959"/>
      <c r="F278" s="959"/>
      <c r="G278" s="959"/>
      <c r="H278" s="959"/>
      <c r="I278" s="959"/>
      <c r="J278" s="959"/>
      <c r="K278" s="959"/>
      <c r="L278" s="959"/>
      <c r="M278" s="959"/>
      <c r="N278" s="959"/>
      <c r="O278" s="959"/>
      <c r="P278" s="959"/>
      <c r="Q278" s="959"/>
      <c r="R278" s="959"/>
      <c r="S278" s="959"/>
      <c r="T278" s="959"/>
      <c r="U278" s="959"/>
      <c r="V278" s="959"/>
      <c r="W278" s="959"/>
      <c r="X278" s="959"/>
      <c r="Y278" s="959"/>
      <c r="Z278" s="959"/>
    </row>
    <row r="279">
      <c r="A279" s="959"/>
      <c r="B279" s="959"/>
      <c r="C279" s="959"/>
      <c r="D279" s="959"/>
      <c r="E279" s="959"/>
      <c r="F279" s="959"/>
      <c r="G279" s="959"/>
      <c r="H279" s="959"/>
      <c r="I279" s="959"/>
      <c r="J279" s="959"/>
      <c r="K279" s="959"/>
      <c r="L279" s="959"/>
      <c r="M279" s="959"/>
      <c r="N279" s="959"/>
      <c r="O279" s="959"/>
      <c r="P279" s="959"/>
      <c r="Q279" s="959"/>
      <c r="R279" s="959"/>
      <c r="S279" s="959"/>
      <c r="T279" s="959"/>
      <c r="U279" s="959"/>
      <c r="V279" s="959"/>
      <c r="W279" s="959"/>
      <c r="X279" s="959"/>
      <c r="Y279" s="959"/>
      <c r="Z279" s="959"/>
    </row>
    <row r="280">
      <c r="A280" s="959"/>
      <c r="B280" s="959"/>
      <c r="C280" s="959"/>
      <c r="D280" s="959"/>
      <c r="E280" s="959"/>
      <c r="F280" s="959"/>
      <c r="G280" s="959"/>
      <c r="H280" s="959"/>
      <c r="I280" s="959"/>
      <c r="J280" s="959"/>
      <c r="K280" s="959"/>
      <c r="L280" s="959"/>
      <c r="M280" s="959"/>
      <c r="N280" s="959"/>
      <c r="O280" s="959"/>
      <c r="P280" s="959"/>
      <c r="Q280" s="959"/>
      <c r="R280" s="959"/>
      <c r="S280" s="959"/>
      <c r="T280" s="959"/>
      <c r="U280" s="959"/>
      <c r="V280" s="959"/>
      <c r="W280" s="959"/>
      <c r="X280" s="959"/>
      <c r="Y280" s="959"/>
      <c r="Z280" s="959"/>
    </row>
    <row r="281">
      <c r="A281" s="959"/>
      <c r="B281" s="959"/>
      <c r="C281" s="959"/>
      <c r="D281" s="959"/>
      <c r="E281" s="959"/>
      <c r="F281" s="959"/>
      <c r="G281" s="959"/>
      <c r="H281" s="959"/>
      <c r="I281" s="959"/>
      <c r="J281" s="959"/>
      <c r="K281" s="959"/>
      <c r="L281" s="959"/>
      <c r="M281" s="959"/>
      <c r="N281" s="959"/>
      <c r="O281" s="959"/>
      <c r="P281" s="959"/>
      <c r="Q281" s="959"/>
      <c r="R281" s="959"/>
      <c r="S281" s="959"/>
      <c r="T281" s="959"/>
      <c r="U281" s="959"/>
      <c r="V281" s="959"/>
      <c r="W281" s="959"/>
      <c r="X281" s="959"/>
      <c r="Y281" s="959"/>
      <c r="Z281" s="959"/>
    </row>
    <row r="282">
      <c r="A282" s="959"/>
      <c r="B282" s="959"/>
      <c r="C282" s="959"/>
      <c r="D282" s="959"/>
      <c r="E282" s="959"/>
      <c r="F282" s="959"/>
      <c r="G282" s="959"/>
      <c r="H282" s="959"/>
      <c r="I282" s="959"/>
      <c r="J282" s="959"/>
      <c r="K282" s="959"/>
      <c r="L282" s="959"/>
      <c r="M282" s="959"/>
      <c r="N282" s="959"/>
      <c r="O282" s="959"/>
      <c r="P282" s="959"/>
      <c r="Q282" s="959"/>
      <c r="R282" s="959"/>
      <c r="S282" s="959"/>
      <c r="T282" s="959"/>
      <c r="U282" s="959"/>
      <c r="V282" s="959"/>
      <c r="W282" s="959"/>
      <c r="X282" s="959"/>
      <c r="Y282" s="959"/>
      <c r="Z282" s="959"/>
    </row>
    <row r="283">
      <c r="A283" s="959"/>
      <c r="B283" s="959"/>
      <c r="C283" s="959"/>
      <c r="D283" s="959"/>
      <c r="E283" s="959"/>
      <c r="F283" s="959"/>
      <c r="G283" s="959"/>
      <c r="H283" s="959"/>
      <c r="I283" s="959"/>
      <c r="J283" s="959"/>
      <c r="K283" s="959"/>
      <c r="L283" s="959"/>
      <c r="M283" s="959"/>
      <c r="N283" s="959"/>
      <c r="O283" s="959"/>
      <c r="P283" s="959"/>
      <c r="Q283" s="959"/>
      <c r="R283" s="959"/>
      <c r="S283" s="959"/>
      <c r="T283" s="959"/>
      <c r="U283" s="959"/>
      <c r="V283" s="959"/>
      <c r="W283" s="959"/>
      <c r="X283" s="959"/>
      <c r="Y283" s="959"/>
      <c r="Z283" s="959"/>
    </row>
    <row r="284">
      <c r="A284" s="959"/>
      <c r="B284" s="959"/>
      <c r="C284" s="959"/>
      <c r="D284" s="959"/>
      <c r="E284" s="959"/>
      <c r="F284" s="959"/>
      <c r="G284" s="959"/>
      <c r="H284" s="959"/>
      <c r="I284" s="959"/>
      <c r="J284" s="959"/>
      <c r="K284" s="959"/>
      <c r="L284" s="959"/>
      <c r="M284" s="959"/>
      <c r="N284" s="959"/>
      <c r="O284" s="959"/>
      <c r="P284" s="959"/>
      <c r="Q284" s="959"/>
      <c r="R284" s="959"/>
      <c r="S284" s="959"/>
      <c r="T284" s="959"/>
      <c r="U284" s="959"/>
      <c r="V284" s="959"/>
      <c r="W284" s="959"/>
      <c r="X284" s="959"/>
      <c r="Y284" s="959"/>
      <c r="Z284" s="959"/>
    </row>
    <row r="285">
      <c r="A285" s="959"/>
      <c r="B285" s="959"/>
      <c r="C285" s="959"/>
      <c r="D285" s="959"/>
      <c r="E285" s="959"/>
      <c r="F285" s="959"/>
      <c r="G285" s="959"/>
      <c r="H285" s="959"/>
      <c r="I285" s="959"/>
      <c r="J285" s="959"/>
      <c r="K285" s="959"/>
      <c r="L285" s="959"/>
      <c r="M285" s="959"/>
      <c r="N285" s="959"/>
      <c r="O285" s="959"/>
      <c r="P285" s="959"/>
      <c r="Q285" s="959"/>
      <c r="R285" s="959"/>
      <c r="S285" s="959"/>
      <c r="T285" s="959"/>
      <c r="U285" s="959"/>
      <c r="V285" s="959"/>
      <c r="W285" s="959"/>
      <c r="X285" s="959"/>
      <c r="Y285" s="959"/>
      <c r="Z285" s="959"/>
    </row>
    <row r="286">
      <c r="A286" s="959"/>
      <c r="B286" s="959"/>
      <c r="C286" s="959"/>
      <c r="D286" s="959"/>
      <c r="E286" s="959"/>
      <c r="F286" s="959"/>
      <c r="G286" s="959"/>
      <c r="H286" s="959"/>
      <c r="I286" s="959"/>
      <c r="J286" s="959"/>
      <c r="K286" s="959"/>
      <c r="L286" s="959"/>
      <c r="M286" s="959"/>
      <c r="N286" s="959"/>
      <c r="O286" s="959"/>
      <c r="P286" s="959"/>
      <c r="Q286" s="959"/>
      <c r="R286" s="959"/>
      <c r="S286" s="959"/>
      <c r="T286" s="959"/>
      <c r="U286" s="959"/>
      <c r="V286" s="959"/>
      <c r="W286" s="959"/>
      <c r="X286" s="959"/>
      <c r="Y286" s="959"/>
      <c r="Z286" s="959"/>
    </row>
    <row r="287">
      <c r="A287" s="959"/>
      <c r="B287" s="959"/>
      <c r="C287" s="959"/>
      <c r="D287" s="959"/>
      <c r="E287" s="959"/>
      <c r="F287" s="959"/>
      <c r="G287" s="959"/>
      <c r="H287" s="959"/>
      <c r="I287" s="959"/>
      <c r="J287" s="959"/>
      <c r="K287" s="959"/>
      <c r="L287" s="959"/>
      <c r="M287" s="959"/>
      <c r="N287" s="959"/>
      <c r="O287" s="959"/>
      <c r="P287" s="959"/>
      <c r="Q287" s="959"/>
      <c r="R287" s="959"/>
      <c r="S287" s="959"/>
      <c r="T287" s="959"/>
      <c r="U287" s="959"/>
      <c r="V287" s="959"/>
      <c r="W287" s="959"/>
      <c r="X287" s="959"/>
      <c r="Y287" s="959"/>
      <c r="Z287" s="959"/>
    </row>
    <row r="288">
      <c r="A288" s="959"/>
      <c r="B288" s="959"/>
      <c r="C288" s="959"/>
      <c r="D288" s="959"/>
      <c r="E288" s="959"/>
      <c r="F288" s="959"/>
      <c r="G288" s="959"/>
      <c r="H288" s="959"/>
      <c r="I288" s="959"/>
      <c r="J288" s="959"/>
      <c r="K288" s="959"/>
      <c r="L288" s="959"/>
      <c r="M288" s="959"/>
      <c r="N288" s="959"/>
      <c r="O288" s="959"/>
      <c r="P288" s="959"/>
      <c r="Q288" s="959"/>
      <c r="R288" s="959"/>
      <c r="S288" s="959"/>
      <c r="T288" s="959"/>
      <c r="U288" s="959"/>
      <c r="V288" s="959"/>
      <c r="W288" s="959"/>
      <c r="X288" s="959"/>
      <c r="Y288" s="959"/>
      <c r="Z288" s="959"/>
    </row>
    <row r="289">
      <c r="A289" s="959"/>
      <c r="B289" s="959"/>
      <c r="C289" s="959"/>
      <c r="D289" s="959"/>
      <c r="E289" s="959"/>
      <c r="F289" s="959"/>
      <c r="G289" s="959"/>
      <c r="H289" s="959"/>
      <c r="I289" s="959"/>
      <c r="J289" s="959"/>
      <c r="K289" s="959"/>
      <c r="L289" s="959"/>
      <c r="M289" s="959"/>
      <c r="N289" s="959"/>
      <c r="O289" s="959"/>
      <c r="P289" s="959"/>
      <c r="Q289" s="959"/>
      <c r="R289" s="959"/>
      <c r="S289" s="959"/>
      <c r="T289" s="959"/>
      <c r="U289" s="959"/>
      <c r="V289" s="959"/>
      <c r="W289" s="959"/>
      <c r="X289" s="959"/>
      <c r="Y289" s="959"/>
      <c r="Z289" s="959"/>
    </row>
    <row r="290">
      <c r="A290" s="959"/>
      <c r="B290" s="959"/>
      <c r="C290" s="959"/>
      <c r="D290" s="959"/>
      <c r="E290" s="959"/>
      <c r="F290" s="959"/>
      <c r="G290" s="959"/>
      <c r="H290" s="959"/>
      <c r="I290" s="959"/>
      <c r="J290" s="959"/>
      <c r="K290" s="959"/>
      <c r="L290" s="959"/>
      <c r="M290" s="959"/>
      <c r="N290" s="959"/>
      <c r="O290" s="959"/>
      <c r="P290" s="959"/>
      <c r="Q290" s="959"/>
      <c r="R290" s="959"/>
      <c r="S290" s="959"/>
      <c r="T290" s="959"/>
      <c r="U290" s="959"/>
      <c r="V290" s="959"/>
      <c r="W290" s="959"/>
      <c r="X290" s="959"/>
      <c r="Y290" s="959"/>
      <c r="Z290" s="959"/>
    </row>
    <row r="291">
      <c r="A291" s="959"/>
      <c r="B291" s="959"/>
      <c r="C291" s="959"/>
      <c r="D291" s="959"/>
      <c r="E291" s="959"/>
      <c r="F291" s="959"/>
      <c r="G291" s="959"/>
      <c r="H291" s="959"/>
      <c r="I291" s="959"/>
      <c r="J291" s="959"/>
      <c r="K291" s="959"/>
      <c r="L291" s="959"/>
      <c r="M291" s="959"/>
      <c r="N291" s="959"/>
      <c r="O291" s="959"/>
      <c r="P291" s="959"/>
      <c r="Q291" s="959"/>
      <c r="R291" s="959"/>
      <c r="S291" s="959"/>
      <c r="T291" s="959"/>
      <c r="U291" s="959"/>
      <c r="V291" s="959"/>
      <c r="W291" s="959"/>
      <c r="X291" s="959"/>
      <c r="Y291" s="959"/>
      <c r="Z291" s="959"/>
    </row>
    <row r="292">
      <c r="A292" s="959"/>
      <c r="B292" s="959"/>
      <c r="C292" s="959"/>
      <c r="D292" s="959"/>
      <c r="E292" s="959"/>
      <c r="F292" s="959"/>
      <c r="G292" s="959"/>
      <c r="H292" s="959"/>
      <c r="I292" s="959"/>
      <c r="J292" s="959"/>
      <c r="K292" s="959"/>
      <c r="L292" s="959"/>
      <c r="M292" s="959"/>
      <c r="N292" s="959"/>
      <c r="O292" s="959"/>
      <c r="P292" s="959"/>
      <c r="Q292" s="959"/>
      <c r="R292" s="959"/>
      <c r="S292" s="959"/>
      <c r="T292" s="959"/>
      <c r="U292" s="959"/>
      <c r="V292" s="959"/>
      <c r="W292" s="959"/>
      <c r="X292" s="959"/>
      <c r="Y292" s="959"/>
      <c r="Z292" s="959"/>
    </row>
    <row r="293">
      <c r="A293" s="959"/>
      <c r="B293" s="959"/>
      <c r="C293" s="959"/>
      <c r="D293" s="959"/>
      <c r="E293" s="959"/>
      <c r="F293" s="959"/>
      <c r="G293" s="959"/>
      <c r="H293" s="959"/>
      <c r="I293" s="959"/>
      <c r="J293" s="959"/>
      <c r="K293" s="959"/>
      <c r="L293" s="959"/>
      <c r="M293" s="959"/>
      <c r="N293" s="959"/>
      <c r="O293" s="959"/>
      <c r="P293" s="959"/>
      <c r="Q293" s="959"/>
      <c r="R293" s="959"/>
      <c r="S293" s="959"/>
      <c r="T293" s="959"/>
      <c r="U293" s="959"/>
      <c r="V293" s="959"/>
      <c r="W293" s="959"/>
      <c r="X293" s="959"/>
      <c r="Y293" s="959"/>
      <c r="Z293" s="959"/>
    </row>
    <row r="294">
      <c r="A294" s="959"/>
      <c r="B294" s="959"/>
      <c r="C294" s="959"/>
      <c r="D294" s="959"/>
      <c r="E294" s="959"/>
      <c r="F294" s="959"/>
      <c r="G294" s="959"/>
      <c r="H294" s="959"/>
      <c r="I294" s="959"/>
      <c r="J294" s="959"/>
      <c r="K294" s="959"/>
      <c r="L294" s="959"/>
      <c r="M294" s="959"/>
      <c r="N294" s="959"/>
      <c r="O294" s="959"/>
      <c r="P294" s="959"/>
      <c r="Q294" s="959"/>
      <c r="R294" s="959"/>
      <c r="S294" s="959"/>
      <c r="T294" s="959"/>
      <c r="U294" s="959"/>
      <c r="V294" s="959"/>
      <c r="W294" s="959"/>
      <c r="X294" s="959"/>
      <c r="Y294" s="959"/>
      <c r="Z294" s="959"/>
    </row>
    <row r="295">
      <c r="A295" s="959"/>
      <c r="B295" s="959"/>
      <c r="C295" s="959"/>
      <c r="D295" s="959"/>
      <c r="E295" s="959"/>
      <c r="F295" s="959"/>
      <c r="G295" s="959"/>
      <c r="H295" s="959"/>
      <c r="I295" s="959"/>
      <c r="J295" s="959"/>
      <c r="K295" s="959"/>
      <c r="L295" s="959"/>
      <c r="M295" s="959"/>
      <c r="N295" s="959"/>
      <c r="O295" s="959"/>
      <c r="P295" s="959"/>
      <c r="Q295" s="959"/>
      <c r="R295" s="959"/>
      <c r="S295" s="959"/>
      <c r="T295" s="959"/>
      <c r="U295" s="959"/>
      <c r="V295" s="959"/>
      <c r="W295" s="959"/>
      <c r="X295" s="959"/>
      <c r="Y295" s="959"/>
      <c r="Z295" s="959"/>
    </row>
    <row r="296">
      <c r="A296" s="959"/>
      <c r="B296" s="959"/>
      <c r="C296" s="959"/>
      <c r="D296" s="959"/>
      <c r="E296" s="959"/>
      <c r="F296" s="959"/>
      <c r="G296" s="959"/>
      <c r="H296" s="959"/>
      <c r="I296" s="959"/>
      <c r="J296" s="959"/>
      <c r="K296" s="959"/>
      <c r="L296" s="959"/>
      <c r="M296" s="959"/>
      <c r="N296" s="959"/>
      <c r="O296" s="959"/>
      <c r="P296" s="959"/>
      <c r="Q296" s="959"/>
      <c r="R296" s="959"/>
      <c r="S296" s="959"/>
      <c r="T296" s="959"/>
      <c r="U296" s="959"/>
      <c r="V296" s="959"/>
      <c r="W296" s="959"/>
      <c r="X296" s="959"/>
      <c r="Y296" s="959"/>
      <c r="Z296" s="959"/>
    </row>
    <row r="297">
      <c r="A297" s="959"/>
      <c r="B297" s="959"/>
      <c r="C297" s="959"/>
      <c r="D297" s="959"/>
      <c r="E297" s="959"/>
      <c r="F297" s="959"/>
      <c r="G297" s="959"/>
      <c r="H297" s="959"/>
      <c r="I297" s="959"/>
      <c r="J297" s="959"/>
      <c r="K297" s="959"/>
      <c r="L297" s="959"/>
      <c r="M297" s="959"/>
      <c r="N297" s="959"/>
      <c r="O297" s="959"/>
      <c r="P297" s="959"/>
      <c r="Q297" s="959"/>
      <c r="R297" s="959"/>
      <c r="S297" s="959"/>
      <c r="T297" s="959"/>
      <c r="U297" s="959"/>
      <c r="V297" s="959"/>
      <c r="W297" s="959"/>
      <c r="X297" s="959"/>
      <c r="Y297" s="959"/>
      <c r="Z297" s="959"/>
    </row>
    <row r="298">
      <c r="A298" s="959"/>
      <c r="B298" s="959"/>
      <c r="C298" s="959"/>
      <c r="D298" s="959"/>
      <c r="E298" s="959"/>
      <c r="F298" s="959"/>
      <c r="G298" s="959"/>
      <c r="H298" s="959"/>
      <c r="I298" s="959"/>
      <c r="J298" s="959"/>
      <c r="K298" s="959"/>
      <c r="L298" s="959"/>
      <c r="M298" s="959"/>
      <c r="N298" s="959"/>
      <c r="O298" s="959"/>
      <c r="P298" s="959"/>
      <c r="Q298" s="959"/>
      <c r="R298" s="959"/>
      <c r="S298" s="959"/>
      <c r="T298" s="959"/>
      <c r="U298" s="959"/>
      <c r="V298" s="959"/>
      <c r="W298" s="959"/>
      <c r="X298" s="959"/>
      <c r="Y298" s="959"/>
      <c r="Z298" s="959"/>
    </row>
    <row r="299">
      <c r="A299" s="959"/>
      <c r="B299" s="959"/>
      <c r="C299" s="959"/>
      <c r="D299" s="959"/>
      <c r="E299" s="959"/>
      <c r="F299" s="959"/>
      <c r="G299" s="959"/>
      <c r="H299" s="959"/>
      <c r="I299" s="959"/>
      <c r="J299" s="959"/>
      <c r="K299" s="959"/>
      <c r="L299" s="959"/>
      <c r="M299" s="959"/>
      <c r="N299" s="959"/>
      <c r="O299" s="959"/>
      <c r="P299" s="959"/>
      <c r="Q299" s="959"/>
      <c r="R299" s="959"/>
      <c r="S299" s="959"/>
      <c r="T299" s="959"/>
      <c r="U299" s="959"/>
      <c r="V299" s="959"/>
      <c r="W299" s="959"/>
      <c r="X299" s="959"/>
      <c r="Y299" s="959"/>
      <c r="Z299" s="959"/>
    </row>
    <row r="300">
      <c r="A300" s="959"/>
      <c r="B300" s="959"/>
      <c r="C300" s="959"/>
      <c r="D300" s="959"/>
      <c r="E300" s="959"/>
      <c r="F300" s="959"/>
      <c r="G300" s="959"/>
      <c r="H300" s="959"/>
      <c r="I300" s="959"/>
      <c r="J300" s="959"/>
      <c r="K300" s="959"/>
      <c r="L300" s="959"/>
      <c r="M300" s="959"/>
      <c r="N300" s="959"/>
      <c r="O300" s="959"/>
      <c r="P300" s="959"/>
      <c r="Q300" s="959"/>
      <c r="R300" s="959"/>
      <c r="S300" s="959"/>
      <c r="T300" s="959"/>
      <c r="U300" s="959"/>
      <c r="V300" s="959"/>
      <c r="W300" s="959"/>
      <c r="X300" s="959"/>
      <c r="Y300" s="959"/>
      <c r="Z300" s="959"/>
    </row>
    <row r="301">
      <c r="A301" s="959"/>
      <c r="B301" s="959"/>
      <c r="C301" s="959"/>
      <c r="D301" s="959"/>
      <c r="E301" s="959"/>
      <c r="F301" s="959"/>
      <c r="G301" s="959"/>
      <c r="H301" s="959"/>
      <c r="I301" s="959"/>
      <c r="J301" s="959"/>
      <c r="K301" s="959"/>
      <c r="L301" s="959"/>
      <c r="M301" s="959"/>
      <c r="N301" s="959"/>
      <c r="O301" s="959"/>
      <c r="P301" s="959"/>
      <c r="Q301" s="959"/>
      <c r="R301" s="959"/>
      <c r="S301" s="959"/>
      <c r="T301" s="959"/>
      <c r="U301" s="959"/>
      <c r="V301" s="959"/>
      <c r="W301" s="959"/>
      <c r="X301" s="959"/>
      <c r="Y301" s="959"/>
      <c r="Z301" s="959"/>
    </row>
    <row r="302">
      <c r="A302" s="959"/>
      <c r="B302" s="959"/>
      <c r="C302" s="959"/>
      <c r="D302" s="959"/>
      <c r="E302" s="959"/>
      <c r="F302" s="959"/>
      <c r="G302" s="959"/>
      <c r="H302" s="959"/>
      <c r="I302" s="959"/>
      <c r="J302" s="959"/>
      <c r="K302" s="959"/>
      <c r="L302" s="959"/>
      <c r="M302" s="959"/>
      <c r="N302" s="959"/>
      <c r="O302" s="959"/>
      <c r="P302" s="959"/>
      <c r="Q302" s="959"/>
      <c r="R302" s="959"/>
      <c r="S302" s="959"/>
      <c r="T302" s="959"/>
      <c r="U302" s="959"/>
      <c r="V302" s="959"/>
      <c r="W302" s="959"/>
      <c r="X302" s="959"/>
      <c r="Y302" s="959"/>
      <c r="Z302" s="959"/>
    </row>
    <row r="303">
      <c r="A303" s="959"/>
      <c r="B303" s="959"/>
      <c r="C303" s="959"/>
      <c r="D303" s="959"/>
      <c r="E303" s="959"/>
      <c r="F303" s="959"/>
      <c r="G303" s="959"/>
      <c r="H303" s="959"/>
      <c r="I303" s="959"/>
      <c r="J303" s="959"/>
      <c r="K303" s="959"/>
      <c r="L303" s="959"/>
      <c r="M303" s="959"/>
      <c r="N303" s="959"/>
      <c r="O303" s="959"/>
      <c r="P303" s="959"/>
      <c r="Q303" s="959"/>
      <c r="R303" s="959"/>
      <c r="S303" s="959"/>
      <c r="T303" s="959"/>
      <c r="U303" s="959"/>
      <c r="V303" s="959"/>
      <c r="W303" s="959"/>
      <c r="X303" s="959"/>
      <c r="Y303" s="959"/>
      <c r="Z303" s="959"/>
    </row>
    <row r="304">
      <c r="A304" s="959"/>
      <c r="B304" s="959"/>
      <c r="C304" s="959"/>
      <c r="D304" s="959"/>
      <c r="E304" s="959"/>
      <c r="F304" s="959"/>
      <c r="G304" s="959"/>
      <c r="H304" s="959"/>
      <c r="I304" s="959"/>
      <c r="J304" s="959"/>
      <c r="K304" s="959"/>
      <c r="L304" s="959"/>
      <c r="M304" s="959"/>
      <c r="N304" s="959"/>
      <c r="O304" s="959"/>
      <c r="P304" s="959"/>
      <c r="Q304" s="959"/>
      <c r="R304" s="959"/>
      <c r="S304" s="959"/>
      <c r="T304" s="959"/>
      <c r="U304" s="959"/>
      <c r="V304" s="959"/>
      <c r="W304" s="959"/>
      <c r="X304" s="959"/>
      <c r="Y304" s="959"/>
      <c r="Z304" s="959"/>
    </row>
    <row r="305">
      <c r="A305" s="959"/>
      <c r="B305" s="959"/>
      <c r="C305" s="959"/>
      <c r="D305" s="959"/>
      <c r="E305" s="959"/>
      <c r="F305" s="959"/>
      <c r="G305" s="959"/>
      <c r="H305" s="959"/>
      <c r="I305" s="959"/>
      <c r="J305" s="959"/>
      <c r="K305" s="959"/>
      <c r="L305" s="959"/>
      <c r="M305" s="959"/>
      <c r="N305" s="959"/>
      <c r="O305" s="959"/>
      <c r="P305" s="959"/>
      <c r="Q305" s="959"/>
      <c r="R305" s="959"/>
      <c r="S305" s="959"/>
      <c r="T305" s="959"/>
      <c r="U305" s="959"/>
      <c r="V305" s="959"/>
      <c r="W305" s="959"/>
      <c r="X305" s="959"/>
      <c r="Y305" s="959"/>
      <c r="Z305" s="959"/>
    </row>
    <row r="306">
      <c r="A306" s="959"/>
      <c r="B306" s="959"/>
      <c r="C306" s="959"/>
      <c r="D306" s="959"/>
      <c r="E306" s="959"/>
      <c r="F306" s="959"/>
      <c r="G306" s="959"/>
      <c r="H306" s="959"/>
      <c r="I306" s="959"/>
      <c r="J306" s="959"/>
      <c r="K306" s="959"/>
      <c r="L306" s="959"/>
      <c r="M306" s="959"/>
      <c r="N306" s="959"/>
      <c r="O306" s="959"/>
      <c r="P306" s="959"/>
      <c r="Q306" s="959"/>
      <c r="R306" s="959"/>
      <c r="S306" s="959"/>
      <c r="T306" s="959"/>
      <c r="U306" s="959"/>
      <c r="V306" s="959"/>
      <c r="W306" s="959"/>
      <c r="X306" s="959"/>
      <c r="Y306" s="959"/>
      <c r="Z306" s="959"/>
    </row>
    <row r="307">
      <c r="A307" s="959"/>
      <c r="B307" s="959"/>
      <c r="C307" s="959"/>
      <c r="D307" s="959"/>
      <c r="E307" s="959"/>
      <c r="F307" s="959"/>
      <c r="G307" s="959"/>
      <c r="H307" s="959"/>
      <c r="I307" s="959"/>
      <c r="J307" s="959"/>
      <c r="K307" s="959"/>
      <c r="L307" s="959"/>
      <c r="M307" s="959"/>
      <c r="N307" s="959"/>
      <c r="O307" s="959"/>
      <c r="P307" s="959"/>
      <c r="Q307" s="959"/>
      <c r="R307" s="959"/>
      <c r="S307" s="959"/>
      <c r="T307" s="959"/>
      <c r="U307" s="959"/>
      <c r="V307" s="959"/>
      <c r="W307" s="959"/>
      <c r="X307" s="959"/>
      <c r="Y307" s="959"/>
      <c r="Z307" s="959"/>
    </row>
    <row r="308">
      <c r="A308" s="959"/>
      <c r="B308" s="959"/>
      <c r="C308" s="959"/>
      <c r="D308" s="959"/>
      <c r="E308" s="959"/>
      <c r="F308" s="959"/>
      <c r="G308" s="959"/>
      <c r="H308" s="959"/>
      <c r="I308" s="959"/>
      <c r="J308" s="959"/>
      <c r="K308" s="959"/>
      <c r="L308" s="959"/>
      <c r="M308" s="959"/>
      <c r="N308" s="959"/>
      <c r="O308" s="959"/>
      <c r="P308" s="959"/>
      <c r="Q308" s="959"/>
      <c r="R308" s="959"/>
      <c r="S308" s="959"/>
      <c r="T308" s="959"/>
      <c r="U308" s="959"/>
      <c r="V308" s="959"/>
      <c r="W308" s="959"/>
      <c r="X308" s="959"/>
      <c r="Y308" s="959"/>
      <c r="Z308" s="959"/>
    </row>
    <row r="309">
      <c r="A309" s="959"/>
      <c r="B309" s="959"/>
      <c r="C309" s="959"/>
      <c r="D309" s="959"/>
      <c r="E309" s="959"/>
      <c r="F309" s="959"/>
      <c r="G309" s="959"/>
      <c r="H309" s="959"/>
      <c r="I309" s="959"/>
      <c r="J309" s="959"/>
      <c r="K309" s="959"/>
      <c r="L309" s="959"/>
      <c r="M309" s="959"/>
      <c r="N309" s="959"/>
      <c r="O309" s="959"/>
      <c r="P309" s="959"/>
      <c r="Q309" s="959"/>
      <c r="R309" s="959"/>
      <c r="S309" s="959"/>
      <c r="T309" s="959"/>
      <c r="U309" s="959"/>
      <c r="V309" s="959"/>
      <c r="W309" s="959"/>
      <c r="X309" s="959"/>
      <c r="Y309" s="959"/>
      <c r="Z309" s="959"/>
    </row>
    <row r="310">
      <c r="A310" s="959"/>
      <c r="B310" s="959"/>
      <c r="C310" s="959"/>
      <c r="D310" s="959"/>
      <c r="E310" s="959"/>
      <c r="F310" s="959"/>
      <c r="G310" s="959"/>
      <c r="H310" s="959"/>
      <c r="I310" s="959"/>
      <c r="J310" s="959"/>
      <c r="K310" s="959"/>
      <c r="L310" s="959"/>
      <c r="M310" s="959"/>
      <c r="N310" s="959"/>
      <c r="O310" s="959"/>
      <c r="P310" s="959"/>
      <c r="Q310" s="959"/>
      <c r="R310" s="959"/>
      <c r="S310" s="959"/>
      <c r="T310" s="959"/>
      <c r="U310" s="959"/>
      <c r="V310" s="959"/>
      <c r="W310" s="959"/>
      <c r="X310" s="959"/>
      <c r="Y310" s="959"/>
      <c r="Z310" s="959"/>
    </row>
    <row r="311">
      <c r="A311" s="959"/>
      <c r="B311" s="959"/>
      <c r="C311" s="959"/>
      <c r="D311" s="959"/>
      <c r="E311" s="959"/>
      <c r="F311" s="959"/>
      <c r="G311" s="959"/>
      <c r="H311" s="959"/>
      <c r="I311" s="959"/>
      <c r="J311" s="959"/>
      <c r="K311" s="959"/>
      <c r="L311" s="959"/>
      <c r="M311" s="959"/>
      <c r="N311" s="959"/>
      <c r="O311" s="959"/>
      <c r="P311" s="959"/>
      <c r="Q311" s="959"/>
      <c r="R311" s="959"/>
      <c r="S311" s="959"/>
      <c r="T311" s="959"/>
      <c r="U311" s="959"/>
      <c r="V311" s="959"/>
      <c r="W311" s="959"/>
      <c r="X311" s="959"/>
      <c r="Y311" s="959"/>
      <c r="Z311" s="959"/>
    </row>
    <row r="312">
      <c r="A312" s="959"/>
      <c r="B312" s="959"/>
      <c r="C312" s="959"/>
      <c r="D312" s="959"/>
      <c r="E312" s="959"/>
      <c r="F312" s="959"/>
      <c r="G312" s="959"/>
      <c r="H312" s="959"/>
      <c r="I312" s="959"/>
      <c r="J312" s="959"/>
      <c r="K312" s="959"/>
      <c r="L312" s="959"/>
      <c r="M312" s="959"/>
      <c r="N312" s="959"/>
      <c r="O312" s="959"/>
      <c r="P312" s="959"/>
      <c r="Q312" s="959"/>
      <c r="R312" s="959"/>
      <c r="S312" s="959"/>
      <c r="T312" s="959"/>
      <c r="U312" s="959"/>
      <c r="V312" s="959"/>
      <c r="W312" s="959"/>
      <c r="X312" s="959"/>
      <c r="Y312" s="959"/>
      <c r="Z312" s="959"/>
    </row>
    <row r="313">
      <c r="A313" s="959"/>
      <c r="B313" s="959"/>
      <c r="C313" s="959"/>
      <c r="D313" s="959"/>
      <c r="E313" s="959"/>
      <c r="F313" s="959"/>
      <c r="G313" s="959"/>
      <c r="H313" s="959"/>
      <c r="I313" s="959"/>
      <c r="J313" s="959"/>
      <c r="K313" s="959"/>
      <c r="L313" s="959"/>
      <c r="M313" s="959"/>
      <c r="N313" s="959"/>
      <c r="O313" s="959"/>
      <c r="P313" s="959"/>
      <c r="Q313" s="959"/>
      <c r="R313" s="959"/>
      <c r="S313" s="959"/>
      <c r="T313" s="959"/>
      <c r="U313" s="959"/>
      <c r="V313" s="959"/>
      <c r="W313" s="959"/>
      <c r="X313" s="959"/>
      <c r="Y313" s="959"/>
      <c r="Z313" s="959"/>
    </row>
    <row r="314">
      <c r="A314" s="959"/>
      <c r="B314" s="959"/>
      <c r="C314" s="959"/>
      <c r="D314" s="959"/>
      <c r="E314" s="959"/>
      <c r="F314" s="959"/>
      <c r="G314" s="959"/>
      <c r="H314" s="959"/>
      <c r="I314" s="959"/>
      <c r="J314" s="959"/>
      <c r="K314" s="959"/>
      <c r="L314" s="959"/>
      <c r="M314" s="959"/>
      <c r="N314" s="959"/>
      <c r="O314" s="959"/>
      <c r="P314" s="959"/>
      <c r="Q314" s="959"/>
      <c r="R314" s="959"/>
      <c r="S314" s="959"/>
      <c r="T314" s="959"/>
      <c r="U314" s="959"/>
      <c r="V314" s="959"/>
      <c r="W314" s="959"/>
      <c r="X314" s="959"/>
      <c r="Y314" s="959"/>
      <c r="Z314" s="959"/>
    </row>
    <row r="315">
      <c r="A315" s="959"/>
      <c r="B315" s="959"/>
      <c r="C315" s="959"/>
      <c r="D315" s="959"/>
      <c r="E315" s="959"/>
      <c r="F315" s="959"/>
      <c r="G315" s="959"/>
      <c r="H315" s="959"/>
      <c r="I315" s="959"/>
      <c r="J315" s="959"/>
      <c r="K315" s="959"/>
      <c r="L315" s="959"/>
      <c r="M315" s="959"/>
      <c r="N315" s="959"/>
      <c r="O315" s="959"/>
      <c r="P315" s="959"/>
      <c r="Q315" s="959"/>
      <c r="R315" s="959"/>
      <c r="S315" s="959"/>
      <c r="T315" s="959"/>
      <c r="U315" s="959"/>
      <c r="V315" s="959"/>
      <c r="W315" s="959"/>
      <c r="X315" s="959"/>
      <c r="Y315" s="959"/>
      <c r="Z315" s="959"/>
    </row>
    <row r="316">
      <c r="A316" s="959"/>
      <c r="B316" s="959"/>
      <c r="C316" s="959"/>
      <c r="D316" s="959"/>
      <c r="E316" s="959"/>
      <c r="F316" s="959"/>
      <c r="G316" s="959"/>
      <c r="H316" s="959"/>
      <c r="I316" s="959"/>
      <c r="J316" s="959"/>
      <c r="K316" s="959"/>
      <c r="L316" s="959"/>
      <c r="M316" s="959"/>
      <c r="N316" s="959"/>
      <c r="O316" s="959"/>
      <c r="P316" s="959"/>
      <c r="Q316" s="959"/>
      <c r="R316" s="959"/>
      <c r="S316" s="959"/>
      <c r="T316" s="959"/>
      <c r="U316" s="959"/>
      <c r="V316" s="959"/>
      <c r="W316" s="959"/>
      <c r="X316" s="959"/>
      <c r="Y316" s="959"/>
      <c r="Z316" s="959"/>
    </row>
    <row r="317">
      <c r="A317" s="959"/>
      <c r="B317" s="959"/>
      <c r="C317" s="959"/>
      <c r="D317" s="959"/>
      <c r="E317" s="959"/>
      <c r="F317" s="959"/>
      <c r="G317" s="959"/>
      <c r="H317" s="959"/>
      <c r="I317" s="959"/>
      <c r="J317" s="959"/>
      <c r="K317" s="959"/>
      <c r="L317" s="959"/>
      <c r="M317" s="959"/>
      <c r="N317" s="959"/>
      <c r="O317" s="959"/>
      <c r="P317" s="959"/>
      <c r="Q317" s="959"/>
      <c r="R317" s="959"/>
      <c r="S317" s="959"/>
      <c r="T317" s="959"/>
      <c r="U317" s="959"/>
      <c r="V317" s="959"/>
      <c r="W317" s="959"/>
      <c r="X317" s="959"/>
      <c r="Y317" s="959"/>
      <c r="Z317" s="959"/>
    </row>
    <row r="318">
      <c r="A318" s="959"/>
      <c r="B318" s="959"/>
      <c r="C318" s="959"/>
      <c r="D318" s="959"/>
      <c r="E318" s="959"/>
      <c r="F318" s="959"/>
      <c r="G318" s="959"/>
      <c r="H318" s="959"/>
      <c r="I318" s="959"/>
      <c r="J318" s="959"/>
      <c r="K318" s="959"/>
      <c r="L318" s="959"/>
      <c r="M318" s="959"/>
      <c r="N318" s="959"/>
      <c r="O318" s="959"/>
      <c r="P318" s="959"/>
      <c r="Q318" s="959"/>
      <c r="R318" s="959"/>
      <c r="S318" s="959"/>
      <c r="T318" s="959"/>
      <c r="U318" s="959"/>
      <c r="V318" s="959"/>
      <c r="W318" s="959"/>
      <c r="X318" s="959"/>
      <c r="Y318" s="959"/>
      <c r="Z318" s="959"/>
    </row>
    <row r="319">
      <c r="A319" s="959"/>
      <c r="B319" s="959"/>
      <c r="C319" s="959"/>
      <c r="D319" s="959"/>
      <c r="E319" s="959"/>
      <c r="F319" s="959"/>
      <c r="G319" s="959"/>
      <c r="H319" s="959"/>
      <c r="I319" s="959"/>
      <c r="J319" s="959"/>
      <c r="K319" s="959"/>
      <c r="L319" s="959"/>
      <c r="M319" s="959"/>
      <c r="N319" s="959"/>
      <c r="O319" s="959"/>
      <c r="P319" s="959"/>
      <c r="Q319" s="959"/>
      <c r="R319" s="959"/>
      <c r="S319" s="959"/>
      <c r="T319" s="959"/>
      <c r="U319" s="959"/>
      <c r="V319" s="959"/>
      <c r="W319" s="959"/>
      <c r="X319" s="959"/>
      <c r="Y319" s="959"/>
      <c r="Z319" s="959"/>
    </row>
    <row r="320">
      <c r="A320" s="959"/>
      <c r="B320" s="959"/>
      <c r="C320" s="959"/>
      <c r="D320" s="959"/>
      <c r="E320" s="959"/>
      <c r="F320" s="959"/>
      <c r="G320" s="959"/>
      <c r="H320" s="959"/>
      <c r="I320" s="959"/>
      <c r="J320" s="959"/>
      <c r="K320" s="959"/>
      <c r="L320" s="959"/>
      <c r="M320" s="959"/>
      <c r="N320" s="959"/>
      <c r="O320" s="959"/>
      <c r="P320" s="959"/>
      <c r="Q320" s="959"/>
      <c r="R320" s="959"/>
      <c r="S320" s="959"/>
      <c r="T320" s="959"/>
      <c r="U320" s="959"/>
      <c r="V320" s="959"/>
      <c r="W320" s="959"/>
      <c r="X320" s="959"/>
      <c r="Y320" s="959"/>
      <c r="Z320" s="959"/>
    </row>
    <row r="321">
      <c r="A321" s="959"/>
      <c r="B321" s="959"/>
      <c r="C321" s="959"/>
      <c r="D321" s="959"/>
      <c r="E321" s="959"/>
      <c r="F321" s="959"/>
      <c r="G321" s="959"/>
      <c r="H321" s="959"/>
      <c r="I321" s="959"/>
      <c r="J321" s="959"/>
      <c r="K321" s="959"/>
      <c r="L321" s="959"/>
      <c r="M321" s="959"/>
      <c r="N321" s="959"/>
      <c r="O321" s="959"/>
      <c r="P321" s="959"/>
      <c r="Q321" s="959"/>
      <c r="R321" s="959"/>
      <c r="S321" s="959"/>
      <c r="T321" s="959"/>
      <c r="U321" s="959"/>
      <c r="V321" s="959"/>
      <c r="W321" s="959"/>
      <c r="X321" s="959"/>
      <c r="Y321" s="959"/>
      <c r="Z321" s="959"/>
    </row>
    <row r="322">
      <c r="A322" s="959"/>
      <c r="B322" s="959"/>
      <c r="C322" s="959"/>
      <c r="D322" s="959"/>
      <c r="E322" s="959"/>
      <c r="F322" s="959"/>
      <c r="G322" s="959"/>
      <c r="H322" s="959"/>
      <c r="I322" s="959"/>
      <c r="J322" s="959"/>
      <c r="K322" s="959"/>
      <c r="L322" s="959"/>
      <c r="M322" s="959"/>
      <c r="N322" s="959"/>
      <c r="O322" s="959"/>
      <c r="P322" s="959"/>
      <c r="Q322" s="959"/>
      <c r="R322" s="959"/>
      <c r="S322" s="959"/>
      <c r="T322" s="959"/>
      <c r="U322" s="959"/>
      <c r="V322" s="959"/>
      <c r="W322" s="959"/>
      <c r="X322" s="959"/>
      <c r="Y322" s="959"/>
      <c r="Z322" s="959"/>
    </row>
  </sheetData>
  <mergeCells count="15">
    <mergeCell ref="A79:J79"/>
    <mergeCell ref="A90:J90"/>
    <mergeCell ref="A100:J100"/>
    <mergeCell ref="A110:J110"/>
    <mergeCell ref="A120:J120"/>
    <mergeCell ref="A129:J129"/>
    <mergeCell ref="A142:J142"/>
    <mergeCell ref="A151:J151"/>
    <mergeCell ref="A1:J1"/>
    <mergeCell ref="A11:J11"/>
    <mergeCell ref="A21:J21"/>
    <mergeCell ref="A31:J31"/>
    <mergeCell ref="A41:J41"/>
    <mergeCell ref="A51:J51"/>
    <mergeCell ref="A69:J69"/>
  </mergeCells>
  <dataValidations>
    <dataValidation type="list" allowBlank="1" sqref="A3:A9 A13:A19 A23:A29 A33:A39 A43:A49 A53:A67 A71:A77 A81:A89 A92:A98 A102:A108 A112:A118 A122:A128 A131:A141 A144:A150 A153:A159">
      <formula1>"Socket Head Cap Screw,Hex Head Screw,Nylon Locknut,Hex Nut,Flat Washer,Split Ring Lock Washer,Deformed Thread Nut,Other"</formula1>
    </dataValidation>
  </dataValidations>
  <hyperlinks>
    <hyperlink r:id="rId4" ref="J33"/>
    <hyperlink r:id="rId5" ref="J34"/>
    <hyperlink r:id="rId6" ref="J35"/>
    <hyperlink r:id="rId7" ref="J36"/>
    <hyperlink r:id="rId8" ref="J43"/>
    <hyperlink r:id="rId9" ref="J53"/>
    <hyperlink r:id="rId10" ref="J54"/>
    <hyperlink r:id="rId11" ref="J55"/>
    <hyperlink r:id="rId12" ref="J56"/>
    <hyperlink r:id="rId13" ref="J57"/>
    <hyperlink r:id="rId14" ref="J58"/>
    <hyperlink r:id="rId15" ref="J59"/>
    <hyperlink r:id="rId16" ref="J60"/>
    <hyperlink r:id="rId17" ref="J61"/>
    <hyperlink r:id="rId18" ref="J62"/>
    <hyperlink r:id="rId19" ref="J63"/>
    <hyperlink r:id="rId20" ref="J64"/>
    <hyperlink r:id="rId21" ref="J65"/>
    <hyperlink r:id="rId22" ref="K65"/>
    <hyperlink r:id="rId23" ref="J66"/>
    <hyperlink r:id="rId24" ref="J67"/>
    <hyperlink r:id="rId25" ref="J81"/>
    <hyperlink r:id="rId26" ref="J82"/>
    <hyperlink r:id="rId27" ref="J83"/>
    <hyperlink r:id="rId28" ref="J84"/>
    <hyperlink r:id="rId29" ref="J85"/>
    <hyperlink r:id="rId30" ref="J86"/>
    <hyperlink r:id="rId31" ref="J131"/>
    <hyperlink r:id="rId32" ref="J132"/>
    <hyperlink r:id="rId33" ref="J133"/>
    <hyperlink r:id="rId34" ref="J134"/>
    <hyperlink r:id="rId35" ref="J135"/>
    <hyperlink r:id="rId36" ref="J136"/>
    <hyperlink r:id="rId37" ref="J137"/>
    <hyperlink r:id="rId38" ref="J138"/>
    <hyperlink r:id="rId39" ref="J139"/>
    <hyperlink r:id="rId40" ref="J140"/>
    <hyperlink r:id="rId41" ref="J141"/>
    <hyperlink r:id="rId42" ref="J144"/>
    <hyperlink r:id="rId43" ref="J153"/>
    <hyperlink r:id="rId44" ref="J154"/>
    <hyperlink r:id="rId45" ref="J155"/>
    <hyperlink r:id="rId46" ref="J156"/>
  </hyperlinks>
  <drawing r:id="rId47"/>
  <legacyDrawing r:id="rId4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1.88"/>
    <col customWidth="1" min="3" max="3" width="20.38"/>
    <col customWidth="1" min="4" max="4" width="13.0"/>
    <col customWidth="1" min="5" max="5" width="25.13"/>
    <col customWidth="1" min="6" max="6" width="7.75"/>
    <col customWidth="1" min="7" max="7" width="14.75"/>
    <col customWidth="1" min="8" max="8" width="9.25"/>
    <col customWidth="1" min="9" max="9" width="12.75"/>
    <col customWidth="1" min="10" max="10" width="8.5"/>
    <col customWidth="1" min="11" max="11" width="10.13"/>
    <col customWidth="1" min="12" max="12" width="16.88"/>
    <col customWidth="1" min="13" max="13" width="10.38"/>
    <col customWidth="1" min="14" max="14" width="9.63"/>
  </cols>
  <sheetData>
    <row r="1">
      <c r="A1" s="1014" t="s">
        <v>1916</v>
      </c>
    </row>
    <row r="2">
      <c r="A2" s="1015" t="s">
        <v>1917</v>
      </c>
      <c r="B2" s="1016" t="s">
        <v>1918</v>
      </c>
      <c r="C2" s="1016" t="s">
        <v>1919</v>
      </c>
      <c r="D2" s="1016" t="s">
        <v>1920</v>
      </c>
      <c r="E2" s="1017" t="s">
        <v>1921</v>
      </c>
      <c r="F2" s="1016" t="s">
        <v>609</v>
      </c>
      <c r="G2" s="1017" t="s">
        <v>1922</v>
      </c>
      <c r="H2" s="1017" t="s">
        <v>1923</v>
      </c>
      <c r="I2" s="1017" t="s">
        <v>1924</v>
      </c>
      <c r="J2" s="1017" t="s">
        <v>1925</v>
      </c>
      <c r="K2" s="1017" t="s">
        <v>1926</v>
      </c>
      <c r="L2" s="1017" t="s">
        <v>1927</v>
      </c>
      <c r="M2" s="1017" t="s">
        <v>1928</v>
      </c>
      <c r="N2" s="1016" t="s">
        <v>1929</v>
      </c>
    </row>
    <row r="3">
      <c r="A3" s="1018" t="s">
        <v>1930</v>
      </c>
    </row>
    <row r="4">
      <c r="A4" s="1019" t="s">
        <v>1281</v>
      </c>
      <c r="B4" s="1020" t="s">
        <v>1222</v>
      </c>
      <c r="C4" s="1020" t="s">
        <v>1931</v>
      </c>
      <c r="D4" s="1020" t="s">
        <v>1932</v>
      </c>
      <c r="E4" s="1020" t="s">
        <v>1933</v>
      </c>
      <c r="F4" s="1020">
        <v>1.0</v>
      </c>
      <c r="G4" s="745" t="b">
        <v>0</v>
      </c>
      <c r="H4" s="745" t="b">
        <v>0</v>
      </c>
      <c r="I4" s="745" t="b">
        <v>1</v>
      </c>
      <c r="J4" s="745" t="b">
        <v>1</v>
      </c>
      <c r="K4" s="745" t="b">
        <v>1</v>
      </c>
      <c r="L4" s="745" t="b">
        <v>1</v>
      </c>
      <c r="M4" s="745" t="b">
        <v>1</v>
      </c>
      <c r="N4" s="745" t="b">
        <v>1</v>
      </c>
    </row>
    <row r="5">
      <c r="A5" s="1019" t="s">
        <v>442</v>
      </c>
      <c r="B5" s="1020" t="s">
        <v>416</v>
      </c>
      <c r="C5" s="1020" t="s">
        <v>1934</v>
      </c>
      <c r="D5" s="1020" t="s">
        <v>989</v>
      </c>
      <c r="E5" s="1021"/>
      <c r="F5" s="1020">
        <v>4.0</v>
      </c>
      <c r="G5" s="757" t="b">
        <v>0</v>
      </c>
      <c r="H5" s="757" t="b">
        <v>0</v>
      </c>
      <c r="I5" s="745" t="b">
        <v>0</v>
      </c>
      <c r="J5" s="745" t="b">
        <v>0</v>
      </c>
      <c r="K5" s="745" t="b">
        <v>0</v>
      </c>
      <c r="L5" s="745" t="b">
        <v>0</v>
      </c>
      <c r="M5" s="757" t="b">
        <v>0</v>
      </c>
      <c r="N5" s="757" t="b">
        <v>0</v>
      </c>
    </row>
    <row r="6">
      <c r="A6" s="1019" t="s">
        <v>1935</v>
      </c>
      <c r="B6" s="1020" t="s">
        <v>296</v>
      </c>
      <c r="C6" s="1020" t="s">
        <v>1936</v>
      </c>
      <c r="D6" s="1020" t="s">
        <v>1937</v>
      </c>
      <c r="E6" s="1022" t="s">
        <v>1938</v>
      </c>
      <c r="F6" s="1020">
        <v>4.0</v>
      </c>
      <c r="G6" s="757" t="b">
        <v>0</v>
      </c>
      <c r="H6" s="745" t="b">
        <v>1</v>
      </c>
      <c r="I6" s="745" t="b">
        <v>1</v>
      </c>
      <c r="J6" s="745" t="b">
        <v>1</v>
      </c>
      <c r="K6" s="745" t="b">
        <v>0</v>
      </c>
      <c r="L6" s="745" t="b">
        <v>0</v>
      </c>
      <c r="M6" s="757" t="b">
        <v>0</v>
      </c>
      <c r="N6" s="757" t="b">
        <v>0</v>
      </c>
    </row>
    <row r="7">
      <c r="A7" s="1019"/>
      <c r="B7" s="1020"/>
      <c r="C7" s="1020"/>
      <c r="D7" s="1020"/>
      <c r="E7" s="1021"/>
      <c r="F7" s="1020"/>
      <c r="G7" s="757" t="b">
        <v>0</v>
      </c>
      <c r="H7" s="757" t="b">
        <v>0</v>
      </c>
      <c r="I7" s="745" t="b">
        <v>0</v>
      </c>
      <c r="J7" s="745" t="b">
        <v>0</v>
      </c>
      <c r="K7" s="745" t="b">
        <v>0</v>
      </c>
      <c r="L7" s="745" t="b">
        <v>0</v>
      </c>
      <c r="M7" s="757" t="b">
        <v>0</v>
      </c>
      <c r="N7" s="757" t="b">
        <v>0</v>
      </c>
    </row>
    <row r="8">
      <c r="A8" s="1019"/>
      <c r="B8" s="1020"/>
      <c r="C8" s="1020"/>
      <c r="D8" s="1020"/>
      <c r="E8" s="1020"/>
      <c r="F8" s="1020"/>
      <c r="G8" s="757" t="b">
        <v>0</v>
      </c>
      <c r="H8" s="757" t="b">
        <v>0</v>
      </c>
      <c r="I8" s="745" t="b">
        <v>0</v>
      </c>
      <c r="J8" s="745" t="b">
        <v>0</v>
      </c>
      <c r="K8" s="745" t="b">
        <v>0</v>
      </c>
      <c r="L8" s="745" t="b">
        <v>0</v>
      </c>
      <c r="M8" s="757" t="b">
        <v>0</v>
      </c>
      <c r="N8" s="757" t="b">
        <v>0</v>
      </c>
    </row>
    <row r="9">
      <c r="A9" s="1019"/>
      <c r="B9" s="1020"/>
      <c r="C9" s="1020"/>
      <c r="D9" s="1020"/>
      <c r="E9" s="1021"/>
      <c r="F9" s="1020"/>
      <c r="G9" s="757" t="b">
        <v>0</v>
      </c>
      <c r="H9" s="757" t="b">
        <v>0</v>
      </c>
      <c r="I9" s="745" t="b">
        <v>0</v>
      </c>
      <c r="J9" s="745" t="b">
        <v>0</v>
      </c>
      <c r="K9" s="745" t="b">
        <v>0</v>
      </c>
      <c r="L9" s="745" t="b">
        <v>0</v>
      </c>
      <c r="M9" s="757" t="b">
        <v>0</v>
      </c>
      <c r="N9" s="757" t="b">
        <v>0</v>
      </c>
    </row>
    <row r="10">
      <c r="A10" s="1019"/>
      <c r="B10" s="1020"/>
      <c r="C10" s="1020"/>
      <c r="D10" s="1020"/>
      <c r="E10" s="1020"/>
      <c r="F10" s="1020"/>
      <c r="G10" s="757" t="b">
        <v>0</v>
      </c>
      <c r="H10" s="757" t="b">
        <v>0</v>
      </c>
      <c r="I10" s="745" t="b">
        <v>0</v>
      </c>
      <c r="J10" s="745" t="b">
        <v>0</v>
      </c>
      <c r="K10" s="745" t="b">
        <v>0</v>
      </c>
      <c r="L10" s="745" t="b">
        <v>0</v>
      </c>
      <c r="M10" s="757" t="b">
        <v>0</v>
      </c>
      <c r="N10" s="757" t="b">
        <v>0</v>
      </c>
    </row>
    <row r="11">
      <c r="A11" s="1019"/>
      <c r="B11" s="1020"/>
      <c r="C11" s="1020"/>
      <c r="D11" s="1020"/>
      <c r="E11" s="1020"/>
      <c r="F11" s="1020"/>
      <c r="G11" s="757" t="b">
        <v>0</v>
      </c>
      <c r="H11" s="757" t="b">
        <v>0</v>
      </c>
      <c r="I11" s="745" t="b">
        <v>0</v>
      </c>
      <c r="J11" s="745" t="b">
        <v>0</v>
      </c>
      <c r="K11" s="745" t="b">
        <v>0</v>
      </c>
      <c r="L11" s="745" t="b">
        <v>0</v>
      </c>
      <c r="M11" s="757" t="b">
        <v>0</v>
      </c>
      <c r="N11" s="757" t="b">
        <v>0</v>
      </c>
    </row>
    <row r="12">
      <c r="A12" s="1019"/>
      <c r="B12" s="1020"/>
      <c r="C12" s="1020"/>
      <c r="D12" s="1020"/>
      <c r="E12" s="1020"/>
      <c r="F12" s="1020"/>
      <c r="G12" s="757" t="b">
        <v>0</v>
      </c>
      <c r="H12" s="757" t="b">
        <v>0</v>
      </c>
      <c r="I12" s="745" t="b">
        <v>0</v>
      </c>
      <c r="J12" s="745" t="b">
        <v>0</v>
      </c>
      <c r="K12" s="745" t="b">
        <v>0</v>
      </c>
      <c r="L12" s="745" t="b">
        <v>0</v>
      </c>
      <c r="M12" s="757" t="b">
        <v>0</v>
      </c>
      <c r="N12" s="757" t="b">
        <v>0</v>
      </c>
    </row>
    <row r="13">
      <c r="A13" s="1019"/>
      <c r="B13" s="1020"/>
      <c r="C13" s="1020"/>
      <c r="D13" s="1020"/>
      <c r="E13" s="1020"/>
      <c r="F13" s="1020"/>
      <c r="G13" s="757" t="b">
        <v>0</v>
      </c>
      <c r="H13" s="757" t="b">
        <v>0</v>
      </c>
      <c r="I13" s="745" t="b">
        <v>0</v>
      </c>
      <c r="J13" s="745" t="b">
        <v>0</v>
      </c>
      <c r="K13" s="745" t="b">
        <v>0</v>
      </c>
      <c r="L13" s="745" t="b">
        <v>0</v>
      </c>
      <c r="M13" s="757" t="b">
        <v>0</v>
      </c>
      <c r="N13" s="757" t="b">
        <v>0</v>
      </c>
    </row>
    <row r="14">
      <c r="A14" s="1019"/>
      <c r="B14" s="1020"/>
      <c r="C14" s="1020"/>
      <c r="D14" s="1020"/>
      <c r="E14" s="1020"/>
      <c r="F14" s="1020"/>
      <c r="G14" s="757" t="b">
        <v>0</v>
      </c>
      <c r="H14" s="757" t="b">
        <v>0</v>
      </c>
      <c r="I14" s="745" t="b">
        <v>0</v>
      </c>
      <c r="J14" s="745" t="b">
        <v>0</v>
      </c>
      <c r="K14" s="745" t="b">
        <v>0</v>
      </c>
      <c r="L14" s="745" t="b">
        <v>0</v>
      </c>
      <c r="M14" s="757" t="b">
        <v>0</v>
      </c>
      <c r="N14" s="757" t="b">
        <v>0</v>
      </c>
    </row>
    <row r="15">
      <c r="A15" s="1019"/>
      <c r="B15" s="1020"/>
      <c r="C15" s="1020"/>
      <c r="D15" s="1020"/>
      <c r="E15" s="1021"/>
      <c r="F15" s="1020"/>
      <c r="G15" s="757" t="b">
        <v>0</v>
      </c>
      <c r="H15" s="757" t="b">
        <v>0</v>
      </c>
      <c r="I15" s="745" t="b">
        <v>0</v>
      </c>
      <c r="J15" s="745" t="b">
        <v>0</v>
      </c>
      <c r="K15" s="745" t="b">
        <v>0</v>
      </c>
      <c r="L15" s="745" t="b">
        <v>0</v>
      </c>
      <c r="M15" s="757" t="b">
        <v>0</v>
      </c>
      <c r="N15" s="757" t="b">
        <v>0</v>
      </c>
    </row>
    <row r="16">
      <c r="A16" s="1019"/>
      <c r="B16" s="1020"/>
      <c r="C16" s="1020"/>
      <c r="D16" s="1020"/>
      <c r="E16" s="1020"/>
      <c r="F16" s="1020"/>
      <c r="G16" s="757" t="b">
        <v>0</v>
      </c>
      <c r="H16" s="757" t="b">
        <v>0</v>
      </c>
      <c r="I16" s="745" t="b">
        <v>0</v>
      </c>
      <c r="J16" s="745" t="b">
        <v>0</v>
      </c>
      <c r="K16" s="745" t="b">
        <v>0</v>
      </c>
      <c r="L16" s="745" t="b">
        <v>0</v>
      </c>
      <c r="M16" s="757" t="b">
        <v>0</v>
      </c>
      <c r="N16" s="757" t="b">
        <v>0</v>
      </c>
    </row>
    <row r="17">
      <c r="A17" s="1019"/>
      <c r="B17" s="1020"/>
      <c r="C17" s="1020"/>
      <c r="D17" s="1020"/>
      <c r="E17" s="1020"/>
      <c r="F17" s="1020"/>
      <c r="G17" s="757" t="b">
        <v>0</v>
      </c>
      <c r="H17" s="757" t="b">
        <v>0</v>
      </c>
      <c r="I17" s="745" t="b">
        <v>0</v>
      </c>
      <c r="J17" s="745" t="b">
        <v>0</v>
      </c>
      <c r="K17" s="745" t="b">
        <v>0</v>
      </c>
      <c r="L17" s="745" t="b">
        <v>0</v>
      </c>
      <c r="M17" s="757" t="b">
        <v>0</v>
      </c>
      <c r="N17" s="757" t="b">
        <v>0</v>
      </c>
    </row>
    <row r="18">
      <c r="A18" s="1019"/>
      <c r="B18" s="1020"/>
      <c r="C18" s="1020"/>
      <c r="D18" s="1020"/>
      <c r="E18" s="1020"/>
      <c r="F18" s="1020"/>
      <c r="G18" s="757" t="b">
        <v>0</v>
      </c>
      <c r="H18" s="757" t="b">
        <v>0</v>
      </c>
      <c r="I18" s="745" t="b">
        <v>0</v>
      </c>
      <c r="J18" s="745" t="b">
        <v>0</v>
      </c>
      <c r="K18" s="745" t="b">
        <v>0</v>
      </c>
      <c r="L18" s="745" t="b">
        <v>0</v>
      </c>
      <c r="M18" s="757" t="b">
        <v>0</v>
      </c>
      <c r="N18" s="757" t="b">
        <v>0</v>
      </c>
    </row>
    <row r="19">
      <c r="A19" s="1019"/>
      <c r="B19" s="1020"/>
      <c r="C19" s="1020"/>
      <c r="D19" s="1020"/>
      <c r="E19" s="1020"/>
      <c r="F19" s="1020"/>
      <c r="G19" s="757" t="b">
        <v>0</v>
      </c>
      <c r="H19" s="757" t="b">
        <v>0</v>
      </c>
      <c r="I19" s="745" t="b">
        <v>0</v>
      </c>
      <c r="J19" s="745" t="b">
        <v>0</v>
      </c>
      <c r="K19" s="745" t="b">
        <v>0</v>
      </c>
      <c r="L19" s="745" t="b">
        <v>0</v>
      </c>
      <c r="M19" s="757" t="b">
        <v>0</v>
      </c>
      <c r="N19" s="757" t="b">
        <v>0</v>
      </c>
    </row>
    <row r="20">
      <c r="A20" s="1019"/>
      <c r="B20" s="1020"/>
      <c r="C20" s="1020"/>
      <c r="D20" s="1020"/>
      <c r="E20" s="1020"/>
      <c r="F20" s="1020"/>
      <c r="G20" s="757" t="b">
        <v>0</v>
      </c>
      <c r="H20" s="757" t="b">
        <v>0</v>
      </c>
      <c r="I20" s="745" t="b">
        <v>0</v>
      </c>
      <c r="J20" s="745" t="b">
        <v>0</v>
      </c>
      <c r="K20" s="745" t="b">
        <v>0</v>
      </c>
      <c r="L20" s="745" t="b">
        <v>0</v>
      </c>
      <c r="M20" s="757" t="b">
        <v>0</v>
      </c>
      <c r="N20" s="757" t="b">
        <v>0</v>
      </c>
    </row>
    <row r="21">
      <c r="A21" s="1019"/>
      <c r="B21" s="1020"/>
      <c r="C21" s="1020"/>
      <c r="D21" s="1020"/>
      <c r="E21" s="1020"/>
      <c r="F21" s="1020"/>
      <c r="G21" s="757" t="b">
        <v>0</v>
      </c>
      <c r="H21" s="757" t="b">
        <v>0</v>
      </c>
      <c r="I21" s="745" t="b">
        <v>0</v>
      </c>
      <c r="J21" s="745" t="b">
        <v>0</v>
      </c>
      <c r="K21" s="745" t="b">
        <v>0</v>
      </c>
      <c r="L21" s="745" t="b">
        <v>0</v>
      </c>
      <c r="M21" s="757" t="b">
        <v>0</v>
      </c>
      <c r="N21" s="757" t="b">
        <v>0</v>
      </c>
    </row>
    <row r="22">
      <c r="A22" s="1019"/>
      <c r="B22" s="1020"/>
      <c r="C22" s="1020"/>
      <c r="D22" s="1020"/>
      <c r="E22" s="1020"/>
      <c r="F22" s="1020"/>
      <c r="G22" s="757" t="b">
        <v>0</v>
      </c>
      <c r="H22" s="757" t="b">
        <v>0</v>
      </c>
      <c r="I22" s="745" t="b">
        <v>0</v>
      </c>
      <c r="J22" s="745" t="b">
        <v>0</v>
      </c>
      <c r="K22" s="745" t="b">
        <v>0</v>
      </c>
      <c r="L22" s="745" t="b">
        <v>0</v>
      </c>
      <c r="M22" s="757" t="b">
        <v>0</v>
      </c>
      <c r="N22" s="757" t="b">
        <v>0</v>
      </c>
    </row>
    <row r="23">
      <c r="A23" s="1019"/>
      <c r="B23" s="1020"/>
      <c r="C23" s="1020"/>
      <c r="D23" s="1020"/>
      <c r="E23" s="1020"/>
      <c r="F23" s="1020"/>
      <c r="G23" s="757" t="b">
        <v>0</v>
      </c>
      <c r="H23" s="757" t="b">
        <v>0</v>
      </c>
      <c r="I23" s="745" t="b">
        <v>0</v>
      </c>
      <c r="J23" s="745" t="b">
        <v>0</v>
      </c>
      <c r="K23" s="745" t="b">
        <v>0</v>
      </c>
      <c r="L23" s="745" t="b">
        <v>0</v>
      </c>
      <c r="M23" s="757" t="b">
        <v>0</v>
      </c>
      <c r="N23" s="757" t="b">
        <v>0</v>
      </c>
    </row>
    <row r="24">
      <c r="A24" s="1019"/>
      <c r="B24" s="1020"/>
      <c r="C24" s="1020"/>
      <c r="D24" s="1020"/>
      <c r="E24" s="1021"/>
      <c r="F24" s="1020"/>
      <c r="G24" s="757" t="b">
        <v>0</v>
      </c>
      <c r="H24" s="757" t="b">
        <v>0</v>
      </c>
      <c r="I24" s="745" t="b">
        <v>0</v>
      </c>
      <c r="J24" s="745" t="b">
        <v>0</v>
      </c>
      <c r="K24" s="745" t="b">
        <v>0</v>
      </c>
      <c r="L24" s="745" t="b">
        <v>0</v>
      </c>
      <c r="M24" s="757" t="b">
        <v>0</v>
      </c>
      <c r="N24" s="757" t="b">
        <v>0</v>
      </c>
    </row>
    <row r="25">
      <c r="A25" s="1019"/>
      <c r="B25" s="1020"/>
      <c r="C25" s="1020"/>
      <c r="D25" s="1020"/>
      <c r="E25" s="1020"/>
      <c r="F25" s="1020"/>
      <c r="G25" s="757" t="b">
        <v>0</v>
      </c>
      <c r="H25" s="757" t="b">
        <v>0</v>
      </c>
      <c r="I25" s="745" t="b">
        <v>0</v>
      </c>
      <c r="J25" s="745" t="b">
        <v>0</v>
      </c>
      <c r="K25" s="745" t="b">
        <v>0</v>
      </c>
      <c r="L25" s="745" t="b">
        <v>0</v>
      </c>
      <c r="M25" s="757" t="b">
        <v>0</v>
      </c>
      <c r="N25" s="757" t="b">
        <v>0</v>
      </c>
    </row>
    <row r="26">
      <c r="A26" s="1019"/>
      <c r="B26" s="1020"/>
      <c r="C26" s="1020"/>
      <c r="D26" s="1020"/>
      <c r="E26" s="1020"/>
      <c r="F26" s="1020"/>
      <c r="G26" s="757" t="b">
        <v>0</v>
      </c>
      <c r="H26" s="757" t="b">
        <v>0</v>
      </c>
      <c r="I26" s="745" t="b">
        <v>0</v>
      </c>
      <c r="J26" s="745" t="b">
        <v>0</v>
      </c>
      <c r="K26" s="745" t="b">
        <v>0</v>
      </c>
      <c r="L26" s="745" t="b">
        <v>0</v>
      </c>
      <c r="M26" s="757" t="b">
        <v>0</v>
      </c>
      <c r="N26" s="757" t="b">
        <v>0</v>
      </c>
    </row>
    <row r="27">
      <c r="A27" s="1019"/>
      <c r="B27" s="1020"/>
      <c r="C27" s="1020"/>
      <c r="D27" s="1020"/>
      <c r="E27" s="1020"/>
      <c r="F27" s="1020"/>
      <c r="G27" s="757" t="b">
        <v>0</v>
      </c>
      <c r="H27" s="757" t="b">
        <v>0</v>
      </c>
      <c r="I27" s="745" t="b">
        <v>0</v>
      </c>
      <c r="J27" s="745" t="b">
        <v>0</v>
      </c>
      <c r="K27" s="745" t="b">
        <v>0</v>
      </c>
      <c r="L27" s="745" t="b">
        <v>0</v>
      </c>
      <c r="M27" s="757" t="b">
        <v>0</v>
      </c>
      <c r="N27" s="757" t="b">
        <v>0</v>
      </c>
    </row>
    <row r="28">
      <c r="A28" s="1019"/>
      <c r="B28" s="1020"/>
      <c r="C28" s="1020"/>
      <c r="D28" s="1020"/>
      <c r="E28" s="1020"/>
      <c r="F28" s="1020"/>
      <c r="G28" s="757" t="b">
        <v>0</v>
      </c>
      <c r="H28" s="757" t="b">
        <v>0</v>
      </c>
      <c r="I28" s="745" t="b">
        <v>0</v>
      </c>
      <c r="J28" s="745" t="b">
        <v>0</v>
      </c>
      <c r="K28" s="745" t="b">
        <v>0</v>
      </c>
      <c r="L28" s="745" t="b">
        <v>0</v>
      </c>
      <c r="M28" s="757" t="b">
        <v>0</v>
      </c>
      <c r="N28" s="757" t="b">
        <v>0</v>
      </c>
    </row>
    <row r="29">
      <c r="A29" s="1019"/>
      <c r="B29" s="1023"/>
      <c r="C29" s="1020"/>
      <c r="D29" s="1023"/>
      <c r="E29" s="1020"/>
      <c r="F29" s="1020"/>
      <c r="G29" s="757" t="b">
        <v>0</v>
      </c>
      <c r="H29" s="757" t="b">
        <v>0</v>
      </c>
      <c r="I29" s="745" t="b">
        <v>0</v>
      </c>
      <c r="J29" s="745" t="b">
        <v>0</v>
      </c>
      <c r="K29" s="745" t="b">
        <v>0</v>
      </c>
      <c r="L29" s="745" t="b">
        <v>0</v>
      </c>
      <c r="M29" s="757" t="b">
        <v>0</v>
      </c>
      <c r="N29" s="757" t="b">
        <v>0</v>
      </c>
    </row>
    <row r="30">
      <c r="A30" s="1019"/>
      <c r="B30" s="1020"/>
      <c r="C30" s="757"/>
      <c r="D30" s="1020"/>
      <c r="E30" s="1020"/>
      <c r="F30" s="1020"/>
      <c r="G30" s="757" t="b">
        <v>0</v>
      </c>
      <c r="H30" s="757" t="b">
        <v>0</v>
      </c>
      <c r="I30" s="745" t="b">
        <v>0</v>
      </c>
      <c r="J30" s="745" t="b">
        <v>0</v>
      </c>
      <c r="K30" s="745" t="b">
        <v>0</v>
      </c>
      <c r="L30" s="745" t="b">
        <v>0</v>
      </c>
      <c r="M30" s="757" t="b">
        <v>0</v>
      </c>
      <c r="N30" s="757" t="b">
        <v>0</v>
      </c>
    </row>
    <row r="31">
      <c r="A31" s="1019"/>
      <c r="B31" s="1020"/>
      <c r="C31" s="1020"/>
      <c r="D31" s="1020"/>
      <c r="E31" s="1020"/>
      <c r="F31" s="1020"/>
      <c r="G31" s="757" t="b">
        <v>0</v>
      </c>
      <c r="H31" s="757" t="b">
        <v>0</v>
      </c>
      <c r="I31" s="745" t="b">
        <v>0</v>
      </c>
      <c r="J31" s="745" t="b">
        <v>0</v>
      </c>
      <c r="K31" s="745" t="b">
        <v>0</v>
      </c>
      <c r="L31" s="745" t="b">
        <v>0</v>
      </c>
      <c r="M31" s="757" t="b">
        <v>0</v>
      </c>
      <c r="N31" s="757" t="b">
        <v>0</v>
      </c>
    </row>
    <row r="32">
      <c r="A32" s="1019"/>
      <c r="B32" s="1020"/>
      <c r="C32" s="1020"/>
      <c r="D32" s="1020"/>
      <c r="E32" s="1020"/>
      <c r="F32" s="1020"/>
      <c r="G32" s="757" t="b">
        <v>0</v>
      </c>
      <c r="H32" s="757" t="b">
        <v>0</v>
      </c>
      <c r="I32" s="745" t="b">
        <v>0</v>
      </c>
      <c r="J32" s="745" t="b">
        <v>0</v>
      </c>
      <c r="K32" s="745" t="b">
        <v>0</v>
      </c>
      <c r="L32" s="745" t="b">
        <v>0</v>
      </c>
      <c r="M32" s="757" t="b">
        <v>0</v>
      </c>
      <c r="N32" s="757" t="b">
        <v>0</v>
      </c>
    </row>
    <row r="33">
      <c r="A33" s="1019"/>
      <c r="B33" s="1020"/>
      <c r="C33" s="1020"/>
      <c r="D33" s="1020"/>
      <c r="E33" s="1020"/>
      <c r="F33" s="1020"/>
      <c r="G33" s="757" t="b">
        <v>0</v>
      </c>
      <c r="H33" s="757" t="b">
        <v>0</v>
      </c>
      <c r="I33" s="745" t="b">
        <v>0</v>
      </c>
      <c r="J33" s="745" t="b">
        <v>0</v>
      </c>
      <c r="K33" s="745" t="b">
        <v>0</v>
      </c>
      <c r="L33" s="745" t="b">
        <v>0</v>
      </c>
      <c r="M33" s="757" t="b">
        <v>0</v>
      </c>
      <c r="N33" s="757" t="b">
        <v>0</v>
      </c>
    </row>
    <row r="34">
      <c r="A34" s="1019"/>
      <c r="B34" s="1023"/>
      <c r="C34" s="1020"/>
      <c r="D34" s="1023"/>
      <c r="E34" s="1020"/>
      <c r="F34" s="1020"/>
      <c r="G34" s="757" t="b">
        <v>0</v>
      </c>
      <c r="H34" s="757" t="b">
        <v>0</v>
      </c>
      <c r="I34" s="745" t="b">
        <v>0</v>
      </c>
      <c r="J34" s="745" t="b">
        <v>0</v>
      </c>
      <c r="K34" s="745" t="b">
        <v>0</v>
      </c>
      <c r="L34" s="745" t="b">
        <v>0</v>
      </c>
      <c r="M34" s="757" t="b">
        <v>0</v>
      </c>
      <c r="N34" s="757" t="b">
        <v>0</v>
      </c>
    </row>
    <row r="35">
      <c r="A35" s="1019"/>
      <c r="B35" s="1020"/>
      <c r="C35" s="1020"/>
      <c r="D35" s="1020"/>
      <c r="E35" s="1020"/>
      <c r="F35" s="1020"/>
      <c r="G35" s="757" t="b">
        <v>0</v>
      </c>
      <c r="H35" s="757" t="b">
        <v>0</v>
      </c>
      <c r="I35" s="745" t="b">
        <v>0</v>
      </c>
      <c r="J35" s="745" t="b">
        <v>0</v>
      </c>
      <c r="K35" s="745" t="b">
        <v>0</v>
      </c>
      <c r="L35" s="745" t="b">
        <v>0</v>
      </c>
      <c r="M35" s="757" t="b">
        <v>0</v>
      </c>
      <c r="N35" s="757" t="b">
        <v>0</v>
      </c>
    </row>
    <row r="36">
      <c r="A36" s="1019"/>
      <c r="B36" s="1020"/>
      <c r="C36" s="1020"/>
      <c r="D36" s="1020"/>
      <c r="E36" s="1020"/>
      <c r="F36" s="1020"/>
      <c r="G36" s="757" t="b">
        <v>0</v>
      </c>
      <c r="H36" s="757" t="b">
        <v>0</v>
      </c>
      <c r="I36" s="745" t="b">
        <v>0</v>
      </c>
      <c r="J36" s="745" t="b">
        <v>0</v>
      </c>
      <c r="K36" s="745" t="b">
        <v>0</v>
      </c>
      <c r="L36" s="745" t="b">
        <v>0</v>
      </c>
      <c r="M36" s="757" t="b">
        <v>0</v>
      </c>
      <c r="N36" s="757" t="b">
        <v>0</v>
      </c>
    </row>
    <row r="37">
      <c r="A37" s="1019"/>
      <c r="B37" s="1023"/>
      <c r="C37" s="1020"/>
      <c r="F37" s="1020"/>
      <c r="G37" s="757" t="b">
        <v>0</v>
      </c>
      <c r="H37" s="757" t="b">
        <v>0</v>
      </c>
      <c r="I37" s="745" t="b">
        <v>0</v>
      </c>
      <c r="J37" s="745" t="b">
        <v>0</v>
      </c>
      <c r="K37" s="745" t="b">
        <v>0</v>
      </c>
      <c r="L37" s="745" t="b">
        <v>0</v>
      </c>
      <c r="M37" s="757" t="b">
        <v>0</v>
      </c>
      <c r="N37" s="757" t="b">
        <v>0</v>
      </c>
    </row>
    <row r="38">
      <c r="A38" s="1019"/>
      <c r="B38" s="1020"/>
      <c r="C38" s="1023"/>
      <c r="D38" s="1023"/>
      <c r="E38" s="1020"/>
      <c r="F38" s="1020"/>
      <c r="G38" s="757" t="b">
        <v>0</v>
      </c>
      <c r="H38" s="757" t="b">
        <v>0</v>
      </c>
      <c r="I38" s="745" t="b">
        <v>0</v>
      </c>
      <c r="J38" s="745" t="b">
        <v>0</v>
      </c>
      <c r="K38" s="745" t="b">
        <v>0</v>
      </c>
      <c r="L38" s="745" t="b">
        <v>0</v>
      </c>
      <c r="M38" s="757" t="b">
        <v>0</v>
      </c>
      <c r="N38" s="757" t="b">
        <v>0</v>
      </c>
    </row>
    <row r="39">
      <c r="A39" s="1019"/>
      <c r="B39" s="1020"/>
      <c r="C39" s="1020"/>
      <c r="D39" s="1020"/>
      <c r="E39" s="1021"/>
      <c r="F39" s="1020"/>
      <c r="G39" s="757" t="b">
        <v>0</v>
      </c>
      <c r="H39" s="757" t="b">
        <v>0</v>
      </c>
      <c r="I39" s="745" t="b">
        <v>0</v>
      </c>
      <c r="J39" s="745" t="b">
        <v>0</v>
      </c>
      <c r="K39" s="745" t="b">
        <v>0</v>
      </c>
      <c r="L39" s="745" t="b">
        <v>0</v>
      </c>
      <c r="M39" s="757" t="b">
        <v>0</v>
      </c>
      <c r="N39" s="757" t="b">
        <v>0</v>
      </c>
    </row>
    <row r="40">
      <c r="A40" s="1019"/>
      <c r="B40" s="1020"/>
      <c r="C40" s="1020"/>
      <c r="D40" s="1020"/>
      <c r="E40" s="1020"/>
      <c r="F40" s="1020"/>
      <c r="G40" s="757" t="b">
        <v>0</v>
      </c>
      <c r="H40" s="757" t="b">
        <v>0</v>
      </c>
      <c r="I40" s="745" t="b">
        <v>0</v>
      </c>
      <c r="J40" s="745" t="b">
        <v>0</v>
      </c>
      <c r="K40" s="745" t="b">
        <v>0</v>
      </c>
      <c r="L40" s="745" t="b">
        <v>0</v>
      </c>
      <c r="M40" s="757" t="b">
        <v>0</v>
      </c>
      <c r="N40" s="757" t="b">
        <v>0</v>
      </c>
    </row>
    <row r="41">
      <c r="A41" s="1019"/>
      <c r="B41" s="1020"/>
      <c r="C41" s="1023"/>
      <c r="D41" s="1020"/>
      <c r="E41" s="1020"/>
      <c r="F41" s="1020"/>
      <c r="G41" s="757" t="b">
        <v>0</v>
      </c>
      <c r="H41" s="757" t="b">
        <v>0</v>
      </c>
      <c r="I41" s="745" t="b">
        <v>0</v>
      </c>
      <c r="J41" s="745" t="b">
        <v>0</v>
      </c>
      <c r="K41" s="745" t="b">
        <v>0</v>
      </c>
      <c r="L41" s="745" t="b">
        <v>0</v>
      </c>
      <c r="M41" s="757" t="b">
        <v>0</v>
      </c>
      <c r="N41" s="757" t="b">
        <v>0</v>
      </c>
    </row>
    <row r="42">
      <c r="A42" s="1019"/>
      <c r="B42" s="1020"/>
      <c r="C42" s="1020"/>
      <c r="D42" s="1020"/>
      <c r="E42" s="1020"/>
      <c r="F42" s="1020"/>
      <c r="G42" s="757" t="b">
        <v>0</v>
      </c>
      <c r="H42" s="757" t="b">
        <v>0</v>
      </c>
      <c r="I42" s="745" t="b">
        <v>0</v>
      </c>
      <c r="J42" s="745" t="b">
        <v>0</v>
      </c>
      <c r="K42" s="745" t="b">
        <v>0</v>
      </c>
      <c r="L42" s="745" t="b">
        <v>0</v>
      </c>
      <c r="M42" s="757" t="b">
        <v>0</v>
      </c>
      <c r="N42" s="757" t="b">
        <v>0</v>
      </c>
    </row>
    <row r="43">
      <c r="A43" s="1019"/>
      <c r="B43" s="1020"/>
      <c r="C43" s="1020"/>
      <c r="D43" s="1020"/>
      <c r="E43" s="1020"/>
      <c r="F43" s="1020"/>
      <c r="G43" s="757" t="b">
        <v>0</v>
      </c>
      <c r="H43" s="757" t="b">
        <v>0</v>
      </c>
      <c r="I43" s="745" t="b">
        <v>0</v>
      </c>
      <c r="J43" s="745" t="b">
        <v>0</v>
      </c>
      <c r="K43" s="745" t="b">
        <v>0</v>
      </c>
      <c r="L43" s="745" t="b">
        <v>0</v>
      </c>
      <c r="M43" s="757" t="b">
        <v>0</v>
      </c>
      <c r="N43" s="757" t="b">
        <v>0</v>
      </c>
    </row>
    <row r="44">
      <c r="A44" s="1019"/>
      <c r="B44" s="1020"/>
      <c r="C44" s="1020"/>
      <c r="D44" s="1020"/>
      <c r="E44" s="1020"/>
      <c r="F44" s="1020"/>
      <c r="G44" s="757" t="b">
        <v>0</v>
      </c>
      <c r="H44" s="757" t="b">
        <v>0</v>
      </c>
      <c r="I44" s="745" t="b">
        <v>0</v>
      </c>
      <c r="J44" s="745" t="b">
        <v>0</v>
      </c>
      <c r="K44" s="745" t="b">
        <v>0</v>
      </c>
      <c r="L44" s="745" t="b">
        <v>0</v>
      </c>
      <c r="M44" s="757" t="b">
        <v>0</v>
      </c>
      <c r="N44" s="757" t="b">
        <v>0</v>
      </c>
    </row>
    <row r="45">
      <c r="A45" s="1019"/>
      <c r="B45" s="1020"/>
      <c r="C45" s="1020"/>
      <c r="D45" s="1020"/>
      <c r="E45" s="1020"/>
      <c r="F45" s="1020"/>
      <c r="G45" s="757" t="b">
        <v>0</v>
      </c>
      <c r="H45" s="757" t="b">
        <v>0</v>
      </c>
      <c r="I45" s="745" t="b">
        <v>0</v>
      </c>
      <c r="J45" s="745" t="b">
        <v>0</v>
      </c>
      <c r="K45" s="745" t="b">
        <v>0</v>
      </c>
      <c r="L45" s="745" t="b">
        <v>0</v>
      </c>
      <c r="M45" s="757" t="b">
        <v>0</v>
      </c>
      <c r="N45" s="757" t="b">
        <v>0</v>
      </c>
    </row>
    <row r="46">
      <c r="A46" s="1019"/>
      <c r="B46" s="1020"/>
      <c r="C46" s="1020"/>
      <c r="D46" s="1020"/>
      <c r="E46" s="1020"/>
      <c r="F46" s="1020"/>
      <c r="G46" s="757" t="b">
        <v>0</v>
      </c>
      <c r="H46" s="757" t="b">
        <v>0</v>
      </c>
      <c r="I46" s="745" t="b">
        <v>0</v>
      </c>
      <c r="J46" s="745" t="b">
        <v>0</v>
      </c>
      <c r="K46" s="745" t="b">
        <v>0</v>
      </c>
      <c r="L46" s="745" t="b">
        <v>0</v>
      </c>
      <c r="M46" s="757" t="b">
        <v>0</v>
      </c>
      <c r="N46" s="757" t="b">
        <v>0</v>
      </c>
    </row>
    <row r="47">
      <c r="A47" s="1019"/>
      <c r="B47" s="1020"/>
      <c r="C47" s="1020"/>
      <c r="D47" s="1020"/>
      <c r="E47" s="1020"/>
      <c r="F47" s="1020"/>
      <c r="G47" s="757" t="b">
        <v>0</v>
      </c>
      <c r="H47" s="757" t="b">
        <v>0</v>
      </c>
      <c r="I47" s="745" t="b">
        <v>0</v>
      </c>
      <c r="J47" s="745" t="b">
        <v>0</v>
      </c>
      <c r="K47" s="745" t="b">
        <v>0</v>
      </c>
      <c r="L47" s="745" t="b">
        <v>0</v>
      </c>
      <c r="M47" s="757" t="b">
        <v>0</v>
      </c>
      <c r="N47" s="757" t="b">
        <v>0</v>
      </c>
    </row>
    <row r="48">
      <c r="A48" s="1019"/>
      <c r="B48" s="1020"/>
      <c r="C48" s="1020"/>
      <c r="D48" s="1020"/>
      <c r="E48" s="1020"/>
      <c r="F48" s="1020"/>
      <c r="G48" s="757" t="b">
        <v>0</v>
      </c>
      <c r="H48" s="757" t="b">
        <v>0</v>
      </c>
      <c r="I48" s="745" t="b">
        <v>0</v>
      </c>
      <c r="J48" s="745" t="b">
        <v>0</v>
      </c>
      <c r="K48" s="745" t="b">
        <v>0</v>
      </c>
      <c r="L48" s="745" t="b">
        <v>0</v>
      </c>
      <c r="M48" s="757" t="b">
        <v>0</v>
      </c>
      <c r="N48" s="757" t="b">
        <v>0</v>
      </c>
    </row>
    <row r="49">
      <c r="A49" s="1019"/>
      <c r="B49" s="1023"/>
      <c r="C49" s="1020"/>
      <c r="D49" s="1023"/>
      <c r="E49" s="1024"/>
      <c r="F49" s="1020"/>
      <c r="G49" s="757" t="b">
        <v>0</v>
      </c>
      <c r="H49" s="757" t="b">
        <v>0</v>
      </c>
      <c r="I49" s="745" t="b">
        <v>0</v>
      </c>
      <c r="J49" s="745" t="b">
        <v>0</v>
      </c>
      <c r="K49" s="745" t="b">
        <v>0</v>
      </c>
      <c r="L49" s="745" t="b">
        <v>0</v>
      </c>
      <c r="M49" s="757" t="b">
        <v>0</v>
      </c>
      <c r="N49" s="757" t="b">
        <v>0</v>
      </c>
    </row>
    <row r="50">
      <c r="A50" s="1019"/>
      <c r="B50" s="1023"/>
      <c r="C50" s="1020"/>
      <c r="D50" s="1023"/>
      <c r="E50" s="1023"/>
      <c r="F50" s="1020"/>
      <c r="G50" s="757" t="b">
        <v>0</v>
      </c>
      <c r="H50" s="757" t="b">
        <v>0</v>
      </c>
      <c r="I50" s="745" t="b">
        <v>0</v>
      </c>
      <c r="J50" s="745" t="b">
        <v>0</v>
      </c>
      <c r="K50" s="745" t="b">
        <v>0</v>
      </c>
      <c r="L50" s="745" t="b">
        <v>0</v>
      </c>
      <c r="M50" s="757" t="b">
        <v>0</v>
      </c>
      <c r="N50" s="757" t="b">
        <v>0</v>
      </c>
    </row>
    <row r="51">
      <c r="A51" s="1019"/>
      <c r="B51" s="1023"/>
      <c r="C51" s="1020"/>
      <c r="D51" s="1023"/>
      <c r="E51" s="1020"/>
      <c r="F51" s="1020"/>
      <c r="G51" s="757" t="b">
        <v>0</v>
      </c>
      <c r="H51" s="757" t="b">
        <v>0</v>
      </c>
      <c r="I51" s="745" t="b">
        <v>0</v>
      </c>
      <c r="J51" s="745" t="b">
        <v>0</v>
      </c>
      <c r="K51" s="745" t="b">
        <v>0</v>
      </c>
      <c r="L51" s="745" t="b">
        <v>0</v>
      </c>
      <c r="M51" s="757" t="b">
        <v>0</v>
      </c>
      <c r="N51" s="757" t="b">
        <v>0</v>
      </c>
    </row>
    <row r="52">
      <c r="A52" s="1019"/>
      <c r="B52" s="1023"/>
      <c r="C52" s="1020"/>
      <c r="D52" s="1023"/>
      <c r="E52" s="1020"/>
      <c r="F52" s="1020"/>
      <c r="G52" s="757" t="b">
        <v>0</v>
      </c>
      <c r="H52" s="757" t="b">
        <v>0</v>
      </c>
      <c r="I52" s="745" t="b">
        <v>0</v>
      </c>
      <c r="J52" s="745" t="b">
        <v>0</v>
      </c>
      <c r="K52" s="745" t="b">
        <v>0</v>
      </c>
      <c r="L52" s="745" t="b">
        <v>0</v>
      </c>
      <c r="M52" s="757" t="b">
        <v>0</v>
      </c>
      <c r="N52" s="757" t="b">
        <v>0</v>
      </c>
    </row>
    <row r="53">
      <c r="A53" s="1019"/>
      <c r="B53" s="1023"/>
      <c r="C53" s="1020"/>
      <c r="D53" s="1023"/>
      <c r="E53" s="1020"/>
      <c r="F53" s="1020"/>
      <c r="G53" s="757" t="b">
        <v>0</v>
      </c>
      <c r="H53" s="757" t="b">
        <v>0</v>
      </c>
      <c r="I53" s="745" t="b">
        <v>0</v>
      </c>
      <c r="J53" s="745" t="b">
        <v>0</v>
      </c>
      <c r="K53" s="745" t="b">
        <v>0</v>
      </c>
      <c r="L53" s="745" t="b">
        <v>0</v>
      </c>
      <c r="M53" s="757" t="b">
        <v>0</v>
      </c>
      <c r="N53" s="757" t="b">
        <v>0</v>
      </c>
    </row>
    <row r="54">
      <c r="A54" s="1019"/>
      <c r="B54" s="1023"/>
      <c r="C54" s="1020"/>
      <c r="D54" s="1023"/>
      <c r="E54" s="1021"/>
      <c r="F54" s="1020"/>
      <c r="G54" s="757" t="b">
        <v>0</v>
      </c>
      <c r="H54" s="757" t="b">
        <v>0</v>
      </c>
      <c r="I54" s="745" t="b">
        <v>0</v>
      </c>
      <c r="J54" s="745" t="b">
        <v>0</v>
      </c>
      <c r="K54" s="745" t="b">
        <v>0</v>
      </c>
      <c r="L54" s="745" t="b">
        <v>0</v>
      </c>
      <c r="M54" s="757" t="b">
        <v>0</v>
      </c>
      <c r="N54" s="757" t="b">
        <v>0</v>
      </c>
    </row>
    <row r="55">
      <c r="A55" s="920"/>
      <c r="B55" s="1023"/>
      <c r="C55" s="25"/>
      <c r="D55" s="1023"/>
      <c r="E55" s="25"/>
      <c r="F55" s="25"/>
      <c r="G55" s="757" t="b">
        <v>0</v>
      </c>
      <c r="H55" s="757" t="b">
        <v>0</v>
      </c>
      <c r="I55" s="745" t="b">
        <v>0</v>
      </c>
      <c r="J55" s="745" t="b">
        <v>0</v>
      </c>
      <c r="K55" s="745" t="b">
        <v>0</v>
      </c>
      <c r="L55" s="745" t="b">
        <v>0</v>
      </c>
      <c r="M55" s="757" t="b">
        <v>0</v>
      </c>
      <c r="N55" s="757" t="b">
        <v>0</v>
      </c>
    </row>
    <row r="56">
      <c r="A56" s="1018" t="s">
        <v>1939</v>
      </c>
    </row>
    <row r="57">
      <c r="A57" s="1025"/>
      <c r="B57" s="16"/>
      <c r="C57" s="16"/>
      <c r="D57" s="16"/>
      <c r="E57" s="16"/>
      <c r="F57" s="16"/>
    </row>
    <row r="58">
      <c r="A58" s="1025"/>
      <c r="D58" s="16"/>
    </row>
    <row r="59">
      <c r="A59" s="1025"/>
      <c r="D59" s="16"/>
    </row>
    <row r="60">
      <c r="A60" s="1025"/>
      <c r="D60" s="16"/>
    </row>
    <row r="61">
      <c r="A61" s="1025"/>
      <c r="D61" s="16"/>
    </row>
    <row r="62">
      <c r="A62" s="1025"/>
      <c r="D62" s="16"/>
    </row>
    <row r="63">
      <c r="A63" s="1025"/>
      <c r="D63" s="16"/>
    </row>
    <row r="64">
      <c r="A64" s="1025"/>
      <c r="B64" s="16"/>
      <c r="C64" s="16"/>
      <c r="D64" s="16"/>
      <c r="E64" s="25"/>
      <c r="F64" s="16"/>
    </row>
    <row r="65">
      <c r="A65" s="1025"/>
      <c r="D65" s="16"/>
    </row>
    <row r="66">
      <c r="A66" s="1025"/>
      <c r="D66" s="16"/>
    </row>
    <row r="67">
      <c r="A67" s="1025"/>
      <c r="D67" s="16"/>
    </row>
    <row r="68">
      <c r="A68" s="1025"/>
      <c r="D68" s="16"/>
    </row>
    <row r="69">
      <c r="A69" s="1025"/>
      <c r="D69" s="16"/>
    </row>
    <row r="70">
      <c r="A70" s="1025"/>
      <c r="D70" s="16"/>
    </row>
    <row r="71">
      <c r="A71" s="1025"/>
      <c r="D71" s="16"/>
    </row>
    <row r="72">
      <c r="A72" s="1025"/>
      <c r="D72" s="16"/>
    </row>
    <row r="73">
      <c r="A73" s="1025"/>
      <c r="D73" s="16"/>
    </row>
    <row r="74">
      <c r="A74" s="1025"/>
      <c r="D74" s="16"/>
    </row>
    <row r="75">
      <c r="A75" s="1025"/>
      <c r="D75" s="16"/>
    </row>
    <row r="76">
      <c r="A76" s="1025"/>
      <c r="D76" s="16"/>
    </row>
    <row r="77">
      <c r="A77" s="1025"/>
      <c r="D77" s="16"/>
    </row>
    <row r="78">
      <c r="A78" s="1025"/>
      <c r="D78" s="16"/>
    </row>
    <row r="79">
      <c r="A79" s="1025"/>
      <c r="D79" s="16"/>
    </row>
    <row r="80">
      <c r="A80" s="1025"/>
      <c r="D80" s="16"/>
    </row>
    <row r="81">
      <c r="A81" s="1025"/>
      <c r="D81" s="16"/>
    </row>
    <row r="82">
      <c r="A82" s="1025"/>
      <c r="D82" s="16"/>
    </row>
    <row r="83">
      <c r="A83" s="1025"/>
      <c r="D83" s="16"/>
    </row>
    <row r="84">
      <c r="A84" s="1025"/>
      <c r="D84" s="16"/>
    </row>
    <row r="85">
      <c r="A85" s="1025"/>
      <c r="D85" s="16"/>
    </row>
    <row r="86">
      <c r="A86" s="1025"/>
      <c r="D86" s="16"/>
    </row>
    <row r="87">
      <c r="A87" s="1025"/>
      <c r="D87" s="16"/>
    </row>
    <row r="88">
      <c r="A88" s="1025"/>
      <c r="D88" s="16"/>
    </row>
    <row r="89">
      <c r="A89" s="1025"/>
      <c r="D89" s="16"/>
    </row>
    <row r="90">
      <c r="A90" s="1025"/>
      <c r="D90" s="16"/>
    </row>
    <row r="91">
      <c r="A91" s="1025"/>
      <c r="D91" s="16"/>
    </row>
    <row r="92">
      <c r="A92" s="1025"/>
      <c r="D92" s="16"/>
    </row>
    <row r="93">
      <c r="A93" s="1025"/>
      <c r="D93" s="16"/>
    </row>
    <row r="94">
      <c r="A94" s="1025"/>
      <c r="D94" s="16"/>
    </row>
    <row r="95">
      <c r="A95" s="1025"/>
      <c r="D95" s="16"/>
    </row>
    <row r="96">
      <c r="A96" s="1025"/>
      <c r="D96" s="16"/>
    </row>
    <row r="97">
      <c r="A97" s="1025"/>
      <c r="D97" s="16"/>
    </row>
    <row r="98">
      <c r="A98" s="1025"/>
      <c r="D98" s="16"/>
    </row>
    <row r="99">
      <c r="A99" s="1025"/>
      <c r="D99" s="16"/>
    </row>
    <row r="100">
      <c r="A100" s="1025"/>
      <c r="D100" s="16"/>
    </row>
    <row r="101">
      <c r="A101" s="1025"/>
      <c r="D101" s="16"/>
    </row>
    <row r="102">
      <c r="A102" s="1025"/>
      <c r="D102" s="16"/>
    </row>
    <row r="103">
      <c r="A103" s="1025"/>
      <c r="D103" s="16"/>
    </row>
    <row r="104">
      <c r="A104" s="1025"/>
      <c r="D104" s="16"/>
    </row>
    <row r="105">
      <c r="A105" s="1025"/>
      <c r="D105" s="16"/>
    </row>
    <row r="106">
      <c r="A106" s="1025"/>
      <c r="D106" s="16"/>
    </row>
    <row r="107">
      <c r="A107" s="1025"/>
      <c r="D107" s="16"/>
    </row>
    <row r="108">
      <c r="A108" s="1025"/>
      <c r="D108" s="16"/>
    </row>
    <row r="109">
      <c r="A109" s="1025"/>
      <c r="D109" s="16"/>
    </row>
    <row r="110">
      <c r="A110" s="1025"/>
      <c r="D110" s="16"/>
    </row>
    <row r="111">
      <c r="A111" s="1025"/>
      <c r="D111" s="16"/>
    </row>
    <row r="112">
      <c r="A112" s="1025"/>
      <c r="D112" s="16"/>
    </row>
    <row r="113">
      <c r="A113" s="1025"/>
      <c r="D113" s="16"/>
    </row>
    <row r="114">
      <c r="A114" s="1025"/>
      <c r="D114" s="16"/>
    </row>
    <row r="115">
      <c r="A115" s="1025"/>
      <c r="D115" s="16"/>
    </row>
    <row r="116">
      <c r="A116" s="1025"/>
      <c r="D116" s="16"/>
    </row>
    <row r="117">
      <c r="A117" s="1025"/>
      <c r="D117" s="16"/>
    </row>
    <row r="118">
      <c r="A118" s="1025"/>
      <c r="D118" s="16"/>
    </row>
    <row r="119">
      <c r="A119" s="1025"/>
      <c r="D119" s="16"/>
    </row>
    <row r="120">
      <c r="A120" s="1025"/>
      <c r="D120" s="16"/>
    </row>
    <row r="121">
      <c r="A121" s="1025"/>
      <c r="D121" s="16"/>
    </row>
    <row r="122">
      <c r="A122" s="1025"/>
      <c r="D122" s="16"/>
    </row>
    <row r="123">
      <c r="A123" s="1025"/>
      <c r="D123" s="16"/>
    </row>
    <row r="124">
      <c r="A124" s="1025"/>
      <c r="D124" s="16"/>
    </row>
    <row r="125">
      <c r="A125" s="1025"/>
      <c r="D125" s="16"/>
    </row>
    <row r="126">
      <c r="A126" s="1025"/>
      <c r="D126" s="16"/>
    </row>
    <row r="127">
      <c r="A127" s="1025"/>
      <c r="D127" s="16"/>
    </row>
    <row r="128">
      <c r="A128" s="1025"/>
      <c r="D128" s="16"/>
    </row>
    <row r="129">
      <c r="A129" s="1025"/>
      <c r="D129" s="16"/>
    </row>
    <row r="130">
      <c r="A130" s="1025"/>
      <c r="D130" s="16"/>
    </row>
    <row r="131">
      <c r="A131" s="1025"/>
      <c r="D131" s="16"/>
    </row>
    <row r="132">
      <c r="A132" s="1025"/>
      <c r="D132" s="16"/>
    </row>
    <row r="133">
      <c r="A133" s="1025"/>
      <c r="D133" s="16"/>
    </row>
    <row r="134">
      <c r="A134" s="1025"/>
      <c r="D134" s="16"/>
    </row>
    <row r="135">
      <c r="A135" s="1025"/>
      <c r="D135" s="16"/>
    </row>
    <row r="136">
      <c r="A136" s="1025"/>
      <c r="D136" s="16"/>
    </row>
    <row r="137">
      <c r="A137" s="1025"/>
      <c r="D137" s="16"/>
    </row>
    <row r="138">
      <c r="A138" s="1025"/>
      <c r="D138" s="16"/>
    </row>
    <row r="139">
      <c r="A139" s="1025"/>
      <c r="D139" s="16"/>
    </row>
    <row r="140">
      <c r="A140" s="1025"/>
      <c r="D140" s="16"/>
    </row>
    <row r="141">
      <c r="A141" s="1025"/>
      <c r="D141" s="16"/>
    </row>
    <row r="142">
      <c r="A142" s="1025"/>
      <c r="D142" s="16"/>
    </row>
    <row r="143">
      <c r="A143" s="1025"/>
      <c r="D143" s="16"/>
    </row>
    <row r="144">
      <c r="A144" s="1025"/>
      <c r="D144" s="16"/>
    </row>
    <row r="145">
      <c r="A145" s="1025"/>
      <c r="D145" s="16"/>
    </row>
    <row r="146">
      <c r="A146" s="1025"/>
      <c r="D146" s="16"/>
    </row>
    <row r="147">
      <c r="A147" s="1025"/>
      <c r="D147" s="16"/>
    </row>
    <row r="148">
      <c r="A148" s="1025"/>
      <c r="D148" s="16"/>
    </row>
    <row r="149">
      <c r="A149" s="1025"/>
      <c r="D149" s="16"/>
    </row>
    <row r="150">
      <c r="A150" s="1025"/>
      <c r="D150" s="16"/>
    </row>
    <row r="151">
      <c r="A151" s="1025"/>
      <c r="D151" s="16"/>
    </row>
    <row r="152">
      <c r="A152" s="1025"/>
      <c r="D152" s="16"/>
    </row>
    <row r="153">
      <c r="A153" s="1025"/>
      <c r="D153" s="16"/>
    </row>
    <row r="154">
      <c r="A154" s="1025"/>
      <c r="D154" s="16"/>
    </row>
    <row r="155">
      <c r="A155" s="1025"/>
      <c r="D155" s="16"/>
    </row>
    <row r="156">
      <c r="A156" s="1025"/>
      <c r="D156" s="16"/>
    </row>
    <row r="157">
      <c r="A157" s="1025"/>
      <c r="D157" s="16"/>
    </row>
    <row r="158">
      <c r="A158" s="1025"/>
      <c r="D158" s="16"/>
    </row>
    <row r="159">
      <c r="A159" s="1025"/>
      <c r="D159" s="16"/>
    </row>
    <row r="160">
      <c r="A160" s="1025"/>
      <c r="D160" s="16"/>
    </row>
    <row r="161">
      <c r="A161" s="1025"/>
      <c r="D161" s="16"/>
    </row>
    <row r="162">
      <c r="A162" s="1025"/>
      <c r="D162" s="16"/>
    </row>
    <row r="163">
      <c r="A163" s="1025"/>
      <c r="D163" s="16"/>
    </row>
    <row r="164">
      <c r="A164" s="1025"/>
      <c r="D164" s="16"/>
    </row>
    <row r="165">
      <c r="A165" s="1025"/>
      <c r="D165" s="16"/>
    </row>
    <row r="166">
      <c r="A166" s="1025"/>
      <c r="D166" s="16"/>
    </row>
    <row r="167">
      <c r="A167" s="1025"/>
      <c r="D167" s="16"/>
    </row>
    <row r="168">
      <c r="A168" s="1025"/>
      <c r="D168" s="16"/>
    </row>
    <row r="169">
      <c r="A169" s="1025"/>
      <c r="D169" s="16"/>
    </row>
    <row r="170">
      <c r="A170" s="1025"/>
      <c r="D170" s="16"/>
    </row>
    <row r="171">
      <c r="A171" s="1025"/>
      <c r="D171" s="16"/>
    </row>
    <row r="172">
      <c r="A172" s="1025"/>
      <c r="D172" s="16"/>
    </row>
    <row r="173">
      <c r="A173" s="1025"/>
      <c r="D173" s="16"/>
    </row>
    <row r="174">
      <c r="A174" s="1025"/>
      <c r="D174" s="16"/>
    </row>
    <row r="175">
      <c r="A175" s="1025"/>
      <c r="D175" s="16"/>
    </row>
    <row r="176">
      <c r="A176" s="1025"/>
      <c r="D176" s="16"/>
    </row>
    <row r="177">
      <c r="A177" s="1025"/>
      <c r="D177" s="16"/>
    </row>
    <row r="178">
      <c r="A178" s="1025"/>
      <c r="D178" s="16"/>
    </row>
    <row r="179">
      <c r="A179" s="1025"/>
      <c r="D179" s="16"/>
    </row>
    <row r="180">
      <c r="A180" s="1025"/>
      <c r="D180" s="16"/>
    </row>
    <row r="181">
      <c r="A181" s="1025"/>
      <c r="D181" s="16"/>
    </row>
    <row r="182">
      <c r="A182" s="1025"/>
      <c r="D182" s="16"/>
    </row>
    <row r="183">
      <c r="A183" s="1025"/>
      <c r="D183" s="16"/>
    </row>
    <row r="184">
      <c r="A184" s="1025"/>
      <c r="D184" s="16"/>
    </row>
    <row r="185">
      <c r="A185" s="1025"/>
      <c r="D185" s="16"/>
    </row>
    <row r="186">
      <c r="A186" s="1025"/>
      <c r="D186" s="16"/>
    </row>
    <row r="187">
      <c r="A187" s="1025"/>
      <c r="D187" s="16"/>
    </row>
    <row r="188">
      <c r="A188" s="1025"/>
      <c r="D188" s="16"/>
    </row>
    <row r="189">
      <c r="A189" s="1025"/>
      <c r="D189" s="16"/>
    </row>
    <row r="190">
      <c r="A190" s="1025"/>
      <c r="D190" s="16"/>
    </row>
    <row r="191">
      <c r="A191" s="1025"/>
      <c r="D191" s="16"/>
    </row>
    <row r="192">
      <c r="A192" s="1025"/>
      <c r="D192" s="16"/>
    </row>
    <row r="193">
      <c r="A193" s="1025"/>
      <c r="D193" s="16"/>
    </row>
    <row r="194">
      <c r="A194" s="1025"/>
      <c r="D194" s="16"/>
    </row>
    <row r="195">
      <c r="A195" s="1025"/>
      <c r="D195" s="16"/>
    </row>
    <row r="196">
      <c r="A196" s="1025"/>
      <c r="D196" s="16"/>
    </row>
    <row r="197">
      <c r="A197" s="1025"/>
      <c r="D197" s="16"/>
    </row>
    <row r="198">
      <c r="A198" s="1025"/>
      <c r="D198" s="16"/>
    </row>
    <row r="199">
      <c r="A199" s="1025"/>
      <c r="D199" s="16"/>
    </row>
    <row r="200">
      <c r="A200" s="1025"/>
      <c r="D200" s="16"/>
    </row>
    <row r="201">
      <c r="A201" s="1025"/>
      <c r="D201" s="16"/>
    </row>
    <row r="202">
      <c r="A202" s="1025"/>
      <c r="D202" s="16"/>
    </row>
    <row r="203">
      <c r="A203" s="1025"/>
      <c r="D203" s="16"/>
    </row>
    <row r="204">
      <c r="A204" s="1025"/>
      <c r="D204" s="16"/>
    </row>
    <row r="205">
      <c r="A205" s="1025"/>
      <c r="D205" s="16"/>
    </row>
    <row r="206">
      <c r="A206" s="1025"/>
      <c r="D206" s="16"/>
    </row>
    <row r="207">
      <c r="A207" s="1025"/>
      <c r="D207" s="16"/>
    </row>
    <row r="208">
      <c r="A208" s="1025"/>
      <c r="D208" s="16"/>
    </row>
    <row r="209">
      <c r="A209" s="1025"/>
      <c r="D209" s="16"/>
    </row>
    <row r="210">
      <c r="A210" s="1025"/>
      <c r="D210" s="16"/>
    </row>
    <row r="211">
      <c r="A211" s="1025"/>
      <c r="D211" s="16"/>
    </row>
    <row r="212">
      <c r="A212" s="1025"/>
      <c r="D212" s="16"/>
    </row>
    <row r="213">
      <c r="A213" s="1025"/>
      <c r="D213" s="16"/>
    </row>
    <row r="214">
      <c r="A214" s="1025"/>
      <c r="D214" s="16"/>
    </row>
    <row r="215">
      <c r="A215" s="1025"/>
      <c r="D215" s="16"/>
    </row>
    <row r="216">
      <c r="A216" s="1025"/>
      <c r="D216" s="16"/>
    </row>
    <row r="217">
      <c r="A217" s="1025"/>
      <c r="D217" s="16"/>
    </row>
    <row r="218">
      <c r="A218" s="1025"/>
      <c r="D218" s="16"/>
    </row>
    <row r="219">
      <c r="A219" s="1025"/>
      <c r="D219" s="16"/>
    </row>
    <row r="220">
      <c r="A220" s="1025"/>
      <c r="D220" s="16"/>
    </row>
    <row r="221">
      <c r="A221" s="1025"/>
      <c r="D221" s="16"/>
    </row>
    <row r="222">
      <c r="A222" s="1025"/>
      <c r="D222" s="16"/>
    </row>
    <row r="223">
      <c r="A223" s="1025"/>
      <c r="D223" s="16"/>
    </row>
    <row r="224">
      <c r="A224" s="1025"/>
      <c r="D224" s="16"/>
    </row>
    <row r="225">
      <c r="A225" s="1025"/>
      <c r="D225" s="16"/>
    </row>
    <row r="226">
      <c r="A226" s="1025"/>
      <c r="D226" s="16"/>
    </row>
    <row r="227">
      <c r="A227" s="1025"/>
      <c r="D227" s="16"/>
    </row>
    <row r="228">
      <c r="A228" s="1025"/>
      <c r="D228" s="16"/>
    </row>
    <row r="229">
      <c r="A229" s="1025"/>
      <c r="D229" s="16"/>
    </row>
    <row r="230">
      <c r="A230" s="1025"/>
      <c r="D230" s="16"/>
    </row>
    <row r="231">
      <c r="A231" s="1025"/>
      <c r="D231" s="16"/>
    </row>
    <row r="232">
      <c r="A232" s="1025"/>
      <c r="D232" s="16"/>
    </row>
    <row r="233">
      <c r="A233" s="1025"/>
      <c r="D233" s="16"/>
    </row>
    <row r="234">
      <c r="A234" s="1025"/>
      <c r="D234" s="16"/>
    </row>
    <row r="235">
      <c r="A235" s="1025"/>
      <c r="D235" s="16"/>
    </row>
    <row r="236">
      <c r="A236" s="1025"/>
      <c r="D236" s="16"/>
    </row>
    <row r="237">
      <c r="A237" s="1025"/>
      <c r="D237" s="16"/>
    </row>
    <row r="238">
      <c r="A238" s="1025"/>
      <c r="D238" s="16"/>
    </row>
    <row r="239">
      <c r="A239" s="1025"/>
      <c r="D239" s="16"/>
    </row>
    <row r="240">
      <c r="A240" s="1025"/>
      <c r="D240" s="16"/>
    </row>
    <row r="241">
      <c r="A241" s="1025"/>
      <c r="D241" s="16"/>
    </row>
    <row r="242">
      <c r="A242" s="1025"/>
      <c r="D242" s="16"/>
    </row>
    <row r="243">
      <c r="A243" s="1025"/>
      <c r="D243" s="16"/>
    </row>
    <row r="244">
      <c r="A244" s="1025"/>
      <c r="D244" s="16"/>
    </row>
    <row r="245">
      <c r="A245" s="1025"/>
      <c r="D245" s="16"/>
    </row>
    <row r="246">
      <c r="A246" s="1025"/>
      <c r="D246" s="16"/>
    </row>
    <row r="247">
      <c r="A247" s="1025"/>
      <c r="D247" s="16"/>
    </row>
    <row r="248">
      <c r="A248" s="1025"/>
      <c r="D248" s="16"/>
    </row>
    <row r="249">
      <c r="A249" s="1025"/>
      <c r="D249" s="16"/>
    </row>
    <row r="250">
      <c r="A250" s="1025"/>
      <c r="D250" s="16"/>
    </row>
    <row r="251">
      <c r="A251" s="1025"/>
      <c r="D251" s="16"/>
    </row>
    <row r="252">
      <c r="A252" s="1025"/>
      <c r="D252" s="16"/>
    </row>
    <row r="253">
      <c r="A253" s="1025"/>
      <c r="D253" s="16"/>
    </row>
    <row r="254">
      <c r="A254" s="1025"/>
      <c r="D254" s="16"/>
    </row>
    <row r="255">
      <c r="A255" s="1025"/>
      <c r="D255" s="16"/>
    </row>
    <row r="256">
      <c r="A256" s="1025"/>
      <c r="D256" s="16"/>
    </row>
    <row r="257">
      <c r="A257" s="1025"/>
      <c r="D257" s="16"/>
    </row>
    <row r="258">
      <c r="A258" s="1025"/>
      <c r="D258" s="16"/>
    </row>
    <row r="259">
      <c r="A259" s="1025"/>
      <c r="D259" s="16"/>
    </row>
    <row r="260">
      <c r="A260" s="1025"/>
      <c r="D260" s="16"/>
    </row>
    <row r="261">
      <c r="A261" s="1025"/>
      <c r="D261" s="16"/>
    </row>
    <row r="262">
      <c r="A262" s="1025"/>
      <c r="D262" s="16"/>
    </row>
    <row r="263">
      <c r="A263" s="1025"/>
      <c r="D263" s="16"/>
    </row>
    <row r="264">
      <c r="A264" s="1025"/>
      <c r="D264" s="16"/>
    </row>
    <row r="265">
      <c r="A265" s="1025"/>
      <c r="D265" s="16"/>
    </row>
    <row r="266">
      <c r="A266" s="1025"/>
      <c r="D266" s="16"/>
    </row>
    <row r="267">
      <c r="A267" s="1025"/>
      <c r="D267" s="16"/>
    </row>
    <row r="268">
      <c r="A268" s="1025"/>
      <c r="D268" s="16"/>
    </row>
    <row r="269">
      <c r="A269" s="1025"/>
      <c r="D269" s="16"/>
    </row>
    <row r="270">
      <c r="A270" s="1025"/>
      <c r="D270" s="16"/>
    </row>
    <row r="271">
      <c r="A271" s="1025"/>
      <c r="D271" s="16"/>
    </row>
    <row r="272">
      <c r="A272" s="1025"/>
      <c r="D272" s="16"/>
    </row>
    <row r="273">
      <c r="A273" s="1025"/>
      <c r="D273" s="16"/>
    </row>
    <row r="274">
      <c r="A274" s="1025"/>
      <c r="D274" s="16"/>
    </row>
    <row r="275">
      <c r="A275" s="1025"/>
      <c r="D275" s="16"/>
    </row>
    <row r="276">
      <c r="A276" s="1025"/>
      <c r="D276" s="16"/>
    </row>
    <row r="277">
      <c r="A277" s="1025"/>
      <c r="D277" s="16"/>
    </row>
    <row r="278">
      <c r="A278" s="1025"/>
      <c r="D278" s="16"/>
    </row>
    <row r="279">
      <c r="A279" s="1025"/>
      <c r="D279" s="16"/>
    </row>
    <row r="280">
      <c r="A280" s="1025"/>
      <c r="D280" s="16"/>
    </row>
    <row r="281">
      <c r="A281" s="1025"/>
      <c r="D281" s="16"/>
    </row>
    <row r="282">
      <c r="A282" s="1025"/>
      <c r="D282" s="16"/>
    </row>
    <row r="283">
      <c r="A283" s="1025"/>
      <c r="D283" s="16"/>
    </row>
    <row r="284">
      <c r="A284" s="1025"/>
      <c r="D284" s="16"/>
    </row>
    <row r="285">
      <c r="A285" s="1025"/>
      <c r="D285" s="16"/>
    </row>
    <row r="286">
      <c r="A286" s="1025"/>
      <c r="D286" s="16"/>
    </row>
    <row r="287">
      <c r="A287" s="1025"/>
      <c r="D287" s="16"/>
    </row>
    <row r="288">
      <c r="A288" s="1025"/>
      <c r="D288" s="16"/>
    </row>
    <row r="289">
      <c r="A289" s="1025"/>
      <c r="D289" s="16"/>
    </row>
    <row r="290">
      <c r="A290" s="1025"/>
      <c r="D290" s="16"/>
    </row>
    <row r="291">
      <c r="A291" s="1025"/>
      <c r="D291" s="16"/>
    </row>
    <row r="292">
      <c r="A292" s="1025"/>
      <c r="D292" s="16"/>
    </row>
    <row r="293">
      <c r="A293" s="1025"/>
      <c r="D293" s="16"/>
    </row>
    <row r="294">
      <c r="A294" s="1025"/>
      <c r="D294" s="16"/>
    </row>
    <row r="295">
      <c r="A295" s="1025"/>
      <c r="D295" s="16"/>
    </row>
    <row r="296">
      <c r="A296" s="1025"/>
      <c r="D296" s="16"/>
    </row>
    <row r="297">
      <c r="A297" s="1025"/>
      <c r="D297" s="16"/>
    </row>
    <row r="298">
      <c r="A298" s="1025"/>
      <c r="D298" s="16"/>
    </row>
    <row r="299">
      <c r="A299" s="1025"/>
      <c r="D299" s="16"/>
    </row>
    <row r="300">
      <c r="A300" s="1025"/>
      <c r="D300" s="16"/>
    </row>
    <row r="301">
      <c r="A301" s="1025"/>
      <c r="D301" s="16"/>
    </row>
    <row r="302">
      <c r="A302" s="1025"/>
      <c r="D302" s="16"/>
    </row>
    <row r="303">
      <c r="A303" s="1025"/>
      <c r="D303" s="16"/>
    </row>
    <row r="304">
      <c r="A304" s="1025"/>
      <c r="D304" s="16"/>
    </row>
    <row r="305">
      <c r="A305" s="1025"/>
      <c r="D305" s="16"/>
    </row>
    <row r="306">
      <c r="A306" s="1025"/>
      <c r="D306" s="16"/>
    </row>
    <row r="307">
      <c r="A307" s="1025"/>
      <c r="D307" s="16"/>
    </row>
    <row r="308">
      <c r="A308" s="1025"/>
      <c r="D308" s="16"/>
    </row>
    <row r="309">
      <c r="A309" s="1025"/>
      <c r="D309" s="16"/>
    </row>
    <row r="310">
      <c r="A310" s="1025"/>
      <c r="D310" s="16"/>
    </row>
    <row r="311">
      <c r="A311" s="1025"/>
      <c r="D311" s="16"/>
    </row>
    <row r="312">
      <c r="A312" s="1025"/>
      <c r="D312" s="16"/>
    </row>
    <row r="313">
      <c r="A313" s="1025"/>
      <c r="D313" s="16"/>
    </row>
    <row r="314">
      <c r="A314" s="1025"/>
      <c r="D314" s="16"/>
    </row>
    <row r="315">
      <c r="A315" s="1025"/>
      <c r="D315" s="16"/>
    </row>
    <row r="316">
      <c r="A316" s="1025"/>
      <c r="D316" s="16"/>
    </row>
    <row r="317">
      <c r="A317" s="1025"/>
      <c r="D317" s="16"/>
    </row>
    <row r="318">
      <c r="A318" s="1025"/>
      <c r="D318" s="16"/>
    </row>
    <row r="319">
      <c r="A319" s="1025"/>
      <c r="D319" s="16"/>
    </row>
    <row r="320">
      <c r="A320" s="1025"/>
      <c r="D320" s="16"/>
    </row>
    <row r="321">
      <c r="A321" s="1025"/>
      <c r="D321" s="16"/>
    </row>
    <row r="322">
      <c r="A322" s="1025"/>
      <c r="D322" s="16"/>
    </row>
    <row r="323">
      <c r="A323" s="1025"/>
      <c r="D323" s="16"/>
    </row>
    <row r="324">
      <c r="A324" s="1025"/>
      <c r="D324" s="16"/>
    </row>
    <row r="325">
      <c r="A325" s="1025"/>
      <c r="D325" s="16"/>
    </row>
    <row r="326">
      <c r="A326" s="1025"/>
      <c r="D326" s="16"/>
    </row>
    <row r="327">
      <c r="A327" s="1025"/>
      <c r="D327" s="16"/>
    </row>
    <row r="328">
      <c r="A328" s="1025"/>
      <c r="D328" s="16"/>
    </row>
    <row r="329">
      <c r="A329" s="1025"/>
      <c r="D329" s="16"/>
    </row>
    <row r="330">
      <c r="A330" s="1025"/>
      <c r="D330" s="16"/>
    </row>
    <row r="331">
      <c r="A331" s="1025"/>
      <c r="D331" s="16"/>
    </row>
    <row r="332">
      <c r="A332" s="1025"/>
      <c r="D332" s="16"/>
    </row>
    <row r="333">
      <c r="A333" s="1025"/>
      <c r="D333" s="16"/>
    </row>
    <row r="334">
      <c r="A334" s="1025"/>
      <c r="D334" s="16"/>
    </row>
    <row r="335">
      <c r="A335" s="1025"/>
      <c r="D335" s="16"/>
    </row>
    <row r="336">
      <c r="A336" s="1025"/>
      <c r="D336" s="16"/>
    </row>
    <row r="337">
      <c r="A337" s="1025"/>
      <c r="D337" s="16"/>
    </row>
    <row r="338">
      <c r="A338" s="1025"/>
      <c r="D338" s="16"/>
    </row>
    <row r="339">
      <c r="A339" s="1025"/>
      <c r="D339" s="16"/>
    </row>
    <row r="340">
      <c r="A340" s="1025"/>
      <c r="D340" s="16"/>
    </row>
    <row r="341">
      <c r="A341" s="1025"/>
      <c r="D341" s="16"/>
    </row>
    <row r="342">
      <c r="A342" s="1025"/>
      <c r="D342" s="16"/>
    </row>
    <row r="343">
      <c r="A343" s="1025"/>
      <c r="D343" s="16"/>
    </row>
    <row r="344">
      <c r="A344" s="1025"/>
      <c r="D344" s="16"/>
    </row>
    <row r="345">
      <c r="A345" s="1025"/>
      <c r="D345" s="16"/>
    </row>
    <row r="346">
      <c r="A346" s="1025"/>
      <c r="D346" s="16"/>
    </row>
    <row r="347">
      <c r="A347" s="1025"/>
      <c r="D347" s="16"/>
    </row>
    <row r="348">
      <c r="A348" s="1025"/>
      <c r="D348" s="16"/>
    </row>
    <row r="349">
      <c r="A349" s="1025"/>
      <c r="D349" s="16"/>
    </row>
    <row r="350">
      <c r="A350" s="1025"/>
      <c r="D350" s="16"/>
    </row>
    <row r="351">
      <c r="A351" s="1025"/>
      <c r="D351" s="16"/>
    </row>
    <row r="352">
      <c r="A352" s="1025"/>
      <c r="D352" s="16"/>
    </row>
    <row r="353">
      <c r="A353" s="1025"/>
      <c r="D353" s="16"/>
    </row>
    <row r="354">
      <c r="A354" s="1025"/>
      <c r="D354" s="16"/>
    </row>
    <row r="355">
      <c r="A355" s="1025"/>
      <c r="D355" s="16"/>
    </row>
    <row r="356">
      <c r="A356" s="1025"/>
      <c r="D356" s="16"/>
    </row>
    <row r="357">
      <c r="A357" s="1025"/>
      <c r="D357" s="16"/>
    </row>
    <row r="358">
      <c r="A358" s="1025"/>
      <c r="D358" s="16"/>
    </row>
    <row r="359">
      <c r="A359" s="1025"/>
      <c r="D359" s="16"/>
    </row>
    <row r="360">
      <c r="A360" s="1025"/>
      <c r="D360" s="16"/>
    </row>
    <row r="361">
      <c r="A361" s="1025"/>
      <c r="D361" s="16"/>
    </row>
    <row r="362">
      <c r="A362" s="1025"/>
      <c r="D362" s="16"/>
    </row>
    <row r="363">
      <c r="A363" s="1025"/>
      <c r="D363" s="16"/>
    </row>
    <row r="364">
      <c r="A364" s="1025"/>
      <c r="D364" s="16"/>
    </row>
    <row r="365">
      <c r="A365" s="1025"/>
      <c r="D365" s="16"/>
    </row>
    <row r="366">
      <c r="A366" s="1025"/>
      <c r="D366" s="16"/>
    </row>
    <row r="367">
      <c r="A367" s="1025"/>
      <c r="D367" s="16"/>
    </row>
    <row r="368">
      <c r="A368" s="1025"/>
      <c r="D368" s="16"/>
    </row>
    <row r="369">
      <c r="A369" s="1025"/>
      <c r="D369" s="16"/>
    </row>
    <row r="370">
      <c r="A370" s="1025"/>
      <c r="D370" s="16"/>
    </row>
    <row r="371">
      <c r="A371" s="1025"/>
      <c r="D371" s="16"/>
    </row>
    <row r="372">
      <c r="A372" s="1025"/>
      <c r="D372" s="16"/>
    </row>
    <row r="373">
      <c r="A373" s="1025"/>
      <c r="D373" s="16"/>
    </row>
    <row r="374">
      <c r="A374" s="1025"/>
      <c r="D374" s="16"/>
    </row>
    <row r="375">
      <c r="A375" s="1025"/>
      <c r="D375" s="16"/>
    </row>
    <row r="376">
      <c r="A376" s="1025"/>
      <c r="D376" s="16"/>
    </row>
    <row r="377">
      <c r="A377" s="1025"/>
      <c r="D377" s="16"/>
    </row>
    <row r="378">
      <c r="A378" s="1025"/>
      <c r="D378" s="16"/>
    </row>
    <row r="379">
      <c r="A379" s="1025"/>
      <c r="D379" s="16"/>
    </row>
    <row r="380">
      <c r="A380" s="1025"/>
      <c r="D380" s="16"/>
    </row>
    <row r="381">
      <c r="A381" s="1025"/>
      <c r="D381" s="16"/>
    </row>
    <row r="382">
      <c r="A382" s="1025"/>
      <c r="D382" s="16"/>
    </row>
    <row r="383">
      <c r="A383" s="1025"/>
      <c r="D383" s="16"/>
    </row>
    <row r="384">
      <c r="A384" s="1025"/>
      <c r="D384" s="16"/>
    </row>
    <row r="385">
      <c r="A385" s="1025"/>
      <c r="D385" s="16"/>
    </row>
    <row r="386">
      <c r="A386" s="1025"/>
      <c r="D386" s="16"/>
    </row>
    <row r="387">
      <c r="A387" s="1025"/>
      <c r="D387" s="16"/>
    </row>
    <row r="388">
      <c r="A388" s="1025"/>
      <c r="D388" s="16"/>
    </row>
    <row r="389">
      <c r="A389" s="1025"/>
      <c r="D389" s="16"/>
    </row>
    <row r="390">
      <c r="A390" s="1025"/>
      <c r="D390" s="16"/>
    </row>
    <row r="391">
      <c r="A391" s="1025"/>
      <c r="D391" s="16"/>
    </row>
    <row r="392">
      <c r="A392" s="1025"/>
      <c r="D392" s="16"/>
    </row>
    <row r="393">
      <c r="A393" s="1025"/>
      <c r="D393" s="16"/>
    </row>
    <row r="394">
      <c r="A394" s="1025"/>
      <c r="D394" s="16"/>
    </row>
    <row r="395">
      <c r="A395" s="1025"/>
      <c r="D395" s="16"/>
    </row>
    <row r="396">
      <c r="A396" s="1025"/>
      <c r="D396" s="16"/>
    </row>
    <row r="397">
      <c r="A397" s="1025"/>
      <c r="D397" s="16"/>
    </row>
    <row r="398">
      <c r="A398" s="1025"/>
      <c r="D398" s="16"/>
    </row>
    <row r="399">
      <c r="A399" s="1025"/>
      <c r="D399" s="16"/>
    </row>
    <row r="400">
      <c r="A400" s="1025"/>
      <c r="D400" s="16"/>
    </row>
    <row r="401">
      <c r="A401" s="1025"/>
      <c r="D401" s="16"/>
    </row>
    <row r="402">
      <c r="A402" s="1025"/>
      <c r="D402" s="16"/>
    </row>
    <row r="403">
      <c r="A403" s="1025"/>
      <c r="D403" s="16"/>
    </row>
    <row r="404">
      <c r="A404" s="1025"/>
      <c r="D404" s="16"/>
    </row>
    <row r="405">
      <c r="A405" s="1025"/>
      <c r="D405" s="16"/>
    </row>
    <row r="406">
      <c r="A406" s="1025"/>
      <c r="D406" s="16"/>
    </row>
    <row r="407">
      <c r="A407" s="1025"/>
      <c r="D407" s="16"/>
    </row>
    <row r="408">
      <c r="A408" s="1025"/>
      <c r="D408" s="16"/>
    </row>
    <row r="409">
      <c r="A409" s="1025"/>
      <c r="D409" s="16"/>
    </row>
    <row r="410">
      <c r="A410" s="1025"/>
      <c r="D410" s="16"/>
    </row>
    <row r="411">
      <c r="A411" s="1025"/>
      <c r="D411" s="16"/>
    </row>
    <row r="412">
      <c r="A412" s="1025"/>
      <c r="D412" s="16"/>
    </row>
    <row r="413">
      <c r="A413" s="1025"/>
      <c r="D413" s="16"/>
    </row>
    <row r="414">
      <c r="A414" s="1025"/>
      <c r="D414" s="16"/>
    </row>
    <row r="415">
      <c r="A415" s="1025"/>
      <c r="D415" s="16"/>
    </row>
    <row r="416">
      <c r="A416" s="1025"/>
      <c r="D416" s="16"/>
    </row>
    <row r="417">
      <c r="A417" s="1025"/>
      <c r="D417" s="16"/>
    </row>
    <row r="418">
      <c r="A418" s="1025"/>
      <c r="D418" s="16"/>
    </row>
    <row r="419">
      <c r="A419" s="1025"/>
      <c r="D419" s="16"/>
    </row>
    <row r="420">
      <c r="A420" s="1025"/>
      <c r="D420" s="16"/>
    </row>
    <row r="421">
      <c r="A421" s="1025"/>
      <c r="D421" s="16"/>
    </row>
    <row r="422">
      <c r="A422" s="1025"/>
      <c r="D422" s="16"/>
    </row>
    <row r="423">
      <c r="A423" s="1025"/>
      <c r="D423" s="16"/>
    </row>
    <row r="424">
      <c r="A424" s="1025"/>
      <c r="D424" s="16"/>
    </row>
    <row r="425">
      <c r="A425" s="1025"/>
      <c r="D425" s="16"/>
    </row>
    <row r="426">
      <c r="A426" s="1025"/>
      <c r="D426" s="16"/>
    </row>
    <row r="427">
      <c r="A427" s="1025"/>
      <c r="D427" s="16"/>
    </row>
    <row r="428">
      <c r="A428" s="1025"/>
      <c r="D428" s="16"/>
    </row>
    <row r="429">
      <c r="A429" s="1025"/>
      <c r="D429" s="16"/>
    </row>
    <row r="430">
      <c r="A430" s="1025"/>
      <c r="D430" s="16"/>
    </row>
    <row r="431">
      <c r="A431" s="1025"/>
      <c r="D431" s="16"/>
    </row>
    <row r="432">
      <c r="A432" s="1025"/>
      <c r="D432" s="16"/>
    </row>
    <row r="433">
      <c r="A433" s="1025"/>
      <c r="D433" s="16"/>
    </row>
    <row r="434">
      <c r="A434" s="1025"/>
      <c r="D434" s="16"/>
    </row>
    <row r="435">
      <c r="A435" s="1025"/>
      <c r="D435" s="16"/>
    </row>
    <row r="436">
      <c r="A436" s="1025"/>
      <c r="D436" s="16"/>
    </row>
    <row r="437">
      <c r="A437" s="1025"/>
      <c r="D437" s="16"/>
    </row>
    <row r="438">
      <c r="A438" s="1025"/>
      <c r="D438" s="16"/>
    </row>
    <row r="439">
      <c r="A439" s="1025"/>
      <c r="D439" s="16"/>
    </row>
    <row r="440">
      <c r="A440" s="1025"/>
      <c r="D440" s="16"/>
    </row>
    <row r="441">
      <c r="A441" s="1025"/>
      <c r="D441" s="16"/>
    </row>
    <row r="442">
      <c r="A442" s="1025"/>
      <c r="D442" s="16"/>
    </row>
    <row r="443">
      <c r="A443" s="1025"/>
      <c r="D443" s="16"/>
    </row>
    <row r="444">
      <c r="A444" s="1025"/>
      <c r="D444" s="16"/>
    </row>
    <row r="445">
      <c r="A445" s="1025"/>
      <c r="D445" s="16"/>
    </row>
    <row r="446">
      <c r="A446" s="1025"/>
      <c r="D446" s="16"/>
    </row>
    <row r="447">
      <c r="A447" s="1025"/>
      <c r="D447" s="16"/>
    </row>
    <row r="448">
      <c r="A448" s="1025"/>
      <c r="D448" s="16"/>
    </row>
    <row r="449">
      <c r="A449" s="1025"/>
      <c r="D449" s="16"/>
    </row>
    <row r="450">
      <c r="A450" s="1025"/>
      <c r="D450" s="16"/>
    </row>
    <row r="451">
      <c r="A451" s="1025"/>
      <c r="D451" s="16"/>
    </row>
    <row r="452">
      <c r="A452" s="1025"/>
      <c r="D452" s="16"/>
    </row>
    <row r="453">
      <c r="A453" s="1025"/>
      <c r="D453" s="16"/>
    </row>
    <row r="454">
      <c r="A454" s="1025"/>
      <c r="D454" s="16"/>
    </row>
    <row r="455">
      <c r="A455" s="1025"/>
      <c r="D455" s="16"/>
    </row>
    <row r="456">
      <c r="A456" s="1025"/>
      <c r="D456" s="16"/>
    </row>
    <row r="457">
      <c r="A457" s="1025"/>
      <c r="D457" s="16"/>
    </row>
    <row r="458">
      <c r="A458" s="1025"/>
      <c r="D458" s="16"/>
    </row>
    <row r="459">
      <c r="A459" s="1025"/>
      <c r="D459" s="16"/>
    </row>
    <row r="460">
      <c r="A460" s="1025"/>
      <c r="D460" s="16"/>
    </row>
    <row r="461">
      <c r="A461" s="1025"/>
      <c r="D461" s="16"/>
    </row>
    <row r="462">
      <c r="A462" s="1025"/>
      <c r="D462" s="16"/>
    </row>
    <row r="463">
      <c r="A463" s="1025"/>
      <c r="D463" s="16"/>
    </row>
    <row r="464">
      <c r="A464" s="1025"/>
      <c r="D464" s="16"/>
    </row>
    <row r="465">
      <c r="A465" s="1025"/>
      <c r="D465" s="16"/>
    </row>
    <row r="466">
      <c r="A466" s="1025"/>
      <c r="D466" s="16"/>
    </row>
    <row r="467">
      <c r="A467" s="1025"/>
      <c r="D467" s="16"/>
    </row>
    <row r="468">
      <c r="A468" s="1025"/>
      <c r="D468" s="16"/>
    </row>
    <row r="469">
      <c r="A469" s="1025"/>
      <c r="D469" s="16"/>
    </row>
    <row r="470">
      <c r="A470" s="1025"/>
      <c r="D470" s="16"/>
    </row>
    <row r="471">
      <c r="A471" s="1025"/>
      <c r="D471" s="16"/>
    </row>
    <row r="472">
      <c r="A472" s="1025"/>
      <c r="D472" s="16"/>
    </row>
    <row r="473">
      <c r="A473" s="1025"/>
      <c r="D473" s="16"/>
    </row>
    <row r="474">
      <c r="A474" s="1025"/>
      <c r="D474" s="16"/>
    </row>
    <row r="475">
      <c r="A475" s="1025"/>
      <c r="D475" s="16"/>
    </row>
    <row r="476">
      <c r="A476" s="1025"/>
      <c r="D476" s="16"/>
    </row>
    <row r="477">
      <c r="A477" s="1025"/>
      <c r="D477" s="16"/>
    </row>
    <row r="478">
      <c r="A478" s="1025"/>
      <c r="D478" s="16"/>
    </row>
    <row r="479">
      <c r="A479" s="1025"/>
      <c r="D479" s="16"/>
    </row>
    <row r="480">
      <c r="A480" s="1025"/>
      <c r="D480" s="16"/>
    </row>
    <row r="481">
      <c r="A481" s="1025"/>
      <c r="D481" s="16"/>
    </row>
    <row r="482">
      <c r="A482" s="1025"/>
      <c r="D482" s="16"/>
    </row>
    <row r="483">
      <c r="A483" s="1025"/>
      <c r="D483" s="16"/>
    </row>
    <row r="484">
      <c r="A484" s="1025"/>
      <c r="D484" s="16"/>
    </row>
    <row r="485">
      <c r="A485" s="1025"/>
      <c r="D485" s="16"/>
    </row>
    <row r="486">
      <c r="A486" s="1025"/>
      <c r="D486" s="16"/>
    </row>
    <row r="487">
      <c r="A487" s="1025"/>
      <c r="D487" s="16"/>
    </row>
    <row r="488">
      <c r="A488" s="1025"/>
      <c r="D488" s="16"/>
    </row>
    <row r="489">
      <c r="A489" s="1025"/>
      <c r="D489" s="16"/>
    </row>
    <row r="490">
      <c r="A490" s="1025"/>
      <c r="D490" s="16"/>
    </row>
    <row r="491">
      <c r="A491" s="1025"/>
      <c r="D491" s="16"/>
    </row>
    <row r="492">
      <c r="A492" s="1025"/>
      <c r="D492" s="16"/>
    </row>
    <row r="493">
      <c r="A493" s="1025"/>
      <c r="D493" s="16"/>
    </row>
    <row r="494">
      <c r="A494" s="1025"/>
      <c r="D494" s="16"/>
    </row>
    <row r="495">
      <c r="A495" s="1025"/>
      <c r="D495" s="16"/>
    </row>
    <row r="496">
      <c r="A496" s="1025"/>
      <c r="D496" s="16"/>
    </row>
    <row r="497">
      <c r="A497" s="1025"/>
      <c r="D497" s="16"/>
    </row>
    <row r="498">
      <c r="A498" s="1025"/>
      <c r="D498" s="16"/>
    </row>
    <row r="499">
      <c r="A499" s="1025"/>
      <c r="D499" s="16"/>
    </row>
    <row r="500">
      <c r="A500" s="1025"/>
      <c r="D500" s="16"/>
    </row>
    <row r="501">
      <c r="A501" s="1025"/>
      <c r="D501" s="16"/>
    </row>
    <row r="502">
      <c r="A502" s="1025"/>
      <c r="D502" s="16"/>
    </row>
    <row r="503">
      <c r="A503" s="1025"/>
      <c r="D503" s="16"/>
    </row>
    <row r="504">
      <c r="A504" s="1025"/>
      <c r="D504" s="16"/>
    </row>
    <row r="505">
      <c r="A505" s="1025"/>
      <c r="D505" s="16"/>
    </row>
    <row r="506">
      <c r="A506" s="1025"/>
      <c r="D506" s="16"/>
    </row>
    <row r="507">
      <c r="A507" s="1025"/>
      <c r="D507" s="16"/>
    </row>
    <row r="508">
      <c r="A508" s="1025"/>
      <c r="D508" s="16"/>
    </row>
    <row r="509">
      <c r="A509" s="1025"/>
      <c r="D509" s="16"/>
    </row>
    <row r="510">
      <c r="A510" s="1025"/>
      <c r="D510" s="16"/>
    </row>
    <row r="511">
      <c r="A511" s="1025"/>
      <c r="D511" s="16"/>
    </row>
    <row r="512">
      <c r="A512" s="1025"/>
      <c r="D512" s="16"/>
    </row>
    <row r="513">
      <c r="A513" s="1025"/>
      <c r="D513" s="16"/>
    </row>
    <row r="514">
      <c r="A514" s="1025"/>
      <c r="D514" s="16"/>
    </row>
    <row r="515">
      <c r="A515" s="1025"/>
      <c r="D515" s="16"/>
    </row>
    <row r="516">
      <c r="A516" s="1025"/>
      <c r="D516" s="16"/>
    </row>
    <row r="517">
      <c r="A517" s="1025"/>
      <c r="D517" s="16"/>
    </row>
    <row r="518">
      <c r="A518" s="1025"/>
      <c r="D518" s="16"/>
    </row>
    <row r="519">
      <c r="A519" s="1025"/>
      <c r="D519" s="16"/>
    </row>
    <row r="520">
      <c r="A520" s="1025"/>
      <c r="D520" s="16"/>
    </row>
    <row r="521">
      <c r="A521" s="1025"/>
      <c r="D521" s="16"/>
    </row>
    <row r="522">
      <c r="A522" s="1025"/>
      <c r="D522" s="16"/>
    </row>
    <row r="523">
      <c r="A523" s="1025"/>
      <c r="D523" s="16"/>
    </row>
    <row r="524">
      <c r="A524" s="1025"/>
      <c r="D524" s="16"/>
    </row>
    <row r="525">
      <c r="A525" s="1025"/>
      <c r="D525" s="16"/>
    </row>
    <row r="526">
      <c r="A526" s="1025"/>
      <c r="D526" s="16"/>
    </row>
    <row r="527">
      <c r="A527" s="1025"/>
      <c r="D527" s="16"/>
    </row>
    <row r="528">
      <c r="A528" s="1025"/>
      <c r="D528" s="16"/>
    </row>
    <row r="529">
      <c r="A529" s="1025"/>
      <c r="D529" s="16"/>
    </row>
    <row r="530">
      <c r="A530" s="1025"/>
      <c r="D530" s="16"/>
    </row>
    <row r="531">
      <c r="A531" s="1025"/>
      <c r="D531" s="16"/>
    </row>
    <row r="532">
      <c r="A532" s="1025"/>
      <c r="D532" s="16"/>
    </row>
    <row r="533">
      <c r="A533" s="1025"/>
      <c r="D533" s="16"/>
    </row>
    <row r="534">
      <c r="A534" s="1025"/>
      <c r="D534" s="16"/>
    </row>
    <row r="535">
      <c r="A535" s="1025"/>
      <c r="D535" s="16"/>
    </row>
    <row r="536">
      <c r="A536" s="1025"/>
      <c r="D536" s="16"/>
    </row>
    <row r="537">
      <c r="A537" s="1025"/>
      <c r="D537" s="16"/>
    </row>
    <row r="538">
      <c r="A538" s="1025"/>
      <c r="D538" s="16"/>
    </row>
    <row r="539">
      <c r="A539" s="1025"/>
      <c r="D539" s="16"/>
    </row>
    <row r="540">
      <c r="A540" s="1025"/>
      <c r="D540" s="16"/>
    </row>
    <row r="541">
      <c r="A541" s="1025"/>
      <c r="D541" s="16"/>
    </row>
    <row r="542">
      <c r="A542" s="1025"/>
      <c r="D542" s="16"/>
    </row>
    <row r="543">
      <c r="A543" s="1025"/>
      <c r="D543" s="16"/>
    </row>
    <row r="544">
      <c r="A544" s="1025"/>
      <c r="D544" s="16"/>
    </row>
    <row r="545">
      <c r="A545" s="1025"/>
      <c r="D545" s="16"/>
    </row>
    <row r="546">
      <c r="A546" s="1025"/>
      <c r="D546" s="16"/>
    </row>
    <row r="547">
      <c r="A547" s="1025"/>
      <c r="D547" s="16"/>
    </row>
    <row r="548">
      <c r="A548" s="1025"/>
      <c r="D548" s="16"/>
    </row>
    <row r="549">
      <c r="A549" s="1025"/>
      <c r="D549" s="16"/>
    </row>
    <row r="550">
      <c r="A550" s="1025"/>
      <c r="D550" s="16"/>
    </row>
    <row r="551">
      <c r="A551" s="1025"/>
      <c r="D551" s="16"/>
    </row>
    <row r="552">
      <c r="A552" s="1025"/>
      <c r="D552" s="16"/>
    </row>
    <row r="553">
      <c r="A553" s="1025"/>
      <c r="D553" s="16"/>
    </row>
    <row r="554">
      <c r="A554" s="1025"/>
      <c r="D554" s="16"/>
    </row>
    <row r="555">
      <c r="A555" s="1025"/>
      <c r="D555" s="16"/>
    </row>
    <row r="556">
      <c r="A556" s="1025"/>
      <c r="D556" s="16"/>
    </row>
    <row r="557">
      <c r="A557" s="1025"/>
      <c r="D557" s="16"/>
    </row>
    <row r="558">
      <c r="A558" s="1025"/>
      <c r="D558" s="16"/>
    </row>
    <row r="559">
      <c r="A559" s="1025"/>
      <c r="D559" s="16"/>
    </row>
    <row r="560">
      <c r="A560" s="1025"/>
      <c r="D560" s="16"/>
    </row>
    <row r="561">
      <c r="A561" s="1025"/>
      <c r="D561" s="16"/>
    </row>
    <row r="562">
      <c r="A562" s="1025"/>
      <c r="D562" s="16"/>
    </row>
    <row r="563">
      <c r="A563" s="1025"/>
      <c r="D563" s="16"/>
    </row>
    <row r="564">
      <c r="A564" s="1025"/>
      <c r="D564" s="16"/>
    </row>
    <row r="565">
      <c r="A565" s="1025"/>
      <c r="D565" s="16"/>
    </row>
    <row r="566">
      <c r="A566" s="1025"/>
      <c r="D566" s="16"/>
    </row>
    <row r="567">
      <c r="A567" s="1025"/>
      <c r="D567" s="16"/>
    </row>
    <row r="568">
      <c r="A568" s="1025"/>
      <c r="D568" s="16"/>
    </row>
    <row r="569">
      <c r="A569" s="1025"/>
      <c r="D569" s="16"/>
    </row>
    <row r="570">
      <c r="A570" s="1025"/>
      <c r="D570" s="16"/>
    </row>
    <row r="571">
      <c r="A571" s="1025"/>
      <c r="D571" s="16"/>
    </row>
    <row r="572">
      <c r="A572" s="1025"/>
      <c r="D572" s="16"/>
    </row>
    <row r="573">
      <c r="A573" s="1025"/>
      <c r="D573" s="16"/>
    </row>
    <row r="574">
      <c r="A574" s="1025"/>
      <c r="D574" s="16"/>
    </row>
    <row r="575">
      <c r="A575" s="1025"/>
      <c r="D575" s="16"/>
    </row>
    <row r="576">
      <c r="A576" s="1025"/>
      <c r="D576" s="16"/>
    </row>
    <row r="577">
      <c r="A577" s="1025"/>
      <c r="D577" s="16"/>
    </row>
    <row r="578">
      <c r="A578" s="1025"/>
      <c r="D578" s="16"/>
    </row>
    <row r="579">
      <c r="A579" s="1025"/>
      <c r="D579" s="16"/>
    </row>
    <row r="580">
      <c r="A580" s="1025"/>
      <c r="D580" s="16"/>
    </row>
    <row r="581">
      <c r="A581" s="1025"/>
      <c r="D581" s="16"/>
    </row>
    <row r="582">
      <c r="A582" s="1025"/>
      <c r="D582" s="16"/>
    </row>
    <row r="583">
      <c r="A583" s="1025"/>
      <c r="D583" s="16"/>
    </row>
    <row r="584">
      <c r="A584" s="1025"/>
      <c r="D584" s="16"/>
    </row>
    <row r="585">
      <c r="A585" s="1025"/>
      <c r="D585" s="16"/>
    </row>
    <row r="586">
      <c r="A586" s="1025"/>
      <c r="D586" s="16"/>
    </row>
    <row r="587">
      <c r="A587" s="1025"/>
      <c r="D587" s="16"/>
    </row>
    <row r="588">
      <c r="A588" s="1025"/>
      <c r="D588" s="16"/>
    </row>
    <row r="589">
      <c r="A589" s="1025"/>
      <c r="D589" s="16"/>
    </row>
    <row r="590">
      <c r="A590" s="1025"/>
      <c r="D590" s="16"/>
    </row>
    <row r="591">
      <c r="A591" s="1025"/>
      <c r="D591" s="16"/>
    </row>
    <row r="592">
      <c r="A592" s="1025"/>
      <c r="D592" s="16"/>
    </row>
    <row r="593">
      <c r="A593" s="1025"/>
      <c r="D593" s="16"/>
    </row>
    <row r="594">
      <c r="A594" s="1025"/>
      <c r="D594" s="16"/>
    </row>
    <row r="595">
      <c r="A595" s="1025"/>
      <c r="D595" s="16"/>
    </row>
    <row r="596">
      <c r="A596" s="1025"/>
      <c r="D596" s="16"/>
    </row>
    <row r="597">
      <c r="A597" s="1025"/>
      <c r="D597" s="16"/>
    </row>
    <row r="598">
      <c r="A598" s="1025"/>
      <c r="D598" s="16"/>
    </row>
    <row r="599">
      <c r="A599" s="1025"/>
      <c r="D599" s="16"/>
    </row>
    <row r="600">
      <c r="A600" s="1025"/>
      <c r="D600" s="16"/>
    </row>
    <row r="601">
      <c r="A601" s="1025"/>
      <c r="D601" s="16"/>
    </row>
    <row r="602">
      <c r="A602" s="1025"/>
      <c r="D602" s="16"/>
    </row>
    <row r="603">
      <c r="A603" s="1025"/>
      <c r="D603" s="16"/>
    </row>
    <row r="604">
      <c r="A604" s="1025"/>
      <c r="D604" s="16"/>
    </row>
    <row r="605">
      <c r="A605" s="1025"/>
      <c r="D605" s="16"/>
    </row>
    <row r="606">
      <c r="A606" s="1025"/>
      <c r="D606" s="16"/>
    </row>
    <row r="607">
      <c r="A607" s="1025"/>
      <c r="D607" s="16"/>
    </row>
    <row r="608">
      <c r="A608" s="1025"/>
      <c r="D608" s="16"/>
    </row>
    <row r="609">
      <c r="A609" s="1025"/>
      <c r="D609" s="16"/>
    </row>
    <row r="610">
      <c r="A610" s="1025"/>
      <c r="D610" s="16"/>
    </row>
    <row r="611">
      <c r="A611" s="1025"/>
      <c r="D611" s="16"/>
    </row>
    <row r="612">
      <c r="A612" s="1025"/>
      <c r="D612" s="16"/>
    </row>
    <row r="613">
      <c r="A613" s="1025"/>
      <c r="D613" s="16"/>
    </row>
    <row r="614">
      <c r="A614" s="1025"/>
      <c r="D614" s="16"/>
    </row>
    <row r="615">
      <c r="A615" s="1025"/>
      <c r="D615" s="16"/>
    </row>
    <row r="616">
      <c r="A616" s="1025"/>
      <c r="D616" s="16"/>
    </row>
    <row r="617">
      <c r="A617" s="1025"/>
      <c r="D617" s="16"/>
    </row>
    <row r="618">
      <c r="A618" s="1025"/>
      <c r="D618" s="16"/>
    </row>
    <row r="619">
      <c r="A619" s="1025"/>
      <c r="D619" s="16"/>
    </row>
    <row r="620">
      <c r="A620" s="1025"/>
      <c r="D620" s="16"/>
    </row>
    <row r="621">
      <c r="A621" s="1025"/>
      <c r="D621" s="16"/>
    </row>
    <row r="622">
      <c r="A622" s="1025"/>
      <c r="D622" s="16"/>
    </row>
    <row r="623">
      <c r="A623" s="1025"/>
      <c r="D623" s="16"/>
    </row>
    <row r="624">
      <c r="A624" s="1025"/>
      <c r="D624" s="16"/>
    </row>
    <row r="625">
      <c r="A625" s="1025"/>
      <c r="D625" s="16"/>
    </row>
    <row r="626">
      <c r="A626" s="1025"/>
      <c r="D626" s="16"/>
    </row>
    <row r="627">
      <c r="A627" s="1025"/>
      <c r="D627" s="16"/>
    </row>
    <row r="628">
      <c r="A628" s="1025"/>
      <c r="D628" s="16"/>
    </row>
    <row r="629">
      <c r="A629" s="1025"/>
      <c r="D629" s="16"/>
    </row>
    <row r="630">
      <c r="A630" s="1025"/>
      <c r="D630" s="16"/>
    </row>
    <row r="631">
      <c r="A631" s="1025"/>
      <c r="D631" s="16"/>
    </row>
    <row r="632">
      <c r="A632" s="1025"/>
      <c r="D632" s="16"/>
    </row>
    <row r="633">
      <c r="A633" s="1025"/>
      <c r="D633" s="16"/>
    </row>
    <row r="634">
      <c r="A634" s="1025"/>
      <c r="D634" s="16"/>
    </row>
    <row r="635">
      <c r="A635" s="1025"/>
      <c r="D635" s="16"/>
    </row>
    <row r="636">
      <c r="A636" s="1025"/>
      <c r="D636" s="16"/>
    </row>
    <row r="637">
      <c r="A637" s="1025"/>
      <c r="D637" s="16"/>
    </row>
    <row r="638">
      <c r="A638" s="1025"/>
      <c r="D638" s="16"/>
    </row>
    <row r="639">
      <c r="A639" s="1025"/>
      <c r="D639" s="16"/>
    </row>
    <row r="640">
      <c r="A640" s="1025"/>
      <c r="D640" s="16"/>
    </row>
    <row r="641">
      <c r="A641" s="1025"/>
      <c r="D641" s="16"/>
    </row>
    <row r="642">
      <c r="A642" s="1025"/>
      <c r="D642" s="16"/>
    </row>
    <row r="643">
      <c r="A643" s="1025"/>
      <c r="D643" s="16"/>
    </row>
    <row r="644">
      <c r="A644" s="1025"/>
      <c r="D644" s="16"/>
    </row>
    <row r="645">
      <c r="A645" s="1025"/>
      <c r="D645" s="16"/>
    </row>
    <row r="646">
      <c r="A646" s="1025"/>
      <c r="D646" s="16"/>
    </row>
    <row r="647">
      <c r="A647" s="1025"/>
      <c r="D647" s="16"/>
    </row>
    <row r="648">
      <c r="A648" s="1025"/>
      <c r="D648" s="16"/>
    </row>
    <row r="649">
      <c r="A649" s="1025"/>
      <c r="D649" s="16"/>
    </row>
    <row r="650">
      <c r="A650" s="1025"/>
      <c r="D650" s="16"/>
    </row>
    <row r="651">
      <c r="A651" s="1025"/>
      <c r="D651" s="16"/>
    </row>
    <row r="652">
      <c r="A652" s="1025"/>
      <c r="D652" s="16"/>
    </row>
    <row r="653">
      <c r="A653" s="1025"/>
      <c r="D653" s="16"/>
    </row>
    <row r="654">
      <c r="A654" s="1025"/>
      <c r="D654" s="16"/>
    </row>
    <row r="655">
      <c r="A655" s="1025"/>
      <c r="D655" s="16"/>
    </row>
    <row r="656">
      <c r="A656" s="1025"/>
      <c r="D656" s="16"/>
    </row>
    <row r="657">
      <c r="A657" s="1025"/>
      <c r="D657" s="16"/>
    </row>
    <row r="658">
      <c r="A658" s="1025"/>
      <c r="D658" s="16"/>
    </row>
    <row r="659">
      <c r="A659" s="1025"/>
      <c r="D659" s="16"/>
    </row>
    <row r="660">
      <c r="A660" s="1025"/>
      <c r="D660" s="16"/>
    </row>
    <row r="661">
      <c r="A661" s="1025"/>
      <c r="D661" s="16"/>
    </row>
    <row r="662">
      <c r="A662" s="1025"/>
      <c r="D662" s="16"/>
    </row>
    <row r="663">
      <c r="A663" s="1025"/>
      <c r="D663" s="16"/>
    </row>
    <row r="664">
      <c r="A664" s="1025"/>
      <c r="D664" s="16"/>
    </row>
    <row r="665">
      <c r="A665" s="1025"/>
      <c r="D665" s="16"/>
    </row>
    <row r="666">
      <c r="A666" s="1025"/>
      <c r="D666" s="16"/>
    </row>
    <row r="667">
      <c r="A667" s="1025"/>
      <c r="D667" s="16"/>
    </row>
    <row r="668">
      <c r="A668" s="1025"/>
      <c r="D668" s="16"/>
    </row>
    <row r="669">
      <c r="A669" s="1025"/>
      <c r="D669" s="16"/>
    </row>
    <row r="670">
      <c r="A670" s="1025"/>
      <c r="D670" s="16"/>
    </row>
    <row r="671">
      <c r="A671" s="1025"/>
      <c r="D671" s="16"/>
    </row>
    <row r="672">
      <c r="A672" s="1025"/>
      <c r="D672" s="16"/>
    </row>
    <row r="673">
      <c r="A673" s="1025"/>
      <c r="D673" s="16"/>
    </row>
    <row r="674">
      <c r="A674" s="1025"/>
      <c r="D674" s="16"/>
    </row>
    <row r="675">
      <c r="A675" s="1025"/>
      <c r="D675" s="16"/>
    </row>
    <row r="676">
      <c r="A676" s="1025"/>
      <c r="D676" s="16"/>
    </row>
    <row r="677">
      <c r="A677" s="1025"/>
      <c r="D677" s="16"/>
    </row>
    <row r="678">
      <c r="A678" s="1025"/>
      <c r="D678" s="16"/>
    </row>
    <row r="679">
      <c r="A679" s="1025"/>
      <c r="D679" s="16"/>
    </row>
    <row r="680">
      <c r="A680" s="1025"/>
      <c r="D680" s="16"/>
    </row>
    <row r="681">
      <c r="A681" s="1025"/>
      <c r="D681" s="16"/>
    </row>
    <row r="682">
      <c r="A682" s="1025"/>
      <c r="D682" s="16"/>
    </row>
    <row r="683">
      <c r="A683" s="1025"/>
      <c r="D683" s="16"/>
    </row>
    <row r="684">
      <c r="A684" s="1025"/>
      <c r="D684" s="16"/>
    </row>
    <row r="685">
      <c r="A685" s="1025"/>
      <c r="D685" s="16"/>
    </row>
    <row r="686">
      <c r="A686" s="1025"/>
      <c r="D686" s="16"/>
    </row>
    <row r="687">
      <c r="A687" s="1025"/>
      <c r="D687" s="16"/>
    </row>
    <row r="688">
      <c r="A688" s="1025"/>
      <c r="D688" s="16"/>
    </row>
    <row r="689">
      <c r="A689" s="1025"/>
      <c r="D689" s="16"/>
    </row>
    <row r="690">
      <c r="A690" s="1025"/>
      <c r="D690" s="16"/>
    </row>
    <row r="691">
      <c r="A691" s="1025"/>
      <c r="D691" s="16"/>
    </row>
    <row r="692">
      <c r="A692" s="1025"/>
      <c r="D692" s="16"/>
    </row>
    <row r="693">
      <c r="A693" s="1025"/>
      <c r="D693" s="16"/>
    </row>
    <row r="694">
      <c r="A694" s="1025"/>
      <c r="D694" s="16"/>
    </row>
    <row r="695">
      <c r="A695" s="1025"/>
      <c r="D695" s="16"/>
    </row>
    <row r="696">
      <c r="A696" s="1025"/>
      <c r="D696" s="16"/>
    </row>
    <row r="697">
      <c r="A697" s="1025"/>
      <c r="D697" s="16"/>
    </row>
    <row r="698">
      <c r="A698" s="1025"/>
      <c r="D698" s="16"/>
    </row>
    <row r="699">
      <c r="A699" s="1025"/>
      <c r="D699" s="16"/>
    </row>
    <row r="700">
      <c r="A700" s="1025"/>
      <c r="D700" s="16"/>
    </row>
    <row r="701">
      <c r="A701" s="1025"/>
      <c r="D701" s="16"/>
    </row>
    <row r="702">
      <c r="A702" s="1025"/>
      <c r="D702" s="16"/>
    </row>
    <row r="703">
      <c r="A703" s="1025"/>
      <c r="D703" s="16"/>
    </row>
    <row r="704">
      <c r="A704" s="1025"/>
      <c r="D704" s="16"/>
    </row>
    <row r="705">
      <c r="A705" s="1025"/>
      <c r="D705" s="16"/>
    </row>
    <row r="706">
      <c r="A706" s="1025"/>
      <c r="D706" s="16"/>
    </row>
    <row r="707">
      <c r="A707" s="1025"/>
      <c r="D707" s="16"/>
    </row>
    <row r="708">
      <c r="A708" s="1025"/>
      <c r="D708" s="16"/>
    </row>
    <row r="709">
      <c r="A709" s="1025"/>
      <c r="D709" s="16"/>
    </row>
    <row r="710">
      <c r="A710" s="1025"/>
      <c r="D710" s="16"/>
    </row>
    <row r="711">
      <c r="A711" s="1025"/>
      <c r="D711" s="16"/>
    </row>
    <row r="712">
      <c r="A712" s="1025"/>
      <c r="D712" s="16"/>
    </row>
    <row r="713">
      <c r="A713" s="1025"/>
      <c r="D713" s="16"/>
    </row>
    <row r="714">
      <c r="A714" s="1025"/>
      <c r="D714" s="16"/>
    </row>
    <row r="715">
      <c r="A715" s="1025"/>
      <c r="D715" s="16"/>
    </row>
    <row r="716">
      <c r="A716" s="1025"/>
      <c r="D716" s="16"/>
    </row>
    <row r="717">
      <c r="A717" s="1025"/>
      <c r="D717" s="16"/>
    </row>
    <row r="718">
      <c r="A718" s="1025"/>
      <c r="D718" s="16"/>
    </row>
    <row r="719">
      <c r="A719" s="1025"/>
      <c r="D719" s="16"/>
    </row>
    <row r="720">
      <c r="A720" s="1025"/>
      <c r="D720" s="16"/>
    </row>
    <row r="721">
      <c r="A721" s="1025"/>
      <c r="D721" s="16"/>
    </row>
    <row r="722">
      <c r="A722" s="1025"/>
      <c r="D722" s="16"/>
    </row>
    <row r="723">
      <c r="A723" s="1025"/>
      <c r="D723" s="16"/>
    </row>
    <row r="724">
      <c r="A724" s="1025"/>
      <c r="D724" s="16"/>
    </row>
    <row r="725">
      <c r="A725" s="1025"/>
      <c r="D725" s="16"/>
    </row>
    <row r="726">
      <c r="A726" s="1025"/>
      <c r="D726" s="16"/>
    </row>
    <row r="727">
      <c r="A727" s="1025"/>
      <c r="D727" s="16"/>
    </row>
    <row r="728">
      <c r="A728" s="1025"/>
      <c r="D728" s="16"/>
    </row>
    <row r="729">
      <c r="A729" s="1025"/>
      <c r="D729" s="16"/>
    </row>
    <row r="730">
      <c r="A730" s="1025"/>
      <c r="D730" s="16"/>
    </row>
    <row r="731">
      <c r="A731" s="1025"/>
      <c r="D731" s="16"/>
    </row>
    <row r="732">
      <c r="A732" s="1025"/>
      <c r="D732" s="16"/>
    </row>
    <row r="733">
      <c r="A733" s="1025"/>
      <c r="D733" s="16"/>
    </row>
    <row r="734">
      <c r="A734" s="1025"/>
      <c r="D734" s="16"/>
    </row>
    <row r="735">
      <c r="A735" s="1025"/>
      <c r="D735" s="16"/>
    </row>
    <row r="736">
      <c r="A736" s="1025"/>
      <c r="D736" s="16"/>
    </row>
    <row r="737">
      <c r="A737" s="1025"/>
      <c r="D737" s="16"/>
    </row>
    <row r="738">
      <c r="A738" s="1025"/>
      <c r="D738" s="16"/>
    </row>
    <row r="739">
      <c r="A739" s="1025"/>
      <c r="D739" s="16"/>
    </row>
    <row r="740">
      <c r="A740" s="1025"/>
      <c r="D740" s="16"/>
    </row>
    <row r="741">
      <c r="A741" s="1025"/>
      <c r="D741" s="16"/>
    </row>
    <row r="742">
      <c r="A742" s="1025"/>
      <c r="D742" s="16"/>
    </row>
    <row r="743">
      <c r="A743" s="1025"/>
      <c r="D743" s="16"/>
    </row>
    <row r="744">
      <c r="A744" s="1025"/>
      <c r="D744" s="16"/>
    </row>
    <row r="745">
      <c r="A745" s="1025"/>
      <c r="D745" s="16"/>
    </row>
    <row r="746">
      <c r="A746" s="1025"/>
      <c r="D746" s="16"/>
    </row>
    <row r="747">
      <c r="A747" s="1025"/>
      <c r="D747" s="16"/>
    </row>
    <row r="748">
      <c r="A748" s="1025"/>
      <c r="D748" s="16"/>
    </row>
    <row r="749">
      <c r="A749" s="1025"/>
      <c r="D749" s="16"/>
    </row>
    <row r="750">
      <c r="A750" s="1025"/>
      <c r="D750" s="16"/>
    </row>
    <row r="751">
      <c r="A751" s="1025"/>
      <c r="D751" s="16"/>
    </row>
    <row r="752">
      <c r="A752" s="1025"/>
      <c r="D752" s="16"/>
    </row>
    <row r="753">
      <c r="A753" s="1025"/>
      <c r="D753" s="16"/>
    </row>
    <row r="754">
      <c r="A754" s="1025"/>
      <c r="D754" s="16"/>
    </row>
    <row r="755">
      <c r="A755" s="1025"/>
      <c r="D755" s="16"/>
    </row>
    <row r="756">
      <c r="A756" s="1025"/>
      <c r="D756" s="16"/>
    </row>
    <row r="757">
      <c r="A757" s="1025"/>
      <c r="D757" s="16"/>
    </row>
    <row r="758">
      <c r="A758" s="1025"/>
      <c r="D758" s="16"/>
    </row>
    <row r="759">
      <c r="A759" s="1025"/>
      <c r="D759" s="16"/>
    </row>
    <row r="760">
      <c r="A760" s="1025"/>
      <c r="D760" s="16"/>
    </row>
    <row r="761">
      <c r="A761" s="1025"/>
      <c r="D761" s="16"/>
    </row>
    <row r="762">
      <c r="A762" s="1025"/>
      <c r="D762" s="16"/>
    </row>
    <row r="763">
      <c r="A763" s="1025"/>
      <c r="D763" s="16"/>
    </row>
    <row r="764">
      <c r="A764" s="1025"/>
      <c r="D764" s="16"/>
    </row>
    <row r="765">
      <c r="A765" s="1025"/>
      <c r="D765" s="16"/>
    </row>
    <row r="766">
      <c r="A766" s="1025"/>
      <c r="D766" s="16"/>
    </row>
    <row r="767">
      <c r="A767" s="1025"/>
      <c r="D767" s="16"/>
    </row>
    <row r="768">
      <c r="A768" s="1025"/>
      <c r="D768" s="16"/>
    </row>
    <row r="769">
      <c r="A769" s="1025"/>
      <c r="D769" s="16"/>
    </row>
    <row r="770">
      <c r="A770" s="1025"/>
      <c r="D770" s="16"/>
    </row>
    <row r="771">
      <c r="A771" s="1025"/>
      <c r="D771" s="16"/>
    </row>
    <row r="772">
      <c r="A772" s="1025"/>
      <c r="D772" s="16"/>
    </row>
    <row r="773">
      <c r="A773" s="1025"/>
      <c r="D773" s="16"/>
    </row>
    <row r="774">
      <c r="A774" s="1025"/>
      <c r="D774" s="16"/>
    </row>
    <row r="775">
      <c r="A775" s="1025"/>
      <c r="D775" s="16"/>
    </row>
    <row r="776">
      <c r="A776" s="1025"/>
      <c r="D776" s="16"/>
    </row>
    <row r="777">
      <c r="A777" s="1025"/>
      <c r="D777" s="16"/>
    </row>
    <row r="778">
      <c r="A778" s="1025"/>
      <c r="D778" s="16"/>
    </row>
    <row r="779">
      <c r="A779" s="1025"/>
      <c r="D779" s="16"/>
    </row>
    <row r="780">
      <c r="A780" s="1025"/>
      <c r="D780" s="16"/>
    </row>
    <row r="781">
      <c r="A781" s="1025"/>
      <c r="D781" s="16"/>
    </row>
    <row r="782">
      <c r="A782" s="1025"/>
      <c r="D782" s="16"/>
    </row>
    <row r="783">
      <c r="A783" s="1025"/>
      <c r="D783" s="16"/>
    </row>
    <row r="784">
      <c r="A784" s="1025"/>
      <c r="D784" s="16"/>
    </row>
    <row r="785">
      <c r="A785" s="1025"/>
      <c r="D785" s="16"/>
    </row>
    <row r="786">
      <c r="A786" s="1025"/>
      <c r="D786" s="16"/>
    </row>
    <row r="787">
      <c r="A787" s="1025"/>
      <c r="D787" s="16"/>
    </row>
    <row r="788">
      <c r="A788" s="1025"/>
      <c r="D788" s="16"/>
    </row>
    <row r="789">
      <c r="A789" s="1025"/>
      <c r="D789" s="16"/>
    </row>
    <row r="790">
      <c r="A790" s="1025"/>
      <c r="D790" s="16"/>
    </row>
    <row r="791">
      <c r="A791" s="1025"/>
      <c r="D791" s="16"/>
    </row>
    <row r="792">
      <c r="A792" s="1025"/>
      <c r="D792" s="16"/>
    </row>
    <row r="793">
      <c r="A793" s="1025"/>
      <c r="D793" s="16"/>
    </row>
    <row r="794">
      <c r="A794" s="1025"/>
      <c r="D794" s="16"/>
    </row>
    <row r="795">
      <c r="A795" s="1025"/>
      <c r="D795" s="16"/>
    </row>
    <row r="796">
      <c r="A796" s="1025"/>
      <c r="D796" s="16"/>
    </row>
    <row r="797">
      <c r="A797" s="1025"/>
      <c r="D797" s="16"/>
    </row>
    <row r="798">
      <c r="A798" s="1025"/>
      <c r="D798" s="16"/>
    </row>
    <row r="799">
      <c r="A799" s="1025"/>
      <c r="D799" s="16"/>
    </row>
    <row r="800">
      <c r="A800" s="1025"/>
      <c r="D800" s="16"/>
    </row>
    <row r="801">
      <c r="A801" s="1025"/>
      <c r="D801" s="16"/>
    </row>
    <row r="802">
      <c r="A802" s="1025"/>
      <c r="D802" s="16"/>
    </row>
    <row r="803">
      <c r="A803" s="1025"/>
      <c r="D803" s="16"/>
    </row>
    <row r="804">
      <c r="A804" s="1025"/>
      <c r="D804" s="16"/>
    </row>
    <row r="805">
      <c r="A805" s="1025"/>
      <c r="D805" s="16"/>
    </row>
    <row r="806">
      <c r="A806" s="1025"/>
      <c r="D806" s="16"/>
    </row>
    <row r="807">
      <c r="A807" s="1025"/>
      <c r="D807" s="16"/>
    </row>
    <row r="808">
      <c r="A808" s="1025"/>
      <c r="D808" s="16"/>
    </row>
    <row r="809">
      <c r="A809" s="1025"/>
      <c r="D809" s="16"/>
    </row>
    <row r="810">
      <c r="A810" s="1025"/>
      <c r="D810" s="16"/>
    </row>
    <row r="811">
      <c r="A811" s="1025"/>
      <c r="D811" s="16"/>
    </row>
    <row r="812">
      <c r="A812" s="1025"/>
      <c r="D812" s="16"/>
    </row>
    <row r="813">
      <c r="A813" s="1025"/>
      <c r="D813" s="16"/>
    </row>
    <row r="814">
      <c r="A814" s="1025"/>
      <c r="D814" s="16"/>
    </row>
    <row r="815">
      <c r="A815" s="1025"/>
      <c r="D815" s="16"/>
    </row>
    <row r="816">
      <c r="A816" s="1025"/>
      <c r="D816" s="16"/>
    </row>
    <row r="817">
      <c r="A817" s="1025"/>
      <c r="D817" s="16"/>
    </row>
    <row r="818">
      <c r="A818" s="1025"/>
      <c r="D818" s="16"/>
    </row>
    <row r="819">
      <c r="A819" s="1025"/>
      <c r="D819" s="16"/>
    </row>
    <row r="820">
      <c r="A820" s="1025"/>
      <c r="D820" s="16"/>
    </row>
    <row r="821">
      <c r="A821" s="1025"/>
      <c r="D821" s="16"/>
    </row>
    <row r="822">
      <c r="A822" s="1025"/>
      <c r="D822" s="16"/>
    </row>
    <row r="823">
      <c r="A823" s="1025"/>
      <c r="D823" s="16"/>
    </row>
    <row r="824">
      <c r="A824" s="1025"/>
      <c r="D824" s="16"/>
    </row>
    <row r="825">
      <c r="A825" s="1025"/>
      <c r="D825" s="16"/>
    </row>
    <row r="826">
      <c r="A826" s="1025"/>
      <c r="D826" s="16"/>
    </row>
    <row r="827">
      <c r="A827" s="1025"/>
      <c r="D827" s="16"/>
    </row>
    <row r="828">
      <c r="A828" s="1025"/>
      <c r="D828" s="16"/>
    </row>
    <row r="829">
      <c r="A829" s="1025"/>
      <c r="D829" s="16"/>
    </row>
    <row r="830">
      <c r="A830" s="1025"/>
      <c r="D830" s="16"/>
    </row>
    <row r="831">
      <c r="A831" s="1025"/>
      <c r="D831" s="16"/>
    </row>
    <row r="832">
      <c r="A832" s="1025"/>
      <c r="D832" s="16"/>
    </row>
    <row r="833">
      <c r="A833" s="1025"/>
      <c r="D833" s="16"/>
    </row>
    <row r="834">
      <c r="A834" s="1025"/>
      <c r="D834" s="16"/>
    </row>
    <row r="835">
      <c r="A835" s="1025"/>
      <c r="D835" s="16"/>
    </row>
    <row r="836">
      <c r="A836" s="1025"/>
      <c r="D836" s="16"/>
    </row>
    <row r="837">
      <c r="A837" s="1025"/>
      <c r="D837" s="16"/>
    </row>
    <row r="838">
      <c r="A838" s="1025"/>
      <c r="D838" s="16"/>
    </row>
    <row r="839">
      <c r="A839" s="1025"/>
      <c r="D839" s="16"/>
    </row>
    <row r="840">
      <c r="A840" s="1025"/>
      <c r="D840" s="16"/>
    </row>
    <row r="841">
      <c r="A841" s="1025"/>
      <c r="D841" s="16"/>
    </row>
    <row r="842">
      <c r="A842" s="1025"/>
      <c r="D842" s="16"/>
    </row>
    <row r="843">
      <c r="A843" s="1025"/>
      <c r="D843" s="16"/>
    </row>
    <row r="844">
      <c r="A844" s="1025"/>
      <c r="D844" s="16"/>
    </row>
    <row r="845">
      <c r="A845" s="1025"/>
      <c r="D845" s="16"/>
    </row>
    <row r="846">
      <c r="A846" s="1025"/>
      <c r="D846" s="16"/>
    </row>
    <row r="847">
      <c r="A847" s="1025"/>
      <c r="D847" s="16"/>
    </row>
    <row r="848">
      <c r="A848" s="1025"/>
      <c r="D848" s="16"/>
    </row>
    <row r="849">
      <c r="A849" s="1025"/>
      <c r="D849" s="16"/>
    </row>
    <row r="850">
      <c r="A850" s="1025"/>
      <c r="D850" s="16"/>
    </row>
    <row r="851">
      <c r="A851" s="1025"/>
      <c r="D851" s="16"/>
    </row>
    <row r="852">
      <c r="A852" s="1025"/>
      <c r="D852" s="16"/>
    </row>
    <row r="853">
      <c r="A853" s="1025"/>
      <c r="D853" s="16"/>
    </row>
    <row r="854">
      <c r="A854" s="1025"/>
      <c r="D854" s="16"/>
    </row>
    <row r="855">
      <c r="A855" s="1025"/>
      <c r="D855" s="16"/>
    </row>
    <row r="856">
      <c r="A856" s="1025"/>
      <c r="D856" s="16"/>
    </row>
    <row r="857">
      <c r="A857" s="1025"/>
      <c r="D857" s="16"/>
    </row>
    <row r="858">
      <c r="A858" s="1025"/>
      <c r="D858" s="16"/>
    </row>
    <row r="859">
      <c r="A859" s="1025"/>
      <c r="D859" s="16"/>
    </row>
    <row r="860">
      <c r="A860" s="1025"/>
      <c r="D860" s="16"/>
    </row>
    <row r="861">
      <c r="A861" s="1025"/>
      <c r="D861" s="16"/>
    </row>
    <row r="862">
      <c r="A862" s="1025"/>
      <c r="D862" s="16"/>
    </row>
    <row r="863">
      <c r="A863" s="1025"/>
      <c r="D863" s="16"/>
    </row>
    <row r="864">
      <c r="A864" s="1025"/>
      <c r="D864" s="16"/>
    </row>
    <row r="865">
      <c r="A865" s="1025"/>
      <c r="D865" s="16"/>
    </row>
    <row r="866">
      <c r="A866" s="1025"/>
      <c r="D866" s="16"/>
    </row>
    <row r="867">
      <c r="A867" s="1025"/>
      <c r="D867" s="16"/>
    </row>
    <row r="868">
      <c r="A868" s="1025"/>
      <c r="D868" s="16"/>
    </row>
    <row r="869">
      <c r="A869" s="1025"/>
      <c r="D869" s="16"/>
    </row>
    <row r="870">
      <c r="A870" s="1025"/>
      <c r="D870" s="16"/>
    </row>
    <row r="871">
      <c r="A871" s="1025"/>
      <c r="D871" s="16"/>
    </row>
    <row r="872">
      <c r="A872" s="1025"/>
      <c r="D872" s="16"/>
    </row>
    <row r="873">
      <c r="A873" s="1025"/>
      <c r="D873" s="16"/>
    </row>
    <row r="874">
      <c r="A874" s="1025"/>
      <c r="D874" s="16"/>
    </row>
    <row r="875">
      <c r="A875" s="1025"/>
      <c r="D875" s="16"/>
    </row>
    <row r="876">
      <c r="A876" s="1025"/>
      <c r="D876" s="16"/>
    </row>
    <row r="877">
      <c r="A877" s="1025"/>
      <c r="D877" s="16"/>
    </row>
    <row r="878">
      <c r="A878" s="1025"/>
      <c r="D878" s="16"/>
    </row>
    <row r="879">
      <c r="A879" s="1025"/>
      <c r="D879" s="16"/>
    </row>
    <row r="880">
      <c r="A880" s="1025"/>
      <c r="D880" s="16"/>
    </row>
    <row r="881">
      <c r="A881" s="1025"/>
      <c r="D881" s="16"/>
    </row>
    <row r="882">
      <c r="A882" s="1025"/>
      <c r="D882" s="16"/>
    </row>
    <row r="883">
      <c r="A883" s="1025"/>
      <c r="D883" s="16"/>
    </row>
    <row r="884">
      <c r="A884" s="1025"/>
      <c r="D884" s="16"/>
    </row>
    <row r="885">
      <c r="A885" s="1025"/>
      <c r="D885" s="16"/>
    </row>
    <row r="886">
      <c r="A886" s="1025"/>
      <c r="D886" s="16"/>
    </row>
    <row r="887">
      <c r="A887" s="1025"/>
      <c r="D887" s="16"/>
    </row>
    <row r="888">
      <c r="A888" s="1025"/>
      <c r="D888" s="16"/>
    </row>
    <row r="889">
      <c r="A889" s="1025"/>
      <c r="D889" s="16"/>
    </row>
    <row r="890">
      <c r="A890" s="1025"/>
      <c r="D890" s="16"/>
    </row>
    <row r="891">
      <c r="A891" s="1025"/>
      <c r="D891" s="16"/>
    </row>
    <row r="892">
      <c r="A892" s="1025"/>
      <c r="D892" s="16"/>
    </row>
    <row r="893">
      <c r="A893" s="1025"/>
      <c r="D893" s="16"/>
    </row>
    <row r="894">
      <c r="A894" s="1025"/>
      <c r="D894" s="16"/>
    </row>
    <row r="895">
      <c r="A895" s="1025"/>
      <c r="D895" s="16"/>
    </row>
    <row r="896">
      <c r="A896" s="1025"/>
      <c r="D896" s="16"/>
    </row>
    <row r="897">
      <c r="A897" s="1025"/>
      <c r="D897" s="16"/>
    </row>
    <row r="898">
      <c r="A898" s="1025"/>
      <c r="D898" s="16"/>
    </row>
    <row r="899">
      <c r="A899" s="1025"/>
      <c r="D899" s="16"/>
    </row>
    <row r="900">
      <c r="A900" s="1025"/>
      <c r="D900" s="16"/>
    </row>
    <row r="901">
      <c r="A901" s="1025"/>
      <c r="D901" s="16"/>
    </row>
    <row r="902">
      <c r="A902" s="1025"/>
      <c r="D902" s="16"/>
    </row>
    <row r="903">
      <c r="A903" s="1025"/>
      <c r="D903" s="16"/>
    </row>
    <row r="904">
      <c r="A904" s="1025"/>
      <c r="D904" s="16"/>
    </row>
    <row r="905">
      <c r="A905" s="1025"/>
      <c r="D905" s="16"/>
    </row>
    <row r="906">
      <c r="A906" s="1025"/>
      <c r="D906" s="16"/>
    </row>
    <row r="907">
      <c r="A907" s="1025"/>
      <c r="D907" s="16"/>
    </row>
    <row r="908">
      <c r="A908" s="1025"/>
      <c r="D908" s="16"/>
    </row>
    <row r="909">
      <c r="A909" s="1025"/>
      <c r="D909" s="16"/>
    </row>
    <row r="910">
      <c r="A910" s="1025"/>
      <c r="D910" s="16"/>
    </row>
    <row r="911">
      <c r="A911" s="1025"/>
      <c r="D911" s="16"/>
    </row>
    <row r="912">
      <c r="A912" s="1025"/>
      <c r="D912" s="16"/>
    </row>
    <row r="913">
      <c r="A913" s="1025"/>
      <c r="D913" s="16"/>
    </row>
    <row r="914">
      <c r="A914" s="1025"/>
      <c r="D914" s="16"/>
    </row>
    <row r="915">
      <c r="A915" s="1025"/>
      <c r="D915" s="16"/>
    </row>
    <row r="916">
      <c r="A916" s="1025"/>
      <c r="D916" s="16"/>
    </row>
    <row r="917">
      <c r="A917" s="1025"/>
      <c r="D917" s="16"/>
    </row>
    <row r="918">
      <c r="A918" s="1025"/>
      <c r="D918" s="16"/>
    </row>
    <row r="919">
      <c r="A919" s="1025"/>
      <c r="D919" s="16"/>
    </row>
    <row r="920">
      <c r="A920" s="1025"/>
      <c r="D920" s="16"/>
    </row>
    <row r="921">
      <c r="A921" s="1025"/>
      <c r="D921" s="16"/>
    </row>
    <row r="922">
      <c r="A922" s="1025"/>
      <c r="D922" s="16"/>
    </row>
    <row r="923">
      <c r="A923" s="1025"/>
      <c r="D923" s="16"/>
    </row>
    <row r="924">
      <c r="A924" s="1025"/>
      <c r="D924" s="16"/>
    </row>
    <row r="925">
      <c r="A925" s="1025"/>
      <c r="D925" s="16"/>
    </row>
    <row r="926">
      <c r="A926" s="1025"/>
      <c r="D926" s="16"/>
    </row>
    <row r="927">
      <c r="A927" s="1025"/>
      <c r="D927" s="16"/>
    </row>
    <row r="928">
      <c r="A928" s="1025"/>
      <c r="D928" s="16"/>
    </row>
    <row r="929">
      <c r="A929" s="1025"/>
      <c r="D929" s="16"/>
    </row>
    <row r="930">
      <c r="A930" s="1025"/>
      <c r="D930" s="16"/>
    </row>
    <row r="931">
      <c r="A931" s="1025"/>
      <c r="D931" s="16"/>
    </row>
    <row r="932">
      <c r="A932" s="1025"/>
      <c r="D932" s="16"/>
    </row>
    <row r="933">
      <c r="A933" s="1025"/>
      <c r="D933" s="16"/>
    </row>
    <row r="934">
      <c r="A934" s="1025"/>
      <c r="D934" s="16"/>
    </row>
    <row r="935">
      <c r="A935" s="1025"/>
      <c r="D935" s="16"/>
    </row>
    <row r="936">
      <c r="A936" s="1025"/>
      <c r="D936" s="16"/>
    </row>
    <row r="937">
      <c r="A937" s="1025"/>
      <c r="D937" s="16"/>
    </row>
    <row r="938">
      <c r="A938" s="1025"/>
      <c r="D938" s="16"/>
    </row>
    <row r="939">
      <c r="A939" s="1025"/>
      <c r="D939" s="16"/>
    </row>
    <row r="940">
      <c r="A940" s="1025"/>
      <c r="D940" s="16"/>
    </row>
    <row r="941">
      <c r="A941" s="1025"/>
      <c r="D941" s="16"/>
    </row>
    <row r="942">
      <c r="A942" s="1025"/>
      <c r="D942" s="16"/>
    </row>
    <row r="943">
      <c r="A943" s="1025"/>
      <c r="D943" s="16"/>
    </row>
    <row r="944">
      <c r="A944" s="1025"/>
      <c r="D944" s="16"/>
    </row>
    <row r="945">
      <c r="A945" s="1025"/>
      <c r="D945" s="16"/>
    </row>
    <row r="946">
      <c r="A946" s="1025"/>
      <c r="D946" s="16"/>
    </row>
    <row r="947">
      <c r="A947" s="1025"/>
      <c r="D947" s="16"/>
    </row>
    <row r="948">
      <c r="A948" s="1025"/>
      <c r="D948" s="16"/>
    </row>
    <row r="949">
      <c r="A949" s="1025"/>
      <c r="D949" s="16"/>
    </row>
    <row r="950">
      <c r="A950" s="1025"/>
      <c r="D950" s="16"/>
    </row>
    <row r="951">
      <c r="A951" s="1025"/>
      <c r="D951" s="16"/>
    </row>
    <row r="952">
      <c r="A952" s="1025"/>
      <c r="D952" s="16"/>
    </row>
    <row r="953">
      <c r="A953" s="1025"/>
      <c r="D953" s="16"/>
    </row>
    <row r="954">
      <c r="A954" s="1025"/>
      <c r="D954" s="16"/>
    </row>
    <row r="955">
      <c r="A955" s="1025"/>
      <c r="D955" s="16"/>
    </row>
    <row r="956">
      <c r="A956" s="1025"/>
      <c r="D956" s="16"/>
    </row>
    <row r="957">
      <c r="A957" s="1025"/>
      <c r="D957" s="16"/>
    </row>
    <row r="958">
      <c r="A958" s="1025"/>
      <c r="D958" s="16"/>
    </row>
    <row r="959">
      <c r="A959" s="1025"/>
      <c r="D959" s="16"/>
    </row>
    <row r="960">
      <c r="A960" s="1025"/>
      <c r="D960" s="16"/>
    </row>
    <row r="961">
      <c r="A961" s="1025"/>
      <c r="D961" s="16"/>
    </row>
    <row r="962">
      <c r="A962" s="1025"/>
      <c r="D962" s="16"/>
    </row>
    <row r="963">
      <c r="A963" s="1025"/>
      <c r="D963" s="16"/>
    </row>
    <row r="964">
      <c r="A964" s="1025"/>
      <c r="D964" s="16"/>
    </row>
    <row r="965">
      <c r="A965" s="1025"/>
      <c r="D965" s="16"/>
    </row>
    <row r="966">
      <c r="A966" s="1025"/>
      <c r="D966" s="16"/>
    </row>
    <row r="967">
      <c r="A967" s="1025"/>
      <c r="D967" s="16"/>
    </row>
    <row r="968">
      <c r="A968" s="1025"/>
      <c r="D968" s="16"/>
    </row>
    <row r="969">
      <c r="A969" s="1025"/>
      <c r="D969" s="16"/>
    </row>
    <row r="970">
      <c r="A970" s="1025"/>
      <c r="D970" s="16"/>
    </row>
    <row r="971">
      <c r="A971" s="1025"/>
      <c r="D971" s="16"/>
    </row>
    <row r="972">
      <c r="A972" s="1025"/>
      <c r="D972" s="16"/>
    </row>
    <row r="973">
      <c r="A973" s="1025"/>
      <c r="D973" s="16"/>
    </row>
    <row r="974">
      <c r="A974" s="1025"/>
      <c r="D974" s="16"/>
    </row>
    <row r="975">
      <c r="A975" s="1025"/>
      <c r="D975" s="16"/>
    </row>
    <row r="976">
      <c r="A976" s="1025"/>
      <c r="D976" s="16"/>
    </row>
    <row r="977">
      <c r="A977" s="1025"/>
      <c r="D977" s="16"/>
    </row>
    <row r="978">
      <c r="A978" s="1025"/>
      <c r="D978" s="16"/>
    </row>
    <row r="979">
      <c r="A979" s="1025"/>
      <c r="D979" s="16"/>
    </row>
    <row r="980">
      <c r="A980" s="1025"/>
      <c r="D980" s="16"/>
    </row>
    <row r="981">
      <c r="A981" s="1025"/>
      <c r="D981" s="16"/>
    </row>
    <row r="982">
      <c r="A982" s="1025"/>
      <c r="D982" s="16"/>
    </row>
    <row r="983">
      <c r="A983" s="1025"/>
      <c r="D983" s="16"/>
    </row>
    <row r="984">
      <c r="A984" s="1025"/>
      <c r="D984" s="16"/>
    </row>
    <row r="985">
      <c r="A985" s="1025"/>
      <c r="D985" s="16"/>
    </row>
    <row r="986">
      <c r="A986" s="1025"/>
      <c r="D986" s="16"/>
    </row>
    <row r="987">
      <c r="A987" s="1025"/>
      <c r="D987" s="16"/>
    </row>
    <row r="988">
      <c r="A988" s="1025"/>
      <c r="D988" s="16"/>
    </row>
    <row r="989">
      <c r="A989" s="1025"/>
      <c r="D989" s="16"/>
    </row>
    <row r="990">
      <c r="A990" s="1025"/>
      <c r="D990" s="16"/>
    </row>
    <row r="991">
      <c r="A991" s="1025"/>
      <c r="D991" s="16"/>
    </row>
    <row r="992">
      <c r="A992" s="1025"/>
      <c r="D992" s="16"/>
    </row>
    <row r="993">
      <c r="A993" s="1025"/>
      <c r="D993" s="16"/>
    </row>
    <row r="994">
      <c r="A994" s="1025"/>
      <c r="D994" s="16"/>
    </row>
    <row r="995">
      <c r="A995" s="1025"/>
      <c r="D995" s="16"/>
    </row>
    <row r="996">
      <c r="A996" s="1025"/>
      <c r="D996" s="16"/>
    </row>
    <row r="997">
      <c r="A997" s="1025"/>
      <c r="D997" s="16"/>
    </row>
    <row r="998">
      <c r="A998" s="1025"/>
      <c r="D998" s="16"/>
    </row>
    <row r="999">
      <c r="A999" s="1025"/>
      <c r="D999" s="16"/>
    </row>
    <row r="1000">
      <c r="A1000" s="1025"/>
      <c r="D1000" s="16"/>
    </row>
    <row r="1001">
      <c r="A1001" s="1025"/>
      <c r="D1001" s="16"/>
    </row>
    <row r="1002">
      <c r="A1002" s="1025"/>
      <c r="D1002" s="16"/>
    </row>
    <row r="1003">
      <c r="A1003" s="1025"/>
      <c r="D1003" s="16"/>
    </row>
    <row r="1004">
      <c r="A1004" s="1025"/>
      <c r="D1004" s="16"/>
    </row>
    <row r="1005">
      <c r="A1005" s="1025"/>
      <c r="D1005" s="16"/>
    </row>
    <row r="1006">
      <c r="A1006" s="1025"/>
      <c r="D1006" s="16"/>
    </row>
    <row r="1007">
      <c r="A1007" s="1025"/>
      <c r="D1007" s="16"/>
    </row>
    <row r="1008">
      <c r="A1008" s="1025"/>
      <c r="D1008" s="16"/>
    </row>
    <row r="1009">
      <c r="A1009" s="1025"/>
      <c r="D1009" s="16"/>
    </row>
    <row r="1010">
      <c r="A1010" s="1025"/>
      <c r="D1010" s="16"/>
    </row>
    <row r="1011">
      <c r="A1011" s="1025"/>
      <c r="D1011" s="16"/>
    </row>
    <row r="1012">
      <c r="A1012" s="1025"/>
      <c r="D1012" s="16"/>
    </row>
    <row r="1013">
      <c r="A1013" s="1025"/>
      <c r="D1013" s="16"/>
    </row>
    <row r="1014">
      <c r="A1014" s="1025"/>
      <c r="D1014" s="16"/>
    </row>
    <row r="1015">
      <c r="A1015" s="1025"/>
      <c r="D1015" s="16"/>
    </row>
    <row r="1016">
      <c r="A1016" s="1025"/>
      <c r="D1016" s="16"/>
    </row>
    <row r="1017">
      <c r="A1017" s="1025"/>
      <c r="D1017" s="16"/>
    </row>
    <row r="1018">
      <c r="A1018" s="1025"/>
      <c r="D1018" s="16"/>
    </row>
    <row r="1019">
      <c r="A1019" s="1025"/>
      <c r="D1019" s="16"/>
    </row>
    <row r="1020">
      <c r="A1020" s="1025"/>
      <c r="D1020" s="16"/>
    </row>
    <row r="1021">
      <c r="A1021" s="1025"/>
      <c r="D1021" s="16"/>
    </row>
    <row r="1022">
      <c r="A1022" s="1025"/>
      <c r="D1022" s="16"/>
    </row>
    <row r="1023">
      <c r="A1023" s="1025"/>
      <c r="D1023" s="16"/>
    </row>
    <row r="1024">
      <c r="A1024" s="1025"/>
      <c r="D1024" s="16"/>
    </row>
    <row r="1025">
      <c r="A1025" s="1025"/>
      <c r="D1025" s="16"/>
    </row>
    <row r="1026">
      <c r="A1026" s="1025"/>
      <c r="D1026" s="16"/>
    </row>
    <row r="1027">
      <c r="A1027" s="1025"/>
      <c r="D1027" s="16"/>
    </row>
    <row r="1028">
      <c r="A1028" s="1025"/>
      <c r="D1028" s="16"/>
    </row>
  </sheetData>
  <mergeCells count="5">
    <mergeCell ref="A1:N1"/>
    <mergeCell ref="A3:N3"/>
    <mergeCell ref="D36:D37"/>
    <mergeCell ref="E36:E37"/>
    <mergeCell ref="A56:N56"/>
  </mergeCells>
  <hyperlinks>
    <hyperlink r:id="rId1" location="heading=h.xysp9qooaxwb"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4.25"/>
    <col customWidth="1" min="3" max="3" width="8.38"/>
    <col customWidth="1" min="4" max="4" width="19.0"/>
    <col customWidth="1" min="5" max="5" width="15.5"/>
    <col customWidth="1" min="6" max="6" width="18.0"/>
    <col customWidth="1" min="7" max="7" width="14.13"/>
    <col customWidth="1" min="9" max="9" width="14.88"/>
  </cols>
  <sheetData>
    <row r="1" ht="28.5" customHeight="1">
      <c r="A1" s="1026" t="s">
        <v>1940</v>
      </c>
      <c r="B1" s="37"/>
      <c r="C1" s="37"/>
      <c r="D1" s="37"/>
      <c r="E1" s="37"/>
      <c r="F1" s="22"/>
      <c r="G1" s="37"/>
      <c r="H1" s="37"/>
      <c r="I1" s="37"/>
      <c r="J1" s="37"/>
    </row>
    <row r="3" ht="22.5" customHeight="1">
      <c r="A3" s="1027" t="s">
        <v>605</v>
      </c>
      <c r="B3" s="1027" t="s">
        <v>604</v>
      </c>
      <c r="C3" s="1027" t="s">
        <v>1608</v>
      </c>
      <c r="D3" s="1027" t="s">
        <v>656</v>
      </c>
      <c r="E3" s="1027" t="s">
        <v>1941</v>
      </c>
      <c r="F3" s="1028" t="s">
        <v>1942</v>
      </c>
      <c r="G3" s="1027" t="s">
        <v>271</v>
      </c>
      <c r="H3" s="1027" t="s">
        <v>1943</v>
      </c>
      <c r="I3" s="1027" t="s">
        <v>1944</v>
      </c>
      <c r="J3" s="1027" t="s">
        <v>293</v>
      </c>
      <c r="M3" s="1029"/>
      <c r="N3" s="1029"/>
      <c r="O3" s="1029"/>
      <c r="P3" s="1029"/>
      <c r="Q3" s="1029"/>
      <c r="R3" s="1029"/>
      <c r="S3" s="1029"/>
      <c r="T3" s="1029"/>
      <c r="U3" s="1029"/>
      <c r="V3" s="1029"/>
    </row>
    <row r="4" ht="22.5" customHeight="1">
      <c r="A4" s="1030"/>
      <c r="B4" s="1031"/>
      <c r="C4" s="1030"/>
      <c r="D4" s="1030"/>
      <c r="E4" s="1030"/>
      <c r="F4" s="1032"/>
      <c r="G4" s="1032"/>
      <c r="H4" s="1030"/>
      <c r="I4" s="1030"/>
      <c r="J4" s="1030"/>
    </row>
    <row r="5" ht="22.5" customHeight="1">
      <c r="A5" s="1030"/>
      <c r="B5" s="1031"/>
      <c r="C5" s="1030"/>
      <c r="D5" s="1030"/>
      <c r="E5" s="1030"/>
      <c r="F5" s="1032"/>
      <c r="G5" s="1032"/>
      <c r="H5" s="1030"/>
      <c r="I5" s="1030"/>
      <c r="J5" s="1030"/>
    </row>
    <row r="6" ht="22.5" customHeight="1">
      <c r="A6" s="1030"/>
      <c r="B6" s="1031"/>
      <c r="C6" s="1030"/>
      <c r="D6" s="1030"/>
      <c r="E6" s="1030"/>
      <c r="F6" s="1032"/>
      <c r="G6" s="1032"/>
      <c r="H6" s="1030"/>
      <c r="I6" s="1030"/>
      <c r="J6" s="1030"/>
    </row>
    <row r="7" ht="22.5" customHeight="1">
      <c r="A7" s="1030"/>
      <c r="B7" s="1031"/>
      <c r="C7" s="1030"/>
      <c r="D7" s="1030"/>
      <c r="E7" s="1030"/>
      <c r="F7" s="1032"/>
      <c r="G7" s="1032"/>
      <c r="H7" s="1030"/>
      <c r="I7" s="1030"/>
      <c r="J7" s="1030"/>
    </row>
    <row r="8" ht="22.5" customHeight="1">
      <c r="A8" s="1030"/>
      <c r="B8" s="1031"/>
      <c r="C8" s="1030"/>
      <c r="D8" s="1030"/>
      <c r="E8" s="1030"/>
      <c r="F8" s="1032"/>
      <c r="G8" s="1032"/>
      <c r="H8" s="1030"/>
      <c r="I8" s="1030"/>
      <c r="J8" s="1030"/>
    </row>
    <row r="9" ht="22.5" customHeight="1">
      <c r="A9" s="1030"/>
      <c r="B9" s="1031"/>
      <c r="C9" s="1030"/>
      <c r="D9" s="1030"/>
      <c r="E9" s="1030"/>
      <c r="F9" s="1032"/>
      <c r="G9" s="1032"/>
      <c r="H9" s="1030"/>
      <c r="I9" s="1030"/>
      <c r="J9" s="1030"/>
    </row>
    <row r="10" ht="22.5" customHeight="1">
      <c r="A10" s="1030"/>
      <c r="B10" s="1031"/>
      <c r="C10" s="1030"/>
      <c r="D10" s="1030"/>
      <c r="E10" s="1030"/>
      <c r="F10" s="1032"/>
      <c r="G10" s="1032"/>
      <c r="H10" s="1030"/>
      <c r="I10" s="1030"/>
      <c r="J10" s="1030"/>
    </row>
    <row r="11" ht="22.5" customHeight="1">
      <c r="A11" s="1030"/>
      <c r="B11" s="1031"/>
      <c r="C11" s="1030"/>
      <c r="D11" s="1030"/>
      <c r="E11" s="1030"/>
      <c r="F11" s="1032"/>
      <c r="G11" s="1032"/>
      <c r="H11" s="1030"/>
      <c r="I11" s="1030"/>
      <c r="J11" s="1030"/>
    </row>
    <row r="12" ht="22.5" customHeight="1">
      <c r="A12" s="1030"/>
      <c r="B12" s="1031"/>
      <c r="C12" s="1030"/>
      <c r="D12" s="1030"/>
      <c r="E12" s="1030"/>
      <c r="F12" s="1032"/>
      <c r="G12" s="1032"/>
      <c r="H12" s="1030"/>
      <c r="I12" s="1030"/>
      <c r="J12" s="1030"/>
    </row>
    <row r="13" ht="22.5" customHeight="1">
      <c r="A13" s="1030"/>
      <c r="B13" s="1031"/>
      <c r="C13" s="1030"/>
      <c r="D13" s="1030"/>
      <c r="E13" s="1030"/>
      <c r="F13" s="1032"/>
      <c r="G13" s="1032"/>
      <c r="H13" s="1030"/>
      <c r="I13" s="1030"/>
      <c r="J13" s="1030"/>
    </row>
    <row r="14">
      <c r="A14" s="1029"/>
      <c r="B14" s="1029"/>
      <c r="C14" s="1029"/>
      <c r="D14" s="1029"/>
      <c r="E14" s="1029"/>
      <c r="F14" s="1029"/>
      <c r="G14" s="1029"/>
      <c r="H14" s="1029"/>
      <c r="I14" s="1029"/>
      <c r="J14" s="1029"/>
    </row>
    <row r="15" ht="22.5" customHeight="1">
      <c r="A15" s="1027" t="s">
        <v>605</v>
      </c>
      <c r="B15" s="1027" t="s">
        <v>604</v>
      </c>
      <c r="C15" s="1027" t="s">
        <v>1608</v>
      </c>
      <c r="D15" s="1027" t="s">
        <v>656</v>
      </c>
      <c r="E15" s="1027" t="s">
        <v>1941</v>
      </c>
      <c r="F15" s="1028" t="s">
        <v>1942</v>
      </c>
      <c r="G15" s="1027" t="s">
        <v>271</v>
      </c>
      <c r="H15" s="1027" t="s">
        <v>1943</v>
      </c>
      <c r="I15" s="1027" t="s">
        <v>1944</v>
      </c>
      <c r="J15" s="1027" t="s">
        <v>293</v>
      </c>
    </row>
    <row r="16" ht="22.5" customHeight="1">
      <c r="A16" s="1030"/>
      <c r="B16" s="1033"/>
      <c r="C16" s="1030"/>
      <c r="D16" s="1030"/>
      <c r="E16" s="1030"/>
      <c r="F16" s="1033"/>
      <c r="G16" s="1032"/>
      <c r="H16" s="1030"/>
      <c r="I16" s="1030"/>
      <c r="J16" s="1030"/>
    </row>
    <row r="17" ht="22.5" customHeight="1">
      <c r="A17" s="1030"/>
      <c r="B17" s="1031"/>
      <c r="C17" s="1030"/>
      <c r="D17" s="1030"/>
      <c r="E17" s="1030"/>
      <c r="F17" s="1032"/>
      <c r="G17" s="1032"/>
      <c r="H17" s="1030"/>
      <c r="I17" s="1030"/>
      <c r="J17" s="1030"/>
    </row>
    <row r="18" ht="22.5" customHeight="1">
      <c r="A18" s="1030"/>
      <c r="B18" s="1031"/>
      <c r="C18" s="1030"/>
      <c r="D18" s="1030"/>
      <c r="E18" s="1030"/>
      <c r="F18" s="1032"/>
      <c r="G18" s="1032"/>
      <c r="H18" s="1030"/>
      <c r="I18" s="1030"/>
      <c r="J18" s="1030"/>
    </row>
    <row r="19" ht="22.5" customHeight="1">
      <c r="A19" s="1030"/>
      <c r="B19" s="1031"/>
      <c r="C19" s="1030"/>
      <c r="D19" s="1030"/>
      <c r="E19" s="1030"/>
      <c r="F19" s="1032"/>
      <c r="G19" s="1032"/>
      <c r="H19" s="1030"/>
      <c r="I19" s="1030"/>
      <c r="J19" s="1030"/>
    </row>
    <row r="20" ht="22.5" customHeight="1">
      <c r="A20" s="1030"/>
      <c r="B20" s="1031"/>
      <c r="C20" s="1030"/>
      <c r="D20" s="1030"/>
      <c r="E20" s="1030"/>
      <c r="F20" s="1032"/>
      <c r="G20" s="1032"/>
      <c r="H20" s="1030"/>
      <c r="I20" s="1030"/>
      <c r="J20" s="1030"/>
    </row>
    <row r="21" ht="22.5" customHeight="1">
      <c r="A21" s="1030"/>
      <c r="B21" s="1031"/>
      <c r="C21" s="1030"/>
      <c r="D21" s="1030"/>
      <c r="E21" s="1030"/>
      <c r="F21" s="1032"/>
      <c r="G21" s="1032"/>
      <c r="H21" s="1030"/>
      <c r="I21" s="1030"/>
      <c r="J21" s="1030"/>
    </row>
    <row r="22" ht="22.5" customHeight="1">
      <c r="A22" s="1030"/>
      <c r="B22" s="1031"/>
      <c r="C22" s="1030"/>
      <c r="D22" s="1030"/>
      <c r="E22" s="1030"/>
      <c r="F22" s="1032"/>
      <c r="G22" s="1032"/>
      <c r="H22" s="1030"/>
      <c r="I22" s="1030"/>
      <c r="J22" s="1030"/>
    </row>
    <row r="23" ht="22.5" customHeight="1">
      <c r="A23" s="1030"/>
      <c r="B23" s="1031"/>
      <c r="C23" s="1030"/>
      <c r="D23" s="1030"/>
      <c r="E23" s="1030"/>
      <c r="F23" s="1032"/>
      <c r="G23" s="1032"/>
      <c r="H23" s="1030"/>
      <c r="I23" s="1030"/>
      <c r="J23" s="1030"/>
    </row>
    <row r="24" ht="22.5" customHeight="1">
      <c r="A24" s="1030"/>
      <c r="B24" s="1031"/>
      <c r="C24" s="1030"/>
      <c r="D24" s="1030"/>
      <c r="E24" s="1030"/>
      <c r="F24" s="1032"/>
      <c r="G24" s="1032"/>
      <c r="H24" s="1030"/>
      <c r="I24" s="1030"/>
      <c r="J24" s="1030"/>
    </row>
    <row r="25" ht="22.5" customHeight="1">
      <c r="A25" s="1030"/>
      <c r="B25" s="1031"/>
      <c r="C25" s="1030"/>
      <c r="D25" s="1030"/>
      <c r="E25" s="1030"/>
      <c r="F25" s="1032"/>
      <c r="G25" s="1032"/>
      <c r="H25" s="1030"/>
      <c r="I25" s="1030"/>
      <c r="J25" s="1030"/>
    </row>
    <row r="26">
      <c r="F26" s="28"/>
      <c r="G26" s="122"/>
    </row>
    <row r="27" ht="22.5" customHeight="1">
      <c r="A27" s="1027" t="s">
        <v>605</v>
      </c>
      <c r="B27" s="1027" t="s">
        <v>604</v>
      </c>
      <c r="C27" s="1027" t="s">
        <v>1608</v>
      </c>
      <c r="D27" s="1027" t="s">
        <v>656</v>
      </c>
      <c r="E27" s="1027" t="s">
        <v>1941</v>
      </c>
      <c r="F27" s="1028" t="s">
        <v>1942</v>
      </c>
      <c r="G27" s="1027" t="s">
        <v>271</v>
      </c>
      <c r="H27" s="1027" t="s">
        <v>1943</v>
      </c>
      <c r="I27" s="1027" t="s">
        <v>1944</v>
      </c>
      <c r="J27" s="1027" t="s">
        <v>293</v>
      </c>
    </row>
    <row r="28" ht="22.5" customHeight="1">
      <c r="A28" s="1030"/>
      <c r="B28" s="1031"/>
      <c r="C28" s="1030"/>
      <c r="D28" s="1030"/>
      <c r="E28" s="1030"/>
      <c r="F28" s="1032"/>
      <c r="G28" s="1032"/>
      <c r="H28" s="1030"/>
      <c r="I28" s="1030"/>
      <c r="J28" s="1030"/>
    </row>
    <row r="29" ht="22.5" customHeight="1">
      <c r="A29" s="1030"/>
      <c r="B29" s="1031"/>
      <c r="C29" s="1030"/>
      <c r="D29" s="1030"/>
      <c r="E29" s="1030"/>
      <c r="F29" s="1032"/>
      <c r="G29" s="1032"/>
      <c r="H29" s="1030"/>
      <c r="I29" s="1030"/>
      <c r="J29" s="1030"/>
    </row>
    <row r="30" ht="22.5" customHeight="1">
      <c r="A30" s="1030"/>
      <c r="B30" s="1031"/>
      <c r="C30" s="1030"/>
      <c r="D30" s="1030"/>
      <c r="E30" s="1030"/>
      <c r="F30" s="1032"/>
      <c r="G30" s="1032"/>
      <c r="H30" s="1030"/>
      <c r="I30" s="1030"/>
      <c r="J30" s="1030"/>
    </row>
    <row r="31" ht="22.5" customHeight="1">
      <c r="A31" s="1030"/>
      <c r="B31" s="1031"/>
      <c r="C31" s="1030"/>
      <c r="D31" s="1030"/>
      <c r="E31" s="1030"/>
      <c r="F31" s="1032"/>
      <c r="G31" s="1032"/>
      <c r="H31" s="1030"/>
      <c r="I31" s="1030"/>
      <c r="J31" s="1030"/>
    </row>
    <row r="32" ht="22.5" customHeight="1">
      <c r="A32" s="1030"/>
      <c r="B32" s="1031"/>
      <c r="C32" s="1030"/>
      <c r="D32" s="1030"/>
      <c r="E32" s="1030"/>
      <c r="F32" s="1032"/>
      <c r="G32" s="1032"/>
      <c r="H32" s="1030"/>
      <c r="I32" s="1030"/>
      <c r="J32" s="1030"/>
    </row>
    <row r="33" ht="22.5" customHeight="1">
      <c r="A33" s="1030"/>
      <c r="B33" s="1031"/>
      <c r="C33" s="1030"/>
      <c r="D33" s="1030"/>
      <c r="E33" s="1030"/>
      <c r="F33" s="1032"/>
      <c r="G33" s="1032"/>
      <c r="H33" s="1030"/>
      <c r="I33" s="1030"/>
      <c r="J33" s="1030"/>
    </row>
    <row r="34" ht="22.5" customHeight="1">
      <c r="A34" s="1030"/>
      <c r="B34" s="1031"/>
      <c r="C34" s="1030"/>
      <c r="D34" s="1030"/>
      <c r="E34" s="1030"/>
      <c r="F34" s="1032"/>
      <c r="G34" s="1032"/>
      <c r="H34" s="1030"/>
      <c r="I34" s="1030"/>
      <c r="J34" s="1030"/>
    </row>
    <row r="35" ht="22.5" customHeight="1">
      <c r="A35" s="1030"/>
      <c r="B35" s="1031"/>
      <c r="C35" s="1030"/>
      <c r="D35" s="1030"/>
      <c r="E35" s="1030"/>
      <c r="F35" s="1032"/>
      <c r="G35" s="1032"/>
      <c r="H35" s="1030"/>
      <c r="I35" s="1030"/>
      <c r="J35" s="1030"/>
    </row>
    <row r="36" ht="22.5" customHeight="1">
      <c r="A36" s="1030"/>
      <c r="B36" s="1031"/>
      <c r="C36" s="1030"/>
      <c r="D36" s="1030"/>
      <c r="E36" s="1030"/>
      <c r="F36" s="1032"/>
      <c r="G36" s="1032"/>
      <c r="H36" s="1030"/>
      <c r="I36" s="1030"/>
      <c r="J36" s="1030"/>
    </row>
    <row r="37" ht="22.5" customHeight="1">
      <c r="A37" s="1030"/>
      <c r="B37" s="1031"/>
      <c r="C37" s="1030"/>
      <c r="D37" s="1030"/>
      <c r="E37" s="1030"/>
      <c r="F37" s="1032"/>
      <c r="G37" s="1032"/>
      <c r="H37" s="1030"/>
      <c r="I37" s="1030"/>
      <c r="J37" s="1030"/>
    </row>
    <row r="39" ht="22.5" customHeight="1">
      <c r="A39" s="1027" t="s">
        <v>605</v>
      </c>
      <c r="B39" s="1027" t="s">
        <v>604</v>
      </c>
      <c r="C39" s="1027" t="s">
        <v>1608</v>
      </c>
      <c r="D39" s="1027" t="s">
        <v>656</v>
      </c>
      <c r="E39" s="1027" t="s">
        <v>1941</v>
      </c>
      <c r="F39" s="1028" t="s">
        <v>1942</v>
      </c>
      <c r="G39" s="1027" t="s">
        <v>271</v>
      </c>
      <c r="H39" s="1027" t="s">
        <v>1943</v>
      </c>
      <c r="I39" s="1027" t="s">
        <v>1944</v>
      </c>
      <c r="J39" s="1027" t="s">
        <v>293</v>
      </c>
    </row>
    <row r="40" ht="22.5" customHeight="1">
      <c r="A40" s="1030"/>
      <c r="B40" s="1031"/>
      <c r="C40" s="1030"/>
      <c r="D40" s="1030"/>
      <c r="E40" s="1030"/>
      <c r="F40" s="1032"/>
      <c r="G40" s="1032"/>
      <c r="H40" s="1030"/>
      <c r="I40" s="1030"/>
      <c r="J40" s="1030"/>
    </row>
    <row r="41" ht="22.5" customHeight="1">
      <c r="A41" s="1030"/>
      <c r="B41" s="1031"/>
      <c r="C41" s="1030"/>
      <c r="D41" s="1030"/>
      <c r="E41" s="1030"/>
      <c r="F41" s="1032"/>
      <c r="G41" s="1032"/>
      <c r="H41" s="1030"/>
      <c r="I41" s="1030"/>
      <c r="J41" s="1030"/>
    </row>
    <row r="42" ht="22.5" customHeight="1">
      <c r="A42" s="1030"/>
      <c r="B42" s="1031"/>
      <c r="C42" s="1030"/>
      <c r="D42" s="1030"/>
      <c r="E42" s="1030"/>
      <c r="F42" s="1032"/>
      <c r="G42" s="1032"/>
      <c r="H42" s="1030"/>
      <c r="I42" s="1030"/>
      <c r="J42" s="1030"/>
    </row>
    <row r="43" ht="22.5" customHeight="1">
      <c r="A43" s="1030"/>
      <c r="B43" s="1031"/>
      <c r="C43" s="1030"/>
      <c r="D43" s="1030"/>
      <c r="E43" s="1030"/>
      <c r="F43" s="1032"/>
      <c r="G43" s="1032"/>
      <c r="H43" s="1030"/>
      <c r="I43" s="1030"/>
      <c r="J43" s="1030"/>
    </row>
    <row r="44" ht="22.5" customHeight="1">
      <c r="A44" s="1030"/>
      <c r="B44" s="1031"/>
      <c r="C44" s="1030"/>
      <c r="D44" s="1030"/>
      <c r="E44" s="1030"/>
      <c r="F44" s="1032"/>
      <c r="G44" s="1032"/>
      <c r="H44" s="1030"/>
      <c r="I44" s="1030"/>
      <c r="J44" s="1030"/>
    </row>
    <row r="45" ht="22.5" customHeight="1">
      <c r="A45" s="1030"/>
      <c r="B45" s="1031"/>
      <c r="C45" s="1030"/>
      <c r="D45" s="1030"/>
      <c r="E45" s="1030"/>
      <c r="F45" s="1032"/>
      <c r="G45" s="1032"/>
      <c r="H45" s="1030"/>
      <c r="I45" s="1030"/>
      <c r="J45" s="1030"/>
    </row>
    <row r="46" ht="22.5" customHeight="1">
      <c r="A46" s="1030"/>
      <c r="B46" s="1031"/>
      <c r="C46" s="1030"/>
      <c r="D46" s="1030"/>
      <c r="E46" s="1030"/>
      <c r="F46" s="1032"/>
      <c r="G46" s="1032"/>
      <c r="H46" s="1030"/>
      <c r="I46" s="1030"/>
      <c r="J46" s="1030"/>
    </row>
    <row r="47" ht="22.5" customHeight="1">
      <c r="A47" s="1030"/>
      <c r="B47" s="1031"/>
      <c r="C47" s="1030"/>
      <c r="D47" s="1030"/>
      <c r="E47" s="1030"/>
      <c r="F47" s="1032"/>
      <c r="G47" s="1032"/>
      <c r="H47" s="1030"/>
      <c r="I47" s="1030"/>
      <c r="J47" s="1030"/>
    </row>
    <row r="48" ht="22.5" customHeight="1">
      <c r="A48" s="1030"/>
      <c r="B48" s="1031"/>
      <c r="C48" s="1030"/>
      <c r="D48" s="1030"/>
      <c r="E48" s="1030"/>
      <c r="F48" s="1032"/>
      <c r="G48" s="1032"/>
      <c r="H48" s="1030"/>
      <c r="I48" s="1030"/>
      <c r="J48" s="1030"/>
    </row>
    <row r="49" ht="22.5" customHeight="1">
      <c r="A49" s="1030"/>
      <c r="B49" s="1031"/>
      <c r="C49" s="1030"/>
      <c r="D49" s="1030"/>
      <c r="E49" s="1030"/>
      <c r="F49" s="1032"/>
      <c r="G49" s="1032"/>
      <c r="H49" s="1030"/>
      <c r="I49" s="1030"/>
      <c r="J49" s="1030"/>
    </row>
  </sheetData>
  <dataValidations>
    <dataValidation type="list" allowBlank="1" showErrorMessage="1" sqref="F26">
      <formula1>"Structural,Non Structural"</formula1>
    </dataValidation>
    <dataValidation type="list" allowBlank="1" sqref="B40:B49">
      <formula1>"Unkown"</formula1>
    </dataValidation>
    <dataValidation type="list" allowBlank="1" sqref="B4:B13">
      <formula1>"Frame-sub,Suspension,Steering,Driver Interface,Frame,Drivetrain"</formula1>
    </dataValidation>
    <dataValidation type="list" allowBlank="1" showErrorMessage="1" sqref="G4:G13 G16:G25 G28:G37 G40:G49">
      <formula1>"Pending,Uploaded,Complete"</formula1>
    </dataValidation>
    <dataValidation type="list" allowBlank="1" sqref="B28:B37">
      <formula1>"Accumulator,GLV,Sensors,M/MC,Cooling,DAQ"</formula1>
    </dataValidation>
    <dataValidation type="list" allowBlank="1" showErrorMessage="1" sqref="F4:F13 F16:F25 F28:F37 F40:F49">
      <formula1>"Structural,Non Structural"</formula1>
    </dataValidation>
    <dataValidation type="list" allowBlank="1" showErrorMessage="1" sqref="G26">
      <formula1>"Pending,Uploaded,Complete"</formula1>
    </dataValidation>
    <dataValidation type="list" allowBlank="1" sqref="B16:B25">
      <formula1>"Aero Structural,Front Wing,Rear Wing,Nosecone,Undertray,Composites"</formula1>
    </dataValidation>
  </dataValidations>
  <hyperlinks>
    <hyperlink r:id="rId1" ref="A1"/>
  </hyperlinks>
  <drawing r:id="rId2"/>
  <tableParts count="4">
    <tablePart r:id="rId7"/>
    <tablePart r:id="rId8"/>
    <tablePart r:id="rId9"/>
    <tablePart r:id="rId10"/>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0"/>
    <col customWidth="1" min="4" max="4" width="25.5"/>
    <col customWidth="1" min="5" max="5" width="18.5"/>
    <col customWidth="1" min="6" max="6" width="24.75"/>
  </cols>
  <sheetData>
    <row r="1">
      <c r="A1" s="1034"/>
      <c r="B1" s="1035"/>
      <c r="C1" s="1036"/>
      <c r="D1" s="1035"/>
      <c r="E1" s="1037"/>
      <c r="F1" s="1038"/>
      <c r="G1" s="28"/>
      <c r="H1" s="28"/>
      <c r="I1" s="28"/>
      <c r="J1" s="28"/>
      <c r="K1" s="28"/>
      <c r="L1" s="28"/>
      <c r="M1" s="28"/>
      <c r="N1" s="28"/>
      <c r="O1" s="28"/>
      <c r="P1" s="28"/>
      <c r="Q1" s="28"/>
      <c r="R1" s="28"/>
      <c r="S1" s="28"/>
      <c r="T1" s="28"/>
      <c r="U1" s="28"/>
      <c r="V1" s="28"/>
      <c r="W1" s="28"/>
      <c r="X1" s="28"/>
      <c r="Y1" s="28"/>
      <c r="Z1" s="28"/>
    </row>
    <row r="2">
      <c r="A2" s="1039" t="s">
        <v>1917</v>
      </c>
      <c r="B2" s="1040" t="s">
        <v>604</v>
      </c>
      <c r="C2" s="1041" t="s">
        <v>12</v>
      </c>
      <c r="D2" s="1042" t="s">
        <v>270</v>
      </c>
      <c r="E2" s="1043" t="s">
        <v>1945</v>
      </c>
      <c r="F2" s="1043" t="s">
        <v>1946</v>
      </c>
      <c r="G2" s="28"/>
      <c r="H2" s="28"/>
      <c r="I2" s="28"/>
      <c r="J2" s="28"/>
      <c r="K2" s="28"/>
      <c r="L2" s="28"/>
      <c r="M2" s="28"/>
      <c r="N2" s="28"/>
      <c r="O2" s="28"/>
      <c r="P2" s="28"/>
      <c r="Q2" s="28"/>
      <c r="R2" s="28"/>
      <c r="S2" s="28"/>
      <c r="T2" s="28"/>
      <c r="U2" s="28"/>
      <c r="V2" s="28"/>
      <c r="W2" s="28"/>
      <c r="X2" s="28"/>
      <c r="Y2" s="28"/>
      <c r="Z2" s="28"/>
    </row>
    <row r="3">
      <c r="A3" s="1044"/>
      <c r="B3" s="1045"/>
      <c r="C3" s="1046" t="s">
        <v>1947</v>
      </c>
      <c r="D3" s="1045"/>
      <c r="E3" s="1041"/>
      <c r="F3" s="1041"/>
      <c r="G3" s="28"/>
      <c r="H3" s="28"/>
      <c r="I3" s="28"/>
      <c r="J3" s="28"/>
      <c r="K3" s="28"/>
      <c r="L3" s="28"/>
      <c r="M3" s="28"/>
      <c r="N3" s="28"/>
      <c r="O3" s="28"/>
      <c r="P3" s="28"/>
      <c r="Q3" s="28"/>
      <c r="R3" s="28"/>
      <c r="S3" s="28"/>
      <c r="T3" s="28"/>
      <c r="U3" s="28"/>
      <c r="V3" s="28"/>
      <c r="W3" s="28"/>
      <c r="X3" s="28"/>
      <c r="Y3" s="28"/>
      <c r="Z3" s="28"/>
    </row>
    <row r="4">
      <c r="A4" s="1044"/>
      <c r="B4" s="1045"/>
      <c r="C4" s="1046" t="s">
        <v>1948</v>
      </c>
      <c r="D4" s="1045"/>
      <c r="E4" s="1041"/>
      <c r="F4" s="1041"/>
      <c r="G4" s="28"/>
      <c r="H4" s="28"/>
      <c r="I4" s="28"/>
      <c r="J4" s="28"/>
      <c r="K4" s="28"/>
      <c r="L4" s="28"/>
      <c r="M4" s="28"/>
      <c r="N4" s="28"/>
      <c r="O4" s="28"/>
      <c r="P4" s="28"/>
      <c r="Q4" s="28"/>
      <c r="R4" s="28"/>
      <c r="S4" s="28"/>
      <c r="T4" s="28"/>
      <c r="U4" s="28"/>
      <c r="V4" s="28"/>
      <c r="W4" s="28"/>
      <c r="X4" s="28"/>
      <c r="Y4" s="28"/>
      <c r="Z4" s="28"/>
    </row>
    <row r="5">
      <c r="A5" s="1044" t="s">
        <v>1949</v>
      </c>
      <c r="B5" s="1045" t="s">
        <v>1950</v>
      </c>
      <c r="C5" s="1041" t="s">
        <v>1951</v>
      </c>
      <c r="D5" s="1045"/>
      <c r="E5" s="1041"/>
      <c r="F5" s="1041"/>
      <c r="G5" s="28"/>
      <c r="H5" s="28"/>
      <c r="I5" s="28"/>
      <c r="J5" s="28"/>
      <c r="K5" s="28"/>
      <c r="L5" s="28"/>
      <c r="M5" s="28"/>
      <c r="N5" s="28"/>
      <c r="O5" s="28"/>
      <c r="P5" s="28"/>
      <c r="Q5" s="28"/>
      <c r="R5" s="28"/>
      <c r="S5" s="28"/>
      <c r="T5" s="28"/>
      <c r="U5" s="28"/>
      <c r="V5" s="28"/>
      <c r="W5" s="28"/>
      <c r="X5" s="28"/>
      <c r="Y5" s="28"/>
      <c r="Z5" s="28"/>
    </row>
    <row r="6">
      <c r="A6" s="1044" t="s">
        <v>1949</v>
      </c>
      <c r="B6" s="1045" t="s">
        <v>1950</v>
      </c>
      <c r="C6" s="1041" t="s">
        <v>1952</v>
      </c>
      <c r="D6" s="1045"/>
      <c r="E6" s="1041"/>
      <c r="F6" s="1041"/>
      <c r="G6" s="28"/>
      <c r="H6" s="28"/>
      <c r="I6" s="28"/>
      <c r="J6" s="28"/>
      <c r="K6" s="28"/>
      <c r="L6" s="28"/>
      <c r="M6" s="28"/>
      <c r="N6" s="28"/>
      <c r="O6" s="28"/>
      <c r="P6" s="28"/>
      <c r="Q6" s="28"/>
      <c r="R6" s="28"/>
      <c r="S6" s="28"/>
      <c r="T6" s="28"/>
      <c r="U6" s="28"/>
      <c r="V6" s="28"/>
      <c r="W6" s="28"/>
      <c r="X6" s="28"/>
      <c r="Y6" s="28"/>
      <c r="Z6" s="28"/>
    </row>
    <row r="7">
      <c r="A7" s="1044" t="s">
        <v>1949</v>
      </c>
      <c r="B7" s="1045" t="s">
        <v>1950</v>
      </c>
      <c r="C7" s="1041" t="s">
        <v>1953</v>
      </c>
      <c r="D7" s="1045"/>
      <c r="E7" s="1041"/>
      <c r="F7" s="1041"/>
      <c r="G7" s="28"/>
      <c r="H7" s="28"/>
      <c r="I7" s="28"/>
      <c r="J7" s="28"/>
      <c r="K7" s="28"/>
      <c r="L7" s="28"/>
      <c r="M7" s="28"/>
      <c r="N7" s="28"/>
      <c r="O7" s="28"/>
      <c r="P7" s="28"/>
      <c r="Q7" s="28"/>
      <c r="R7" s="28"/>
      <c r="S7" s="28"/>
      <c r="T7" s="28"/>
      <c r="U7" s="28"/>
      <c r="V7" s="28"/>
      <c r="W7" s="28"/>
      <c r="X7" s="28"/>
      <c r="Y7" s="28"/>
      <c r="Z7" s="28"/>
    </row>
    <row r="8">
      <c r="A8" s="1044" t="s">
        <v>1949</v>
      </c>
      <c r="B8" s="1045" t="s">
        <v>1950</v>
      </c>
      <c r="C8" s="1041" t="s">
        <v>1954</v>
      </c>
      <c r="D8" s="1045"/>
      <c r="E8" s="1041"/>
      <c r="F8" s="1041"/>
      <c r="G8" s="28"/>
      <c r="H8" s="28"/>
      <c r="I8" s="28"/>
      <c r="J8" s="28"/>
      <c r="K8" s="28"/>
      <c r="L8" s="28"/>
      <c r="M8" s="28"/>
      <c r="N8" s="28"/>
      <c r="O8" s="28"/>
      <c r="P8" s="28"/>
      <c r="Q8" s="28"/>
      <c r="R8" s="28"/>
      <c r="S8" s="28"/>
      <c r="T8" s="28"/>
      <c r="U8" s="28"/>
      <c r="V8" s="28"/>
      <c r="W8" s="28"/>
      <c r="X8" s="28"/>
      <c r="Y8" s="28"/>
      <c r="Z8" s="28"/>
    </row>
    <row r="9">
      <c r="A9" s="1044" t="s">
        <v>1949</v>
      </c>
      <c r="B9" s="1045" t="s">
        <v>1950</v>
      </c>
      <c r="C9" s="1041" t="s">
        <v>1955</v>
      </c>
      <c r="D9" s="1045"/>
      <c r="E9" s="1041"/>
      <c r="F9" s="1041"/>
      <c r="G9" s="28"/>
      <c r="H9" s="28"/>
      <c r="I9" s="28"/>
      <c r="J9" s="28"/>
      <c r="K9" s="28"/>
      <c r="L9" s="28"/>
      <c r="M9" s="28"/>
      <c r="N9" s="28"/>
      <c r="O9" s="28"/>
      <c r="P9" s="28"/>
      <c r="Q9" s="28"/>
      <c r="R9" s="28"/>
      <c r="S9" s="28"/>
      <c r="T9" s="28"/>
      <c r="U9" s="28"/>
      <c r="V9" s="28"/>
      <c r="W9" s="28"/>
      <c r="X9" s="28"/>
      <c r="Y9" s="28"/>
      <c r="Z9" s="28"/>
    </row>
    <row r="10">
      <c r="A10" s="1044" t="s">
        <v>1949</v>
      </c>
      <c r="B10" s="1045" t="s">
        <v>1950</v>
      </c>
      <c r="C10" s="1041" t="s">
        <v>1956</v>
      </c>
      <c r="D10" s="1045"/>
      <c r="E10" s="1041"/>
      <c r="F10" s="1041"/>
      <c r="G10" s="28"/>
      <c r="H10" s="28"/>
      <c r="I10" s="28"/>
      <c r="J10" s="28"/>
      <c r="K10" s="28"/>
      <c r="L10" s="28"/>
      <c r="M10" s="28"/>
      <c r="N10" s="28"/>
      <c r="O10" s="28"/>
      <c r="P10" s="28"/>
      <c r="Q10" s="28"/>
      <c r="R10" s="28"/>
      <c r="S10" s="28"/>
      <c r="T10" s="28"/>
      <c r="U10" s="28"/>
      <c r="V10" s="28"/>
      <c r="W10" s="28"/>
      <c r="X10" s="28"/>
      <c r="Y10" s="28"/>
      <c r="Z10" s="28"/>
    </row>
    <row r="11">
      <c r="A11" s="1044" t="s">
        <v>1949</v>
      </c>
      <c r="B11" s="1045" t="s">
        <v>1957</v>
      </c>
      <c r="C11" s="1041" t="s">
        <v>1958</v>
      </c>
      <c r="D11" s="1045"/>
      <c r="E11" s="1041"/>
      <c r="F11" s="1041"/>
      <c r="G11" s="28"/>
      <c r="H11" s="28"/>
      <c r="I11" s="28"/>
      <c r="J11" s="28"/>
      <c r="K11" s="28"/>
      <c r="L11" s="28"/>
      <c r="M11" s="28"/>
      <c r="N11" s="28"/>
      <c r="O11" s="28"/>
      <c r="P11" s="28"/>
      <c r="Q11" s="28"/>
      <c r="R11" s="28"/>
      <c r="S11" s="28"/>
      <c r="T11" s="28"/>
      <c r="U11" s="28"/>
      <c r="V11" s="28"/>
      <c r="W11" s="28"/>
      <c r="X11" s="28"/>
      <c r="Y11" s="28"/>
      <c r="Z11" s="28"/>
    </row>
    <row r="12">
      <c r="A12" s="1044" t="s">
        <v>1949</v>
      </c>
      <c r="B12" s="1045" t="s">
        <v>1957</v>
      </c>
      <c r="C12" s="1041" t="s">
        <v>1959</v>
      </c>
      <c r="D12" s="1045"/>
      <c r="E12" s="1041"/>
      <c r="F12" s="1041"/>
      <c r="G12" s="28"/>
      <c r="H12" s="28"/>
      <c r="I12" s="28"/>
      <c r="J12" s="28"/>
      <c r="K12" s="28"/>
      <c r="L12" s="28"/>
      <c r="M12" s="28"/>
      <c r="N12" s="28"/>
      <c r="O12" s="28"/>
      <c r="P12" s="28"/>
      <c r="Q12" s="28"/>
      <c r="R12" s="28"/>
      <c r="S12" s="28"/>
      <c r="T12" s="28"/>
      <c r="U12" s="28"/>
      <c r="V12" s="28"/>
      <c r="W12" s="28"/>
      <c r="X12" s="28"/>
      <c r="Y12" s="28"/>
      <c r="Z12" s="28"/>
    </row>
    <row r="13">
      <c r="A13" s="1044" t="s">
        <v>1949</v>
      </c>
      <c r="B13" s="1045" t="s">
        <v>1957</v>
      </c>
      <c r="C13" s="1041" t="s">
        <v>1960</v>
      </c>
      <c r="D13" s="1045"/>
      <c r="E13" s="1041"/>
      <c r="F13" s="1041"/>
      <c r="G13" s="28"/>
      <c r="H13" s="28"/>
      <c r="I13" s="28"/>
      <c r="J13" s="28"/>
      <c r="K13" s="28"/>
      <c r="L13" s="28"/>
      <c r="M13" s="28"/>
      <c r="N13" s="28"/>
      <c r="O13" s="28"/>
      <c r="P13" s="28"/>
      <c r="Q13" s="28"/>
      <c r="R13" s="28"/>
      <c r="S13" s="28"/>
      <c r="T13" s="28"/>
      <c r="U13" s="28"/>
      <c r="V13" s="28"/>
      <c r="W13" s="28"/>
      <c r="X13" s="28"/>
      <c r="Y13" s="28"/>
      <c r="Z13" s="28"/>
    </row>
    <row r="14">
      <c r="A14" s="1044" t="s">
        <v>1949</v>
      </c>
      <c r="B14" s="1045" t="s">
        <v>1957</v>
      </c>
      <c r="C14" s="1047" t="s">
        <v>1961</v>
      </c>
      <c r="D14" s="1045"/>
      <c r="E14" s="1041"/>
      <c r="F14" s="1041"/>
      <c r="G14" s="28"/>
      <c r="H14" s="28"/>
      <c r="I14" s="28"/>
      <c r="J14" s="28"/>
      <c r="K14" s="28"/>
      <c r="L14" s="28"/>
      <c r="M14" s="28"/>
      <c r="N14" s="28"/>
      <c r="O14" s="28"/>
      <c r="P14" s="28"/>
      <c r="Q14" s="28"/>
      <c r="R14" s="28"/>
      <c r="S14" s="28"/>
      <c r="T14" s="28"/>
      <c r="U14" s="28"/>
      <c r="V14" s="28"/>
      <c r="W14" s="28"/>
      <c r="X14" s="28"/>
      <c r="Y14" s="28"/>
      <c r="Z14" s="28"/>
    </row>
    <row r="15">
      <c r="A15" s="1044" t="s">
        <v>1949</v>
      </c>
      <c r="B15" s="1045" t="s">
        <v>1957</v>
      </c>
      <c r="C15" s="1041" t="s">
        <v>1962</v>
      </c>
      <c r="D15" s="1045"/>
      <c r="E15" s="1041"/>
      <c r="F15" s="1041"/>
      <c r="G15" s="28"/>
      <c r="H15" s="28"/>
      <c r="I15" s="28"/>
      <c r="J15" s="28"/>
      <c r="K15" s="28"/>
      <c r="L15" s="28"/>
      <c r="M15" s="28"/>
      <c r="N15" s="28"/>
      <c r="O15" s="28"/>
      <c r="P15" s="28"/>
      <c r="Q15" s="28"/>
      <c r="R15" s="28"/>
      <c r="S15" s="28"/>
      <c r="T15" s="28"/>
      <c r="U15" s="28"/>
      <c r="V15" s="28"/>
      <c r="W15" s="28"/>
      <c r="X15" s="28"/>
      <c r="Y15" s="28"/>
      <c r="Z15" s="28"/>
    </row>
    <row r="16">
      <c r="A16" s="1044" t="s">
        <v>1949</v>
      </c>
      <c r="B16" s="1045" t="s">
        <v>1957</v>
      </c>
      <c r="C16" s="1041" t="s">
        <v>1963</v>
      </c>
      <c r="D16" s="1045"/>
      <c r="E16" s="1041"/>
      <c r="F16" s="1041"/>
      <c r="G16" s="28"/>
      <c r="H16" s="28"/>
      <c r="I16" s="28"/>
      <c r="J16" s="28"/>
      <c r="K16" s="28"/>
      <c r="L16" s="28"/>
      <c r="M16" s="28"/>
      <c r="N16" s="28"/>
      <c r="O16" s="28"/>
      <c r="P16" s="28"/>
      <c r="Q16" s="28"/>
      <c r="R16" s="28"/>
      <c r="S16" s="28"/>
      <c r="T16" s="28"/>
      <c r="U16" s="28"/>
      <c r="V16" s="28"/>
      <c r="W16" s="28"/>
      <c r="X16" s="28"/>
      <c r="Y16" s="28"/>
      <c r="Z16" s="28"/>
    </row>
    <row r="17">
      <c r="A17" s="1044" t="s">
        <v>1949</v>
      </c>
      <c r="B17" s="1045" t="s">
        <v>1957</v>
      </c>
      <c r="C17" s="1041" t="s">
        <v>1964</v>
      </c>
      <c r="D17" s="1045"/>
      <c r="E17" s="1041"/>
      <c r="F17" s="1041"/>
      <c r="G17" s="28"/>
      <c r="H17" s="28"/>
      <c r="I17" s="28"/>
      <c r="J17" s="28"/>
      <c r="K17" s="28"/>
      <c r="L17" s="28"/>
      <c r="M17" s="28"/>
      <c r="N17" s="28"/>
      <c r="O17" s="28"/>
      <c r="P17" s="28"/>
      <c r="Q17" s="28"/>
      <c r="R17" s="28"/>
      <c r="S17" s="28"/>
      <c r="T17" s="28"/>
      <c r="U17" s="28"/>
      <c r="V17" s="28"/>
      <c r="W17" s="28"/>
      <c r="X17" s="28"/>
      <c r="Y17" s="28"/>
      <c r="Z17" s="28"/>
    </row>
    <row r="18">
      <c r="A18" s="1044" t="s">
        <v>1949</v>
      </c>
      <c r="B18" s="1045" t="s">
        <v>1957</v>
      </c>
      <c r="C18" s="1041" t="s">
        <v>1965</v>
      </c>
      <c r="D18" s="1045"/>
      <c r="E18" s="1041"/>
      <c r="F18" s="1041"/>
      <c r="G18" s="28"/>
      <c r="H18" s="28"/>
      <c r="I18" s="28"/>
      <c r="J18" s="28"/>
      <c r="K18" s="28"/>
      <c r="L18" s="28"/>
      <c r="M18" s="28"/>
      <c r="N18" s="28"/>
      <c r="O18" s="28"/>
      <c r="P18" s="28"/>
      <c r="Q18" s="28"/>
      <c r="R18" s="28"/>
      <c r="S18" s="28"/>
      <c r="T18" s="28"/>
      <c r="U18" s="28"/>
      <c r="V18" s="28"/>
      <c r="W18" s="28"/>
      <c r="X18" s="28"/>
      <c r="Y18" s="28"/>
      <c r="Z18" s="28"/>
    </row>
    <row r="19">
      <c r="A19" s="1044" t="s">
        <v>1949</v>
      </c>
      <c r="B19" s="1045" t="s">
        <v>1957</v>
      </c>
      <c r="C19" s="1041" t="s">
        <v>1966</v>
      </c>
      <c r="D19" s="1045"/>
      <c r="E19" s="1041"/>
      <c r="F19" s="1041"/>
      <c r="G19" s="28"/>
      <c r="H19" s="28"/>
      <c r="I19" s="28"/>
      <c r="J19" s="28"/>
      <c r="K19" s="28"/>
      <c r="L19" s="28"/>
      <c r="M19" s="28"/>
      <c r="N19" s="28"/>
      <c r="O19" s="28"/>
      <c r="P19" s="28"/>
      <c r="Q19" s="28"/>
      <c r="R19" s="28"/>
      <c r="S19" s="28"/>
      <c r="T19" s="28"/>
      <c r="U19" s="28"/>
      <c r="V19" s="28"/>
      <c r="W19" s="28"/>
      <c r="X19" s="28"/>
      <c r="Y19" s="28"/>
      <c r="Z19" s="28"/>
    </row>
    <row r="20">
      <c r="A20" s="1044" t="s">
        <v>1949</v>
      </c>
      <c r="B20" s="1045" t="s">
        <v>1957</v>
      </c>
      <c r="C20" s="1041" t="s">
        <v>1967</v>
      </c>
      <c r="D20" s="1045"/>
      <c r="E20" s="1041"/>
      <c r="F20" s="1041"/>
      <c r="G20" s="28"/>
      <c r="H20" s="28"/>
      <c r="I20" s="28"/>
      <c r="J20" s="28"/>
      <c r="K20" s="28"/>
      <c r="L20" s="28"/>
      <c r="M20" s="28"/>
      <c r="N20" s="28"/>
      <c r="O20" s="28"/>
      <c r="P20" s="28"/>
      <c r="Q20" s="28"/>
      <c r="R20" s="28"/>
      <c r="S20" s="28"/>
      <c r="T20" s="28"/>
      <c r="U20" s="28"/>
      <c r="V20" s="28"/>
      <c r="W20" s="28"/>
      <c r="X20" s="28"/>
      <c r="Y20" s="28"/>
      <c r="Z20" s="28"/>
    </row>
    <row r="21">
      <c r="A21" s="1044" t="s">
        <v>1949</v>
      </c>
      <c r="B21" s="1045" t="s">
        <v>1968</v>
      </c>
      <c r="C21" s="1041" t="s">
        <v>1969</v>
      </c>
      <c r="D21" s="1045"/>
      <c r="E21" s="1041"/>
      <c r="F21" s="1041"/>
      <c r="G21" s="28"/>
      <c r="H21" s="28"/>
      <c r="I21" s="28"/>
      <c r="J21" s="28"/>
      <c r="K21" s="28"/>
      <c r="L21" s="28"/>
      <c r="M21" s="28"/>
      <c r="N21" s="28"/>
      <c r="O21" s="28"/>
      <c r="P21" s="28"/>
      <c r="Q21" s="28"/>
      <c r="R21" s="28"/>
      <c r="S21" s="28"/>
      <c r="T21" s="28"/>
      <c r="U21" s="28"/>
      <c r="V21" s="28"/>
      <c r="W21" s="28"/>
      <c r="X21" s="28"/>
      <c r="Y21" s="28"/>
      <c r="Z21" s="28"/>
    </row>
    <row r="22">
      <c r="A22" s="1044" t="s">
        <v>1949</v>
      </c>
      <c r="B22" s="1045" t="s">
        <v>1968</v>
      </c>
      <c r="C22" s="1041" t="s">
        <v>1970</v>
      </c>
      <c r="D22" s="1045"/>
      <c r="E22" s="1041"/>
      <c r="F22" s="1041"/>
      <c r="G22" s="28"/>
      <c r="H22" s="28"/>
      <c r="I22" s="28"/>
      <c r="J22" s="28"/>
      <c r="K22" s="28"/>
      <c r="L22" s="28"/>
      <c r="M22" s="28"/>
      <c r="N22" s="28"/>
      <c r="O22" s="28"/>
      <c r="P22" s="28"/>
      <c r="Q22" s="28"/>
      <c r="R22" s="28"/>
      <c r="S22" s="28"/>
      <c r="T22" s="28"/>
      <c r="U22" s="28"/>
      <c r="V22" s="28"/>
      <c r="W22" s="28"/>
      <c r="X22" s="28"/>
      <c r="Y22" s="28"/>
      <c r="Z22" s="28"/>
    </row>
    <row r="23">
      <c r="A23" s="1044" t="s">
        <v>1949</v>
      </c>
      <c r="B23" s="1045" t="s">
        <v>1968</v>
      </c>
      <c r="C23" s="1041" t="s">
        <v>1971</v>
      </c>
      <c r="D23" s="1045"/>
      <c r="E23" s="1041"/>
      <c r="F23" s="1041"/>
      <c r="G23" s="28"/>
      <c r="H23" s="28"/>
      <c r="I23" s="28"/>
      <c r="J23" s="28"/>
      <c r="K23" s="28"/>
      <c r="L23" s="28"/>
      <c r="M23" s="28"/>
      <c r="N23" s="28"/>
      <c r="O23" s="28"/>
      <c r="P23" s="28"/>
      <c r="Q23" s="28"/>
      <c r="R23" s="28"/>
      <c r="S23" s="28"/>
      <c r="T23" s="28"/>
      <c r="U23" s="28"/>
      <c r="V23" s="28"/>
      <c r="W23" s="28"/>
      <c r="X23" s="28"/>
      <c r="Y23" s="28"/>
      <c r="Z23" s="28"/>
    </row>
    <row r="24">
      <c r="A24" s="1044" t="s">
        <v>1949</v>
      </c>
      <c r="B24" s="1045" t="s">
        <v>1968</v>
      </c>
      <c r="C24" s="1041" t="s">
        <v>1972</v>
      </c>
      <c r="D24" s="1045"/>
      <c r="E24" s="1041"/>
      <c r="F24" s="1041"/>
      <c r="G24" s="28"/>
      <c r="H24" s="28"/>
      <c r="I24" s="28"/>
      <c r="J24" s="28"/>
      <c r="K24" s="28"/>
      <c r="L24" s="28"/>
      <c r="M24" s="28"/>
      <c r="N24" s="28"/>
      <c r="O24" s="28"/>
      <c r="P24" s="28"/>
      <c r="Q24" s="28"/>
      <c r="R24" s="28"/>
      <c r="S24" s="28"/>
      <c r="T24" s="28"/>
      <c r="U24" s="28"/>
      <c r="V24" s="28"/>
      <c r="W24" s="28"/>
      <c r="X24" s="28"/>
      <c r="Y24" s="28"/>
      <c r="Z24" s="28"/>
    </row>
    <row r="25">
      <c r="A25" s="1044" t="s">
        <v>1949</v>
      </c>
      <c r="B25" s="1045" t="s">
        <v>1968</v>
      </c>
      <c r="C25" s="1047" t="s">
        <v>1973</v>
      </c>
      <c r="D25" s="1045"/>
      <c r="E25" s="1041"/>
      <c r="F25" s="1041"/>
      <c r="G25" s="28"/>
      <c r="H25" s="28"/>
      <c r="I25" s="28"/>
      <c r="J25" s="28"/>
      <c r="K25" s="28"/>
      <c r="L25" s="28"/>
      <c r="M25" s="28"/>
      <c r="N25" s="28"/>
      <c r="O25" s="28"/>
      <c r="P25" s="28"/>
      <c r="Q25" s="28"/>
      <c r="R25" s="28"/>
      <c r="S25" s="28"/>
      <c r="T25" s="28"/>
      <c r="U25" s="28"/>
      <c r="V25" s="28"/>
      <c r="W25" s="28"/>
      <c r="X25" s="28"/>
      <c r="Y25" s="28"/>
      <c r="Z25" s="28"/>
    </row>
    <row r="26">
      <c r="A26" s="1044" t="s">
        <v>1949</v>
      </c>
      <c r="B26" s="1045" t="s">
        <v>1974</v>
      </c>
      <c r="C26" s="1047" t="s">
        <v>1975</v>
      </c>
      <c r="D26" s="1045"/>
      <c r="E26" s="1041"/>
      <c r="F26" s="1041"/>
      <c r="G26" s="28"/>
      <c r="H26" s="28"/>
      <c r="I26" s="28"/>
      <c r="J26" s="28"/>
      <c r="K26" s="28"/>
      <c r="L26" s="28"/>
      <c r="M26" s="28"/>
      <c r="N26" s="28"/>
      <c r="O26" s="28"/>
      <c r="P26" s="28"/>
      <c r="Q26" s="28"/>
      <c r="R26" s="28"/>
      <c r="S26" s="28"/>
      <c r="T26" s="28"/>
      <c r="U26" s="28"/>
      <c r="V26" s="28"/>
      <c r="W26" s="28"/>
      <c r="X26" s="28"/>
      <c r="Y26" s="28"/>
      <c r="Z26" s="28"/>
    </row>
    <row r="27">
      <c r="A27" s="1044" t="s">
        <v>1949</v>
      </c>
      <c r="B27" s="1045" t="s">
        <v>1974</v>
      </c>
      <c r="C27" s="1041" t="s">
        <v>1976</v>
      </c>
      <c r="D27" s="1045"/>
      <c r="E27" s="1041"/>
      <c r="F27" s="1041"/>
      <c r="G27" s="28"/>
      <c r="H27" s="28"/>
      <c r="I27" s="28"/>
      <c r="J27" s="28"/>
      <c r="K27" s="28"/>
      <c r="L27" s="28"/>
      <c r="M27" s="28"/>
      <c r="N27" s="28"/>
      <c r="O27" s="28"/>
      <c r="P27" s="28"/>
      <c r="Q27" s="28"/>
      <c r="R27" s="28"/>
      <c r="S27" s="28"/>
      <c r="T27" s="28"/>
      <c r="U27" s="28"/>
      <c r="V27" s="28"/>
      <c r="W27" s="28"/>
      <c r="X27" s="28"/>
      <c r="Y27" s="28"/>
      <c r="Z27" s="28"/>
    </row>
    <row r="28">
      <c r="A28" s="1044" t="s">
        <v>1949</v>
      </c>
      <c r="B28" s="1045" t="s">
        <v>1974</v>
      </c>
      <c r="C28" s="1041" t="s">
        <v>1977</v>
      </c>
      <c r="D28" s="1045"/>
      <c r="E28" s="1041"/>
      <c r="F28" s="1041"/>
      <c r="G28" s="28"/>
      <c r="H28" s="28"/>
      <c r="I28" s="28"/>
      <c r="J28" s="28"/>
      <c r="K28" s="28"/>
      <c r="L28" s="28"/>
      <c r="M28" s="28"/>
      <c r="N28" s="28"/>
      <c r="O28" s="28"/>
      <c r="P28" s="28"/>
      <c r="Q28" s="28"/>
      <c r="R28" s="28"/>
      <c r="S28" s="28"/>
      <c r="T28" s="28"/>
      <c r="U28" s="28"/>
      <c r="V28" s="28"/>
      <c r="W28" s="28"/>
      <c r="X28" s="28"/>
      <c r="Y28" s="28"/>
      <c r="Z28" s="28"/>
    </row>
    <row r="29">
      <c r="A29" s="1044" t="s">
        <v>1949</v>
      </c>
      <c r="B29" s="1045" t="s">
        <v>1978</v>
      </c>
      <c r="C29" s="1041" t="s">
        <v>1979</v>
      </c>
      <c r="D29" s="1045"/>
      <c r="E29" s="1041"/>
      <c r="F29" s="1041"/>
      <c r="G29" s="28"/>
      <c r="H29" s="28"/>
      <c r="I29" s="28"/>
      <c r="J29" s="28"/>
      <c r="K29" s="28"/>
      <c r="L29" s="28"/>
      <c r="M29" s="28"/>
      <c r="N29" s="28"/>
      <c r="O29" s="28"/>
      <c r="P29" s="28"/>
      <c r="Q29" s="28"/>
      <c r="R29" s="28"/>
      <c r="S29" s="28"/>
      <c r="T29" s="28"/>
      <c r="U29" s="28"/>
      <c r="V29" s="28"/>
      <c r="W29" s="28"/>
      <c r="X29" s="28"/>
      <c r="Y29" s="28"/>
      <c r="Z29" s="28"/>
    </row>
    <row r="30">
      <c r="A30" s="1044" t="s">
        <v>1949</v>
      </c>
      <c r="B30" s="1045" t="s">
        <v>1980</v>
      </c>
      <c r="C30" s="1041" t="s">
        <v>1981</v>
      </c>
      <c r="D30" s="1045"/>
      <c r="E30" s="1041"/>
      <c r="F30" s="1041"/>
      <c r="G30" s="28"/>
      <c r="H30" s="28"/>
      <c r="I30" s="28"/>
      <c r="J30" s="28"/>
      <c r="K30" s="28"/>
      <c r="L30" s="28"/>
      <c r="M30" s="28"/>
      <c r="N30" s="28"/>
      <c r="O30" s="28"/>
      <c r="P30" s="28"/>
      <c r="Q30" s="28"/>
      <c r="R30" s="28"/>
      <c r="S30" s="28"/>
      <c r="T30" s="28"/>
      <c r="U30" s="28"/>
      <c r="V30" s="28"/>
      <c r="W30" s="28"/>
      <c r="X30" s="28"/>
      <c r="Y30" s="28"/>
      <c r="Z30" s="28"/>
    </row>
    <row r="31">
      <c r="A31" s="1044" t="s">
        <v>1949</v>
      </c>
      <c r="B31" s="1045" t="s">
        <v>1980</v>
      </c>
      <c r="C31" s="1041" t="s">
        <v>1982</v>
      </c>
      <c r="D31" s="1045"/>
      <c r="E31" s="1041"/>
      <c r="F31" s="1041"/>
      <c r="G31" s="28"/>
      <c r="H31" s="28"/>
      <c r="I31" s="28"/>
      <c r="J31" s="28"/>
      <c r="K31" s="28"/>
      <c r="L31" s="28"/>
      <c r="M31" s="28"/>
      <c r="N31" s="28"/>
      <c r="O31" s="28"/>
      <c r="P31" s="28"/>
      <c r="Q31" s="28"/>
      <c r="R31" s="28"/>
      <c r="S31" s="28"/>
      <c r="T31" s="28"/>
      <c r="U31" s="28"/>
      <c r="V31" s="28"/>
      <c r="W31" s="28"/>
      <c r="X31" s="28"/>
      <c r="Y31" s="28"/>
      <c r="Z31" s="28"/>
    </row>
    <row r="32">
      <c r="A32" s="1044" t="s">
        <v>1949</v>
      </c>
      <c r="B32" s="1045" t="s">
        <v>1980</v>
      </c>
      <c r="C32" s="1041" t="s">
        <v>1983</v>
      </c>
      <c r="D32" s="1045"/>
      <c r="E32" s="1041"/>
      <c r="F32" s="1041"/>
      <c r="G32" s="28"/>
      <c r="H32" s="28"/>
      <c r="I32" s="28"/>
      <c r="J32" s="28"/>
      <c r="K32" s="28"/>
      <c r="L32" s="28"/>
      <c r="M32" s="28"/>
      <c r="N32" s="28"/>
      <c r="O32" s="28"/>
      <c r="P32" s="28"/>
      <c r="Q32" s="28"/>
      <c r="R32" s="28"/>
      <c r="S32" s="28"/>
      <c r="T32" s="28"/>
      <c r="U32" s="28"/>
      <c r="V32" s="28"/>
      <c r="W32" s="28"/>
      <c r="X32" s="28"/>
      <c r="Y32" s="28"/>
      <c r="Z32" s="28"/>
    </row>
    <row r="33">
      <c r="A33" s="1044" t="s">
        <v>1949</v>
      </c>
      <c r="B33" s="1045" t="s">
        <v>1980</v>
      </c>
      <c r="C33" s="1041" t="s">
        <v>1984</v>
      </c>
      <c r="D33" s="1045"/>
      <c r="E33" s="1041"/>
      <c r="F33" s="1041"/>
      <c r="G33" s="28"/>
      <c r="H33" s="28"/>
      <c r="I33" s="28"/>
      <c r="J33" s="28"/>
      <c r="K33" s="28"/>
      <c r="L33" s="28"/>
      <c r="M33" s="28"/>
      <c r="N33" s="28"/>
      <c r="O33" s="28"/>
      <c r="P33" s="28"/>
      <c r="Q33" s="28"/>
      <c r="R33" s="28"/>
      <c r="S33" s="28"/>
      <c r="T33" s="28"/>
      <c r="U33" s="28"/>
      <c r="V33" s="28"/>
      <c r="W33" s="28"/>
      <c r="X33" s="28"/>
      <c r="Y33" s="28"/>
      <c r="Z33" s="28"/>
    </row>
    <row r="34">
      <c r="A34" s="1048" t="s">
        <v>1949</v>
      </c>
      <c r="B34" s="1049" t="s">
        <v>1980</v>
      </c>
      <c r="C34" s="1050" t="s">
        <v>1985</v>
      </c>
      <c r="D34" s="1049"/>
      <c r="E34" s="1051"/>
      <c r="F34" s="1051"/>
      <c r="G34" s="28"/>
      <c r="H34" s="28"/>
      <c r="I34" s="28"/>
      <c r="J34" s="28"/>
      <c r="K34" s="28"/>
      <c r="L34" s="28"/>
      <c r="M34" s="28"/>
      <c r="N34" s="28"/>
      <c r="O34" s="28"/>
      <c r="P34" s="28"/>
      <c r="Q34" s="28"/>
      <c r="R34" s="28"/>
      <c r="S34" s="28"/>
      <c r="T34" s="28"/>
      <c r="U34" s="28"/>
      <c r="V34" s="28"/>
      <c r="W34" s="28"/>
      <c r="X34" s="28"/>
      <c r="Y34" s="28"/>
      <c r="Z34" s="28"/>
    </row>
    <row r="35">
      <c r="A35" s="1044" t="s">
        <v>1986</v>
      </c>
      <c r="B35" s="1045"/>
      <c r="C35" s="1046" t="s">
        <v>1947</v>
      </c>
      <c r="D35" s="1045"/>
      <c r="E35" s="1041"/>
      <c r="F35" s="1041"/>
      <c r="G35" s="28"/>
      <c r="H35" s="28"/>
      <c r="I35" s="28"/>
      <c r="J35" s="28"/>
      <c r="K35" s="28"/>
      <c r="L35" s="28"/>
      <c r="M35" s="28"/>
      <c r="N35" s="28"/>
      <c r="O35" s="28"/>
      <c r="P35" s="28"/>
      <c r="Q35" s="28"/>
      <c r="R35" s="28"/>
      <c r="S35" s="28"/>
      <c r="T35" s="28"/>
      <c r="U35" s="28"/>
      <c r="V35" s="28"/>
      <c r="W35" s="28"/>
      <c r="X35" s="28"/>
      <c r="Y35" s="28"/>
      <c r="Z35" s="28"/>
    </row>
    <row r="36">
      <c r="A36" s="1044" t="s">
        <v>1986</v>
      </c>
      <c r="B36" s="1045"/>
      <c r="C36" s="1046" t="s">
        <v>1948</v>
      </c>
      <c r="D36" s="1045"/>
      <c r="E36" s="1041"/>
      <c r="F36" s="1041"/>
      <c r="G36" s="28"/>
      <c r="H36" s="28"/>
      <c r="I36" s="28"/>
      <c r="J36" s="28"/>
      <c r="K36" s="28"/>
      <c r="L36" s="28"/>
      <c r="M36" s="28"/>
      <c r="N36" s="28"/>
      <c r="O36" s="28"/>
      <c r="P36" s="28"/>
      <c r="Q36" s="28"/>
      <c r="R36" s="28"/>
      <c r="S36" s="28"/>
      <c r="T36" s="28"/>
      <c r="U36" s="28"/>
      <c r="V36" s="28"/>
      <c r="W36" s="28"/>
      <c r="X36" s="28"/>
      <c r="Y36" s="28"/>
      <c r="Z36" s="28"/>
    </row>
    <row r="37">
      <c r="A37" s="1044" t="s">
        <v>1986</v>
      </c>
      <c r="B37" s="1045" t="s">
        <v>1987</v>
      </c>
      <c r="C37" s="1041" t="s">
        <v>1988</v>
      </c>
      <c r="D37" s="1045"/>
      <c r="E37" s="1041"/>
      <c r="F37" s="1041"/>
      <c r="G37" s="28"/>
      <c r="H37" s="28"/>
      <c r="I37" s="28"/>
      <c r="J37" s="28"/>
      <c r="K37" s="28"/>
      <c r="L37" s="28"/>
      <c r="M37" s="28"/>
      <c r="N37" s="28"/>
      <c r="O37" s="28"/>
      <c r="P37" s="28"/>
      <c r="Q37" s="28"/>
      <c r="R37" s="28"/>
      <c r="S37" s="28"/>
      <c r="T37" s="28"/>
      <c r="U37" s="28"/>
      <c r="V37" s="28"/>
      <c r="W37" s="28"/>
      <c r="X37" s="28"/>
      <c r="Y37" s="28"/>
      <c r="Z37" s="28"/>
    </row>
    <row r="38">
      <c r="A38" s="1044" t="s">
        <v>1986</v>
      </c>
      <c r="B38" s="1045" t="s">
        <v>1987</v>
      </c>
      <c r="C38" s="1041" t="s">
        <v>1989</v>
      </c>
      <c r="D38" s="1045"/>
      <c r="E38" s="1041"/>
      <c r="F38" s="1041"/>
      <c r="G38" s="28"/>
      <c r="H38" s="28"/>
      <c r="I38" s="28"/>
      <c r="J38" s="28"/>
      <c r="K38" s="28"/>
      <c r="L38" s="28"/>
      <c r="M38" s="28"/>
      <c r="N38" s="28"/>
      <c r="O38" s="28"/>
      <c r="P38" s="28"/>
      <c r="Q38" s="28"/>
      <c r="R38" s="28"/>
      <c r="S38" s="28"/>
      <c r="T38" s="28"/>
      <c r="U38" s="28"/>
      <c r="V38" s="28"/>
      <c r="W38" s="28"/>
      <c r="X38" s="28"/>
      <c r="Y38" s="28"/>
      <c r="Z38" s="28"/>
    </row>
    <row r="39">
      <c r="A39" s="1044" t="s">
        <v>1986</v>
      </c>
      <c r="B39" s="1045" t="s">
        <v>1987</v>
      </c>
      <c r="C39" s="1041" t="s">
        <v>1990</v>
      </c>
      <c r="D39" s="1045"/>
      <c r="E39" s="1041"/>
      <c r="F39" s="1041"/>
      <c r="G39" s="28"/>
      <c r="H39" s="28"/>
      <c r="I39" s="28"/>
      <c r="J39" s="28"/>
      <c r="K39" s="28"/>
      <c r="L39" s="28"/>
      <c r="M39" s="28"/>
      <c r="N39" s="28"/>
      <c r="O39" s="28"/>
      <c r="P39" s="28"/>
      <c r="Q39" s="28"/>
      <c r="R39" s="28"/>
      <c r="S39" s="28"/>
      <c r="T39" s="28"/>
      <c r="U39" s="28"/>
      <c r="V39" s="28"/>
      <c r="W39" s="28"/>
      <c r="X39" s="28"/>
      <c r="Y39" s="28"/>
      <c r="Z39" s="28"/>
    </row>
    <row r="40">
      <c r="A40" s="1044" t="s">
        <v>1986</v>
      </c>
      <c r="B40" s="1045" t="s">
        <v>1987</v>
      </c>
      <c r="C40" s="1041" t="s">
        <v>1991</v>
      </c>
      <c r="D40" s="1045"/>
      <c r="E40" s="1041"/>
      <c r="F40" s="1041"/>
      <c r="G40" s="28"/>
      <c r="H40" s="28"/>
      <c r="I40" s="28"/>
      <c r="J40" s="28"/>
      <c r="K40" s="28"/>
      <c r="L40" s="28"/>
      <c r="M40" s="28"/>
      <c r="N40" s="28"/>
      <c r="O40" s="28"/>
      <c r="P40" s="28"/>
      <c r="Q40" s="28"/>
      <c r="R40" s="28"/>
      <c r="S40" s="28"/>
      <c r="T40" s="28"/>
      <c r="U40" s="28"/>
      <c r="V40" s="28"/>
      <c r="W40" s="28"/>
      <c r="X40" s="28"/>
      <c r="Y40" s="28"/>
      <c r="Z40" s="28"/>
    </row>
    <row r="41">
      <c r="A41" s="1044" t="s">
        <v>1986</v>
      </c>
      <c r="B41" s="1045" t="s">
        <v>1987</v>
      </c>
      <c r="C41" s="1041" t="s">
        <v>1992</v>
      </c>
      <c r="D41" s="1045"/>
      <c r="E41" s="1041"/>
      <c r="F41" s="1041"/>
      <c r="G41" s="28"/>
      <c r="H41" s="28"/>
      <c r="I41" s="28"/>
      <c r="J41" s="28"/>
      <c r="K41" s="28"/>
      <c r="L41" s="28"/>
      <c r="M41" s="28"/>
      <c r="N41" s="28"/>
      <c r="O41" s="28"/>
      <c r="P41" s="28"/>
      <c r="Q41" s="28"/>
      <c r="R41" s="28"/>
      <c r="S41" s="28"/>
      <c r="T41" s="28"/>
      <c r="U41" s="28"/>
      <c r="V41" s="28"/>
      <c r="W41" s="28"/>
      <c r="X41" s="28"/>
      <c r="Y41" s="28"/>
      <c r="Z41" s="28"/>
    </row>
    <row r="42">
      <c r="A42" s="1044" t="s">
        <v>1986</v>
      </c>
      <c r="B42" s="1045" t="s">
        <v>1987</v>
      </c>
      <c r="C42" s="1041" t="s">
        <v>1993</v>
      </c>
      <c r="D42" s="1045"/>
      <c r="E42" s="1041"/>
      <c r="F42" s="1041"/>
      <c r="G42" s="28"/>
      <c r="H42" s="28"/>
      <c r="I42" s="28"/>
      <c r="J42" s="28"/>
      <c r="K42" s="28"/>
      <c r="L42" s="28"/>
      <c r="M42" s="28"/>
      <c r="N42" s="28"/>
      <c r="O42" s="28"/>
      <c r="P42" s="28"/>
      <c r="Q42" s="28"/>
      <c r="R42" s="28"/>
      <c r="S42" s="28"/>
      <c r="T42" s="28"/>
      <c r="U42" s="28"/>
      <c r="V42" s="28"/>
      <c r="W42" s="28"/>
      <c r="X42" s="28"/>
      <c r="Y42" s="28"/>
      <c r="Z42" s="28"/>
    </row>
    <row r="43">
      <c r="A43" s="1044" t="s">
        <v>1986</v>
      </c>
      <c r="B43" s="1045" t="s">
        <v>1987</v>
      </c>
      <c r="C43" s="1041" t="s">
        <v>1994</v>
      </c>
      <c r="D43" s="1045"/>
      <c r="E43" s="1041"/>
      <c r="F43" s="1041"/>
      <c r="G43" s="28"/>
      <c r="H43" s="28"/>
      <c r="I43" s="28"/>
      <c r="J43" s="28"/>
      <c r="K43" s="28"/>
      <c r="L43" s="28"/>
      <c r="M43" s="28"/>
      <c r="N43" s="28"/>
      <c r="O43" s="28"/>
      <c r="P43" s="28"/>
      <c r="Q43" s="28"/>
      <c r="R43" s="28"/>
      <c r="S43" s="28"/>
      <c r="T43" s="28"/>
      <c r="U43" s="28"/>
      <c r="V43" s="28"/>
      <c r="W43" s="28"/>
      <c r="X43" s="28"/>
      <c r="Y43" s="28"/>
      <c r="Z43" s="28"/>
    </row>
    <row r="44">
      <c r="A44" s="1044" t="s">
        <v>1986</v>
      </c>
      <c r="B44" s="1045" t="s">
        <v>1987</v>
      </c>
      <c r="C44" s="1041" t="s">
        <v>1995</v>
      </c>
      <c r="D44" s="1045"/>
      <c r="E44" s="1041"/>
      <c r="F44" s="1041"/>
      <c r="G44" s="28"/>
      <c r="H44" s="28"/>
      <c r="I44" s="28"/>
      <c r="J44" s="28"/>
      <c r="K44" s="28"/>
      <c r="L44" s="28"/>
      <c r="M44" s="28"/>
      <c r="N44" s="28"/>
      <c r="O44" s="28"/>
      <c r="P44" s="28"/>
      <c r="Q44" s="28"/>
      <c r="R44" s="28"/>
      <c r="S44" s="28"/>
      <c r="T44" s="28"/>
      <c r="U44" s="28"/>
      <c r="V44" s="28"/>
      <c r="W44" s="28"/>
      <c r="X44" s="28"/>
      <c r="Y44" s="28"/>
      <c r="Z44" s="28"/>
    </row>
    <row r="45">
      <c r="A45" s="1044" t="s">
        <v>1986</v>
      </c>
      <c r="B45" s="1045" t="s">
        <v>1996</v>
      </c>
      <c r="C45" s="1041" t="s">
        <v>1997</v>
      </c>
      <c r="D45" s="1045"/>
      <c r="E45" s="1041"/>
      <c r="F45" s="1041"/>
      <c r="G45" s="28"/>
      <c r="H45" s="28"/>
      <c r="I45" s="28"/>
      <c r="J45" s="28"/>
      <c r="K45" s="28"/>
      <c r="L45" s="28"/>
      <c r="M45" s="28"/>
      <c r="N45" s="28"/>
      <c r="O45" s="28"/>
      <c r="P45" s="28"/>
      <c r="Q45" s="28"/>
      <c r="R45" s="28"/>
      <c r="S45" s="28"/>
      <c r="T45" s="28"/>
      <c r="U45" s="28"/>
      <c r="V45" s="28"/>
      <c r="W45" s="28"/>
      <c r="X45" s="28"/>
      <c r="Y45" s="28"/>
      <c r="Z45" s="28"/>
    </row>
    <row r="46">
      <c r="A46" s="1044" t="s">
        <v>1986</v>
      </c>
      <c r="B46" s="1045" t="s">
        <v>1996</v>
      </c>
      <c r="C46" s="1041" t="s">
        <v>1998</v>
      </c>
      <c r="D46" s="1045"/>
      <c r="E46" s="1041"/>
      <c r="F46" s="1041"/>
      <c r="G46" s="28"/>
      <c r="H46" s="28"/>
      <c r="I46" s="28"/>
      <c r="J46" s="28"/>
      <c r="K46" s="28"/>
      <c r="L46" s="28"/>
      <c r="M46" s="28"/>
      <c r="N46" s="28"/>
      <c r="O46" s="28"/>
      <c r="P46" s="28"/>
      <c r="Q46" s="28"/>
      <c r="R46" s="28"/>
      <c r="S46" s="28"/>
      <c r="T46" s="28"/>
      <c r="U46" s="28"/>
      <c r="V46" s="28"/>
      <c r="W46" s="28"/>
      <c r="X46" s="28"/>
      <c r="Y46" s="28"/>
      <c r="Z46" s="28"/>
    </row>
    <row r="47">
      <c r="A47" s="1044" t="s">
        <v>1986</v>
      </c>
      <c r="B47" s="1045" t="s">
        <v>1996</v>
      </c>
      <c r="C47" s="1041" t="s">
        <v>1999</v>
      </c>
      <c r="D47" s="1045"/>
      <c r="E47" s="1041"/>
      <c r="F47" s="1041"/>
      <c r="G47" s="28"/>
      <c r="H47" s="28"/>
      <c r="I47" s="28"/>
      <c r="J47" s="28"/>
      <c r="K47" s="28"/>
      <c r="L47" s="28"/>
      <c r="M47" s="28"/>
      <c r="N47" s="28"/>
      <c r="O47" s="28"/>
      <c r="P47" s="28"/>
      <c r="Q47" s="28"/>
      <c r="R47" s="28"/>
      <c r="S47" s="28"/>
      <c r="T47" s="28"/>
      <c r="U47" s="28"/>
      <c r="V47" s="28"/>
      <c r="W47" s="28"/>
      <c r="X47" s="28"/>
      <c r="Y47" s="28"/>
      <c r="Z47" s="28"/>
    </row>
    <row r="48">
      <c r="A48" s="1044" t="s">
        <v>1986</v>
      </c>
      <c r="B48" s="1045" t="s">
        <v>1996</v>
      </c>
      <c r="C48" s="1041" t="s">
        <v>2000</v>
      </c>
      <c r="D48" s="1045"/>
      <c r="E48" s="1041"/>
      <c r="F48" s="1041"/>
      <c r="G48" s="28"/>
      <c r="H48" s="28"/>
      <c r="I48" s="28"/>
      <c r="J48" s="28"/>
      <c r="K48" s="28"/>
      <c r="L48" s="28"/>
      <c r="M48" s="28"/>
      <c r="N48" s="28"/>
      <c r="O48" s="28"/>
      <c r="P48" s="28"/>
      <c r="Q48" s="28"/>
      <c r="R48" s="28"/>
      <c r="S48" s="28"/>
      <c r="T48" s="28"/>
      <c r="U48" s="28"/>
      <c r="V48" s="28"/>
      <c r="W48" s="28"/>
      <c r="X48" s="28"/>
      <c r="Y48" s="28"/>
      <c r="Z48" s="28"/>
    </row>
    <row r="49">
      <c r="A49" s="1044" t="s">
        <v>1986</v>
      </c>
      <c r="B49" s="1045" t="s">
        <v>1996</v>
      </c>
      <c r="C49" s="1041" t="s">
        <v>2001</v>
      </c>
      <c r="D49" s="1045"/>
      <c r="E49" s="1041"/>
      <c r="F49" s="1041"/>
      <c r="G49" s="28"/>
      <c r="H49" s="28"/>
      <c r="I49" s="28"/>
      <c r="J49" s="28"/>
      <c r="K49" s="28"/>
      <c r="L49" s="28"/>
      <c r="M49" s="28"/>
      <c r="N49" s="28"/>
      <c r="O49" s="28"/>
      <c r="P49" s="28"/>
      <c r="Q49" s="28"/>
      <c r="R49" s="28"/>
      <c r="S49" s="28"/>
      <c r="T49" s="28"/>
      <c r="U49" s="28"/>
      <c r="V49" s="28"/>
      <c r="W49" s="28"/>
      <c r="X49" s="28"/>
      <c r="Y49" s="28"/>
      <c r="Z49" s="28"/>
    </row>
    <row r="50">
      <c r="A50" s="1044" t="s">
        <v>1986</v>
      </c>
      <c r="B50" s="1045" t="s">
        <v>1996</v>
      </c>
      <c r="C50" s="1041" t="s">
        <v>2002</v>
      </c>
      <c r="D50" s="1045"/>
      <c r="E50" s="1041"/>
      <c r="F50" s="1041"/>
      <c r="G50" s="28"/>
      <c r="H50" s="28"/>
      <c r="I50" s="28"/>
      <c r="J50" s="28"/>
      <c r="K50" s="28"/>
      <c r="L50" s="28"/>
      <c r="M50" s="28"/>
      <c r="N50" s="28"/>
      <c r="O50" s="28"/>
      <c r="P50" s="28"/>
      <c r="Q50" s="28"/>
      <c r="R50" s="28"/>
      <c r="S50" s="28"/>
      <c r="T50" s="28"/>
      <c r="U50" s="28"/>
      <c r="V50" s="28"/>
      <c r="W50" s="28"/>
      <c r="X50" s="28"/>
      <c r="Y50" s="28"/>
      <c r="Z50" s="28"/>
    </row>
    <row r="51">
      <c r="A51" s="1048" t="s">
        <v>1986</v>
      </c>
      <c r="B51" s="1049" t="s">
        <v>1996</v>
      </c>
      <c r="C51" s="1051" t="s">
        <v>2003</v>
      </c>
      <c r="D51" s="1049"/>
      <c r="E51" s="1051"/>
      <c r="F51" s="1051"/>
      <c r="G51" s="28"/>
      <c r="H51" s="28"/>
      <c r="I51" s="28"/>
      <c r="J51" s="28"/>
      <c r="K51" s="28"/>
      <c r="L51" s="28"/>
      <c r="M51" s="28"/>
      <c r="N51" s="28"/>
      <c r="O51" s="28"/>
      <c r="P51" s="28"/>
      <c r="Q51" s="28"/>
      <c r="R51" s="28"/>
      <c r="S51" s="28"/>
      <c r="T51" s="28"/>
      <c r="U51" s="28"/>
      <c r="V51" s="28"/>
      <c r="W51" s="28"/>
      <c r="X51" s="28"/>
      <c r="Y51" s="28"/>
      <c r="Z51" s="28"/>
    </row>
    <row r="52">
      <c r="A52" s="1044" t="s">
        <v>2004</v>
      </c>
      <c r="B52" s="1045"/>
      <c r="C52" s="1046" t="s">
        <v>1947</v>
      </c>
      <c r="D52" s="1045"/>
      <c r="E52" s="1041"/>
      <c r="F52" s="1041"/>
      <c r="G52" s="28"/>
      <c r="H52" s="28"/>
      <c r="I52" s="28"/>
      <c r="J52" s="28"/>
      <c r="K52" s="28"/>
      <c r="L52" s="28"/>
      <c r="M52" s="28"/>
      <c r="N52" s="28"/>
      <c r="O52" s="28"/>
      <c r="P52" s="28"/>
      <c r="Q52" s="28"/>
      <c r="R52" s="28"/>
      <c r="S52" s="28"/>
      <c r="T52" s="28"/>
      <c r="U52" s="28"/>
      <c r="V52" s="28"/>
      <c r="W52" s="28"/>
      <c r="X52" s="28"/>
      <c r="Y52" s="28"/>
      <c r="Z52" s="28"/>
    </row>
    <row r="53">
      <c r="A53" s="1044" t="s">
        <v>2004</v>
      </c>
      <c r="B53" s="1045"/>
      <c r="C53" s="1046" t="s">
        <v>1948</v>
      </c>
      <c r="D53" s="1045"/>
      <c r="E53" s="1041"/>
      <c r="F53" s="1041"/>
      <c r="G53" s="28"/>
      <c r="H53" s="28"/>
      <c r="I53" s="28"/>
      <c r="J53" s="28"/>
      <c r="K53" s="28"/>
      <c r="L53" s="28"/>
      <c r="M53" s="28"/>
      <c r="N53" s="28"/>
      <c r="O53" s="28"/>
      <c r="P53" s="28"/>
      <c r="Q53" s="28"/>
      <c r="R53" s="28"/>
      <c r="S53" s="28"/>
      <c r="T53" s="28"/>
      <c r="U53" s="28"/>
      <c r="V53" s="28"/>
      <c r="W53" s="28"/>
      <c r="X53" s="28"/>
      <c r="Y53" s="28"/>
      <c r="Z53" s="28"/>
    </row>
    <row r="54">
      <c r="A54" s="1044" t="s">
        <v>2004</v>
      </c>
      <c r="B54" s="1045" t="s">
        <v>2005</v>
      </c>
      <c r="C54" s="1041" t="s">
        <v>2006</v>
      </c>
      <c r="D54" s="1045"/>
      <c r="E54" s="1041"/>
      <c r="F54" s="1041"/>
      <c r="G54" s="28"/>
      <c r="H54" s="28"/>
      <c r="I54" s="28"/>
      <c r="J54" s="28"/>
      <c r="K54" s="28"/>
      <c r="L54" s="28"/>
      <c r="M54" s="28"/>
      <c r="N54" s="28"/>
      <c r="O54" s="28"/>
      <c r="P54" s="28"/>
      <c r="Q54" s="28"/>
      <c r="R54" s="28"/>
      <c r="S54" s="28"/>
      <c r="T54" s="28"/>
      <c r="U54" s="28"/>
      <c r="V54" s="28"/>
      <c r="W54" s="28"/>
      <c r="X54" s="28"/>
      <c r="Y54" s="28"/>
      <c r="Z54" s="28"/>
    </row>
    <row r="55">
      <c r="A55" s="1044" t="s">
        <v>2004</v>
      </c>
      <c r="B55" s="1045" t="s">
        <v>2005</v>
      </c>
      <c r="C55" s="1041" t="s">
        <v>2007</v>
      </c>
      <c r="D55" s="1045"/>
      <c r="E55" s="1041"/>
      <c r="F55" s="1041"/>
      <c r="G55" s="28"/>
      <c r="H55" s="28"/>
      <c r="I55" s="28"/>
      <c r="J55" s="28"/>
      <c r="K55" s="28"/>
      <c r="L55" s="28"/>
      <c r="M55" s="28"/>
      <c r="N55" s="28"/>
      <c r="O55" s="28"/>
      <c r="P55" s="28"/>
      <c r="Q55" s="28"/>
      <c r="R55" s="28"/>
      <c r="S55" s="28"/>
      <c r="T55" s="28"/>
      <c r="U55" s="28"/>
      <c r="V55" s="28"/>
      <c r="W55" s="28"/>
      <c r="X55" s="28"/>
      <c r="Y55" s="28"/>
      <c r="Z55" s="28"/>
    </row>
    <row r="56">
      <c r="A56" s="1044" t="s">
        <v>2004</v>
      </c>
      <c r="B56" s="1045" t="s">
        <v>2005</v>
      </c>
      <c r="C56" s="1041" t="s">
        <v>2008</v>
      </c>
      <c r="D56" s="1045"/>
      <c r="E56" s="1041"/>
      <c r="F56" s="1041"/>
      <c r="G56" s="28"/>
      <c r="H56" s="28"/>
      <c r="I56" s="28"/>
      <c r="J56" s="28"/>
      <c r="K56" s="28"/>
      <c r="L56" s="28"/>
      <c r="M56" s="28"/>
      <c r="N56" s="28"/>
      <c r="O56" s="28"/>
      <c r="P56" s="28"/>
      <c r="Q56" s="28"/>
      <c r="R56" s="28"/>
      <c r="S56" s="28"/>
      <c r="T56" s="28"/>
      <c r="U56" s="28"/>
      <c r="V56" s="28"/>
      <c r="W56" s="28"/>
      <c r="X56" s="28"/>
      <c r="Y56" s="28"/>
      <c r="Z56" s="28"/>
    </row>
    <row r="57">
      <c r="A57" s="1044" t="s">
        <v>2004</v>
      </c>
      <c r="B57" s="1045" t="s">
        <v>2005</v>
      </c>
      <c r="C57" s="1041" t="s">
        <v>2009</v>
      </c>
      <c r="D57" s="1045"/>
      <c r="E57" s="1041"/>
      <c r="F57" s="1041"/>
      <c r="G57" s="28"/>
      <c r="H57" s="28"/>
      <c r="I57" s="28"/>
      <c r="J57" s="28"/>
      <c r="K57" s="28"/>
      <c r="L57" s="28"/>
      <c r="M57" s="28"/>
      <c r="N57" s="28"/>
      <c r="O57" s="28"/>
      <c r="P57" s="28"/>
      <c r="Q57" s="28"/>
      <c r="R57" s="28"/>
      <c r="S57" s="28"/>
      <c r="T57" s="28"/>
      <c r="U57" s="28"/>
      <c r="V57" s="28"/>
      <c r="W57" s="28"/>
      <c r="X57" s="28"/>
      <c r="Y57" s="28"/>
      <c r="Z57" s="28"/>
    </row>
    <row r="58">
      <c r="A58" s="1044" t="s">
        <v>2004</v>
      </c>
      <c r="B58" s="1045" t="s">
        <v>2005</v>
      </c>
      <c r="C58" s="1041" t="s">
        <v>2010</v>
      </c>
      <c r="D58" s="1045"/>
      <c r="E58" s="1041"/>
      <c r="F58" s="1041"/>
      <c r="G58" s="28"/>
      <c r="H58" s="28"/>
      <c r="I58" s="28"/>
      <c r="J58" s="28"/>
      <c r="K58" s="28"/>
      <c r="L58" s="28"/>
      <c r="M58" s="28"/>
      <c r="N58" s="28"/>
      <c r="O58" s="28"/>
      <c r="P58" s="28"/>
      <c r="Q58" s="28"/>
      <c r="R58" s="28"/>
      <c r="S58" s="28"/>
      <c r="T58" s="28"/>
      <c r="U58" s="28"/>
      <c r="V58" s="28"/>
      <c r="W58" s="28"/>
      <c r="X58" s="28"/>
      <c r="Y58" s="28"/>
      <c r="Z58" s="28"/>
    </row>
    <row r="59">
      <c r="A59" s="1044" t="s">
        <v>2004</v>
      </c>
      <c r="B59" s="1045" t="s">
        <v>2005</v>
      </c>
      <c r="C59" s="1041" t="s">
        <v>2011</v>
      </c>
      <c r="D59" s="1045"/>
      <c r="E59" s="1041"/>
      <c r="F59" s="1041"/>
      <c r="G59" s="28"/>
      <c r="H59" s="28"/>
      <c r="I59" s="28"/>
      <c r="J59" s="28"/>
      <c r="K59" s="28"/>
      <c r="L59" s="28"/>
      <c r="M59" s="28"/>
      <c r="N59" s="28"/>
      <c r="O59" s="28"/>
      <c r="P59" s="28"/>
      <c r="Q59" s="28"/>
      <c r="R59" s="28"/>
      <c r="S59" s="28"/>
      <c r="T59" s="28"/>
      <c r="U59" s="28"/>
      <c r="V59" s="28"/>
      <c r="W59" s="28"/>
      <c r="X59" s="28"/>
      <c r="Y59" s="28"/>
      <c r="Z59" s="28"/>
    </row>
    <row r="60">
      <c r="A60" s="1044" t="s">
        <v>2004</v>
      </c>
      <c r="B60" s="1045" t="s">
        <v>2005</v>
      </c>
      <c r="C60" s="1041" t="s">
        <v>2012</v>
      </c>
      <c r="D60" s="1045"/>
      <c r="E60" s="1041"/>
      <c r="F60" s="1041"/>
      <c r="G60" s="28"/>
      <c r="H60" s="28"/>
      <c r="I60" s="28"/>
      <c r="J60" s="28"/>
      <c r="K60" s="28"/>
      <c r="L60" s="28"/>
      <c r="M60" s="28"/>
      <c r="N60" s="28"/>
      <c r="O60" s="28"/>
      <c r="P60" s="28"/>
      <c r="Q60" s="28"/>
      <c r="R60" s="28"/>
      <c r="S60" s="28"/>
      <c r="T60" s="28"/>
      <c r="U60" s="28"/>
      <c r="V60" s="28"/>
      <c r="W60" s="28"/>
      <c r="X60" s="28"/>
      <c r="Y60" s="28"/>
      <c r="Z60" s="28"/>
    </row>
    <row r="61">
      <c r="A61" s="1044" t="s">
        <v>2004</v>
      </c>
      <c r="B61" s="1045" t="s">
        <v>2013</v>
      </c>
      <c r="C61" s="1041" t="s">
        <v>2014</v>
      </c>
      <c r="D61" s="1045"/>
      <c r="E61" s="1041"/>
      <c r="F61" s="1041"/>
      <c r="G61" s="28"/>
      <c r="H61" s="28"/>
      <c r="I61" s="28"/>
      <c r="J61" s="28"/>
      <c r="K61" s="28"/>
      <c r="L61" s="28"/>
      <c r="M61" s="28"/>
      <c r="N61" s="28"/>
      <c r="O61" s="28"/>
      <c r="P61" s="28"/>
      <c r="Q61" s="28"/>
      <c r="R61" s="28"/>
      <c r="S61" s="28"/>
      <c r="T61" s="28"/>
      <c r="U61" s="28"/>
      <c r="V61" s="28"/>
      <c r="W61" s="28"/>
      <c r="X61" s="28"/>
      <c r="Y61" s="28"/>
      <c r="Z61" s="28"/>
    </row>
    <row r="62">
      <c r="A62" s="1044" t="s">
        <v>2004</v>
      </c>
      <c r="B62" s="1045" t="s">
        <v>2013</v>
      </c>
      <c r="C62" s="1041" t="s">
        <v>2015</v>
      </c>
      <c r="D62" s="1045"/>
      <c r="E62" s="1041"/>
      <c r="F62" s="1041"/>
      <c r="G62" s="28"/>
      <c r="H62" s="28"/>
      <c r="I62" s="28"/>
      <c r="J62" s="28"/>
      <c r="K62" s="28"/>
      <c r="L62" s="28"/>
      <c r="M62" s="28"/>
      <c r="N62" s="28"/>
      <c r="O62" s="28"/>
      <c r="P62" s="28"/>
      <c r="Q62" s="28"/>
      <c r="R62" s="28"/>
      <c r="S62" s="28"/>
      <c r="T62" s="28"/>
      <c r="U62" s="28"/>
      <c r="V62" s="28"/>
      <c r="W62" s="28"/>
      <c r="X62" s="28"/>
      <c r="Y62" s="28"/>
      <c r="Z62" s="28"/>
    </row>
    <row r="63">
      <c r="A63" s="1044" t="s">
        <v>2004</v>
      </c>
      <c r="B63" s="1045" t="s">
        <v>2013</v>
      </c>
      <c r="C63" s="1041" t="s">
        <v>2016</v>
      </c>
      <c r="D63" s="1045"/>
      <c r="E63" s="1041"/>
      <c r="F63" s="1041"/>
      <c r="G63" s="28"/>
      <c r="H63" s="28"/>
      <c r="I63" s="28"/>
      <c r="J63" s="28"/>
      <c r="K63" s="28"/>
      <c r="L63" s="28"/>
      <c r="M63" s="28"/>
      <c r="N63" s="28"/>
      <c r="O63" s="28"/>
      <c r="P63" s="28"/>
      <c r="Q63" s="28"/>
      <c r="R63" s="28"/>
      <c r="S63" s="28"/>
      <c r="T63" s="28"/>
      <c r="U63" s="28"/>
      <c r="V63" s="28"/>
      <c r="W63" s="28"/>
      <c r="X63" s="28"/>
      <c r="Y63" s="28"/>
      <c r="Z63" s="28"/>
    </row>
    <row r="64">
      <c r="A64" s="1044" t="s">
        <v>2004</v>
      </c>
      <c r="B64" s="1045" t="s">
        <v>2013</v>
      </c>
      <c r="C64" s="1041" t="s">
        <v>2017</v>
      </c>
      <c r="D64" s="1045"/>
      <c r="E64" s="1041"/>
      <c r="F64" s="1041"/>
      <c r="G64" s="28"/>
      <c r="H64" s="28"/>
      <c r="I64" s="28"/>
      <c r="J64" s="28"/>
      <c r="K64" s="28"/>
      <c r="L64" s="28"/>
      <c r="M64" s="28"/>
      <c r="N64" s="28"/>
      <c r="O64" s="28"/>
      <c r="P64" s="28"/>
      <c r="Q64" s="28"/>
      <c r="R64" s="28"/>
      <c r="S64" s="28"/>
      <c r="T64" s="28"/>
      <c r="U64" s="28"/>
      <c r="V64" s="28"/>
      <c r="W64" s="28"/>
      <c r="X64" s="28"/>
      <c r="Y64" s="28"/>
      <c r="Z64" s="28"/>
    </row>
    <row r="65">
      <c r="A65" s="1044" t="s">
        <v>2004</v>
      </c>
      <c r="B65" s="1045" t="s">
        <v>2018</v>
      </c>
      <c r="C65" s="1041" t="s">
        <v>2019</v>
      </c>
      <c r="D65" s="1045"/>
      <c r="E65" s="1041"/>
      <c r="F65" s="1041"/>
      <c r="G65" s="28"/>
      <c r="H65" s="28"/>
      <c r="I65" s="28"/>
      <c r="J65" s="28"/>
      <c r="K65" s="28"/>
      <c r="L65" s="28"/>
      <c r="M65" s="28"/>
      <c r="N65" s="28"/>
      <c r="O65" s="28"/>
      <c r="P65" s="28"/>
      <c r="Q65" s="28"/>
      <c r="R65" s="28"/>
      <c r="S65" s="28"/>
      <c r="T65" s="28"/>
      <c r="U65" s="28"/>
      <c r="V65" s="28"/>
      <c r="W65" s="28"/>
      <c r="X65" s="28"/>
      <c r="Y65" s="28"/>
      <c r="Z65" s="28"/>
    </row>
    <row r="66">
      <c r="A66" s="1044" t="s">
        <v>2004</v>
      </c>
      <c r="B66" s="1045" t="s">
        <v>2018</v>
      </c>
      <c r="C66" s="1041" t="s">
        <v>2020</v>
      </c>
      <c r="D66" s="1045"/>
      <c r="E66" s="1041"/>
      <c r="F66" s="1041"/>
      <c r="G66" s="28"/>
      <c r="H66" s="28"/>
      <c r="I66" s="28"/>
      <c r="J66" s="28"/>
      <c r="K66" s="28"/>
      <c r="L66" s="28"/>
      <c r="M66" s="28"/>
      <c r="N66" s="28"/>
      <c r="O66" s="28"/>
      <c r="P66" s="28"/>
      <c r="Q66" s="28"/>
      <c r="R66" s="28"/>
      <c r="S66" s="28"/>
      <c r="T66" s="28"/>
      <c r="U66" s="28"/>
      <c r="V66" s="28"/>
      <c r="W66" s="28"/>
      <c r="X66" s="28"/>
      <c r="Y66" s="28"/>
      <c r="Z66" s="28"/>
    </row>
    <row r="67">
      <c r="A67" s="1044" t="s">
        <v>2004</v>
      </c>
      <c r="B67" s="1045" t="s">
        <v>2018</v>
      </c>
      <c r="C67" s="1041" t="s">
        <v>2021</v>
      </c>
      <c r="D67" s="1045"/>
      <c r="E67" s="1041"/>
      <c r="F67" s="1041"/>
      <c r="G67" s="28"/>
      <c r="H67" s="28"/>
      <c r="I67" s="28"/>
      <c r="J67" s="28"/>
      <c r="K67" s="28"/>
      <c r="L67" s="28"/>
      <c r="M67" s="28"/>
      <c r="N67" s="28"/>
      <c r="O67" s="28"/>
      <c r="P67" s="28"/>
      <c r="Q67" s="28"/>
      <c r="R67" s="28"/>
      <c r="S67" s="28"/>
      <c r="T67" s="28"/>
      <c r="U67" s="28"/>
      <c r="V67" s="28"/>
      <c r="W67" s="28"/>
      <c r="X67" s="28"/>
      <c r="Y67" s="28"/>
      <c r="Z67" s="28"/>
    </row>
    <row r="68">
      <c r="A68" s="1044" t="s">
        <v>2004</v>
      </c>
      <c r="B68" s="1045" t="s">
        <v>2018</v>
      </c>
      <c r="C68" s="1041" t="s">
        <v>2022</v>
      </c>
      <c r="D68" s="1045"/>
      <c r="E68" s="1041"/>
      <c r="F68" s="1041"/>
      <c r="G68" s="28"/>
      <c r="H68" s="28"/>
      <c r="I68" s="28"/>
      <c r="J68" s="28"/>
      <c r="K68" s="28"/>
      <c r="L68" s="28"/>
      <c r="M68" s="28"/>
      <c r="N68" s="28"/>
      <c r="O68" s="28"/>
      <c r="P68" s="28"/>
      <c r="Q68" s="28"/>
      <c r="R68" s="28"/>
      <c r="S68" s="28"/>
      <c r="T68" s="28"/>
      <c r="U68" s="28"/>
      <c r="V68" s="28"/>
      <c r="W68" s="28"/>
      <c r="X68" s="28"/>
      <c r="Y68" s="28"/>
      <c r="Z68" s="28"/>
    </row>
    <row r="69">
      <c r="A69" s="1044" t="s">
        <v>2004</v>
      </c>
      <c r="B69" s="1045" t="s">
        <v>2018</v>
      </c>
      <c r="C69" s="1041" t="s">
        <v>2023</v>
      </c>
      <c r="D69" s="1045"/>
      <c r="E69" s="1041"/>
      <c r="F69" s="1041"/>
      <c r="G69" s="28"/>
      <c r="H69" s="28"/>
      <c r="I69" s="28"/>
      <c r="J69" s="28"/>
      <c r="K69" s="28"/>
      <c r="L69" s="28"/>
      <c r="M69" s="28"/>
      <c r="N69" s="28"/>
      <c r="O69" s="28"/>
      <c r="P69" s="28"/>
      <c r="Q69" s="28"/>
      <c r="R69" s="28"/>
      <c r="S69" s="28"/>
      <c r="T69" s="28"/>
      <c r="U69" s="28"/>
      <c r="V69" s="28"/>
      <c r="W69" s="28"/>
      <c r="X69" s="28"/>
      <c r="Y69" s="28"/>
      <c r="Z69" s="28"/>
    </row>
    <row r="70">
      <c r="A70" s="1044" t="s">
        <v>2004</v>
      </c>
      <c r="B70" s="1045" t="s">
        <v>2018</v>
      </c>
      <c r="C70" s="1041" t="s">
        <v>2024</v>
      </c>
      <c r="D70" s="1045"/>
      <c r="E70" s="1041"/>
      <c r="F70" s="1041"/>
      <c r="G70" s="28"/>
      <c r="H70" s="28"/>
      <c r="I70" s="28"/>
      <c r="J70" s="28"/>
      <c r="K70" s="28"/>
      <c r="L70" s="28"/>
      <c r="M70" s="28"/>
      <c r="N70" s="28"/>
      <c r="O70" s="28"/>
      <c r="P70" s="28"/>
      <c r="Q70" s="28"/>
      <c r="R70" s="28"/>
      <c r="S70" s="28"/>
      <c r="T70" s="28"/>
      <c r="U70" s="28"/>
      <c r="V70" s="28"/>
      <c r="W70" s="28"/>
      <c r="X70" s="28"/>
      <c r="Y70" s="28"/>
      <c r="Z70" s="28"/>
    </row>
    <row r="71">
      <c r="A71" s="1044" t="s">
        <v>2004</v>
      </c>
      <c r="B71" s="1045" t="s">
        <v>2018</v>
      </c>
      <c r="C71" s="1041" t="s">
        <v>2025</v>
      </c>
      <c r="D71" s="1045"/>
      <c r="E71" s="1041"/>
      <c r="F71" s="1041"/>
      <c r="G71" s="28"/>
      <c r="H71" s="28"/>
      <c r="I71" s="28"/>
      <c r="J71" s="28"/>
      <c r="K71" s="28"/>
      <c r="L71" s="28"/>
      <c r="M71" s="28"/>
      <c r="N71" s="28"/>
      <c r="O71" s="28"/>
      <c r="P71" s="28"/>
      <c r="Q71" s="28"/>
      <c r="R71" s="28"/>
      <c r="S71" s="28"/>
      <c r="T71" s="28"/>
      <c r="U71" s="28"/>
      <c r="V71" s="28"/>
      <c r="W71" s="28"/>
      <c r="X71" s="28"/>
      <c r="Y71" s="28"/>
      <c r="Z71" s="28"/>
    </row>
    <row r="72">
      <c r="A72" s="1044" t="s">
        <v>2004</v>
      </c>
      <c r="B72" s="1045" t="s">
        <v>2018</v>
      </c>
      <c r="C72" s="1041" t="s">
        <v>2026</v>
      </c>
      <c r="D72" s="1045"/>
      <c r="E72" s="1041"/>
      <c r="F72" s="1041"/>
      <c r="G72" s="28"/>
      <c r="H72" s="28"/>
      <c r="I72" s="28"/>
      <c r="J72" s="28"/>
      <c r="K72" s="28"/>
      <c r="L72" s="28"/>
      <c r="M72" s="28"/>
      <c r="N72" s="28"/>
      <c r="O72" s="28"/>
      <c r="P72" s="28"/>
      <c r="Q72" s="28"/>
      <c r="R72" s="28"/>
      <c r="S72" s="28"/>
      <c r="T72" s="28"/>
      <c r="U72" s="28"/>
      <c r="V72" s="28"/>
      <c r="W72" s="28"/>
      <c r="X72" s="28"/>
      <c r="Y72" s="28"/>
      <c r="Z72" s="28"/>
    </row>
    <row r="73">
      <c r="A73" s="1044" t="s">
        <v>2004</v>
      </c>
      <c r="B73" s="1045" t="s">
        <v>2018</v>
      </c>
      <c r="C73" s="1047" t="s">
        <v>2027</v>
      </c>
      <c r="D73" s="1045"/>
      <c r="E73" s="1041"/>
      <c r="F73" s="1041"/>
      <c r="G73" s="28"/>
      <c r="H73" s="28"/>
      <c r="I73" s="28"/>
      <c r="J73" s="28"/>
      <c r="K73" s="28"/>
      <c r="L73" s="28"/>
      <c r="M73" s="28"/>
      <c r="N73" s="28"/>
      <c r="O73" s="28"/>
      <c r="P73" s="28"/>
      <c r="Q73" s="28"/>
      <c r="R73" s="28"/>
      <c r="S73" s="28"/>
      <c r="T73" s="28"/>
      <c r="U73" s="28"/>
      <c r="V73" s="28"/>
      <c r="W73" s="28"/>
      <c r="X73" s="28"/>
      <c r="Y73" s="28"/>
      <c r="Z73" s="28"/>
    </row>
    <row r="74">
      <c r="A74" s="1044" t="s">
        <v>2004</v>
      </c>
      <c r="B74" s="1045" t="s">
        <v>2018</v>
      </c>
      <c r="C74" s="1041" t="s">
        <v>2028</v>
      </c>
      <c r="D74" s="1045"/>
      <c r="E74" s="1041"/>
      <c r="F74" s="1041"/>
      <c r="G74" s="28"/>
      <c r="H74" s="28"/>
      <c r="I74" s="28"/>
      <c r="J74" s="28"/>
      <c r="K74" s="28"/>
      <c r="L74" s="28"/>
      <c r="M74" s="28"/>
      <c r="N74" s="28"/>
      <c r="O74" s="28"/>
      <c r="P74" s="28"/>
      <c r="Q74" s="28"/>
      <c r="R74" s="28"/>
      <c r="S74" s="28"/>
      <c r="T74" s="28"/>
      <c r="U74" s="28"/>
      <c r="V74" s="28"/>
      <c r="W74" s="28"/>
      <c r="X74" s="28"/>
      <c r="Y74" s="28"/>
      <c r="Z74" s="28"/>
    </row>
    <row r="75">
      <c r="A75" s="1044" t="s">
        <v>2004</v>
      </c>
      <c r="B75" s="1045" t="s">
        <v>2018</v>
      </c>
      <c r="C75" s="1041" t="s">
        <v>2029</v>
      </c>
      <c r="D75" s="1045"/>
      <c r="E75" s="1041"/>
      <c r="F75" s="1041"/>
      <c r="G75" s="28"/>
      <c r="H75" s="28"/>
      <c r="I75" s="28"/>
      <c r="J75" s="28"/>
      <c r="K75" s="28"/>
      <c r="L75" s="28"/>
      <c r="M75" s="28"/>
      <c r="N75" s="28"/>
      <c r="O75" s="28"/>
      <c r="P75" s="28"/>
      <c r="Q75" s="28"/>
      <c r="R75" s="28"/>
      <c r="S75" s="28"/>
      <c r="T75" s="28"/>
      <c r="U75" s="28"/>
      <c r="V75" s="28"/>
      <c r="W75" s="28"/>
      <c r="X75" s="28"/>
      <c r="Y75" s="28"/>
      <c r="Z75" s="28"/>
    </row>
    <row r="76">
      <c r="A76" s="1044" t="s">
        <v>2004</v>
      </c>
      <c r="B76" s="1045" t="s">
        <v>2030</v>
      </c>
      <c r="C76" s="1041" t="s">
        <v>2031</v>
      </c>
      <c r="D76" s="1045"/>
      <c r="E76" s="1041"/>
      <c r="F76" s="1041"/>
      <c r="G76" s="28"/>
      <c r="H76" s="28"/>
      <c r="I76" s="28"/>
      <c r="J76" s="28"/>
      <c r="K76" s="28"/>
      <c r="L76" s="28"/>
      <c r="M76" s="28"/>
      <c r="N76" s="28"/>
      <c r="O76" s="28"/>
      <c r="P76" s="28"/>
      <c r="Q76" s="28"/>
      <c r="R76" s="28"/>
      <c r="S76" s="28"/>
      <c r="T76" s="28"/>
      <c r="U76" s="28"/>
      <c r="V76" s="28"/>
      <c r="W76" s="28"/>
      <c r="X76" s="28"/>
      <c r="Y76" s="28"/>
      <c r="Z76" s="28"/>
    </row>
    <row r="77">
      <c r="A77" s="1044" t="s">
        <v>2004</v>
      </c>
      <c r="B77" s="1045" t="s">
        <v>2030</v>
      </c>
      <c r="C77" s="1047" t="s">
        <v>2032</v>
      </c>
      <c r="D77" s="1045"/>
      <c r="E77" s="1041"/>
      <c r="F77" s="1041"/>
      <c r="G77" s="28"/>
      <c r="H77" s="28"/>
      <c r="I77" s="28"/>
      <c r="J77" s="28"/>
      <c r="K77" s="28"/>
      <c r="L77" s="28"/>
      <c r="M77" s="28"/>
      <c r="N77" s="28"/>
      <c r="O77" s="28"/>
      <c r="P77" s="28"/>
      <c r="Q77" s="28"/>
      <c r="R77" s="28"/>
      <c r="S77" s="28"/>
      <c r="T77" s="28"/>
      <c r="U77" s="28"/>
      <c r="V77" s="28"/>
      <c r="W77" s="28"/>
      <c r="X77" s="28"/>
      <c r="Y77" s="28"/>
      <c r="Z77" s="28"/>
    </row>
    <row r="78">
      <c r="A78" s="1044" t="s">
        <v>2004</v>
      </c>
      <c r="B78" s="1045" t="s">
        <v>2030</v>
      </c>
      <c r="C78" s="1041" t="s">
        <v>2033</v>
      </c>
      <c r="D78" s="1045"/>
      <c r="E78" s="1041"/>
      <c r="F78" s="1041"/>
      <c r="G78" s="28"/>
      <c r="H78" s="28"/>
      <c r="I78" s="28"/>
      <c r="J78" s="28"/>
      <c r="K78" s="28"/>
      <c r="L78" s="28"/>
      <c r="M78" s="28"/>
      <c r="N78" s="28"/>
      <c r="O78" s="28"/>
      <c r="P78" s="28"/>
      <c r="Q78" s="28"/>
      <c r="R78" s="28"/>
      <c r="S78" s="28"/>
      <c r="T78" s="28"/>
      <c r="U78" s="28"/>
      <c r="V78" s="28"/>
      <c r="W78" s="28"/>
      <c r="X78" s="28"/>
      <c r="Y78" s="28"/>
      <c r="Z78" s="28"/>
    </row>
    <row r="79">
      <c r="A79" s="1044" t="s">
        <v>2004</v>
      </c>
      <c r="B79" s="1045" t="s">
        <v>2030</v>
      </c>
      <c r="C79" s="1041" t="s">
        <v>2034</v>
      </c>
      <c r="D79" s="1045"/>
      <c r="E79" s="1041"/>
      <c r="F79" s="1041"/>
      <c r="G79" s="28"/>
      <c r="H79" s="28"/>
      <c r="I79" s="28"/>
      <c r="J79" s="28"/>
      <c r="K79" s="28"/>
      <c r="L79" s="28"/>
      <c r="M79" s="28"/>
      <c r="N79" s="28"/>
      <c r="O79" s="28"/>
      <c r="P79" s="28"/>
      <c r="Q79" s="28"/>
      <c r="R79" s="28"/>
      <c r="S79" s="28"/>
      <c r="T79" s="28"/>
      <c r="U79" s="28"/>
      <c r="V79" s="28"/>
      <c r="W79" s="28"/>
      <c r="X79" s="28"/>
      <c r="Y79" s="28"/>
      <c r="Z79" s="28"/>
    </row>
    <row r="80">
      <c r="A80" s="1044" t="s">
        <v>2004</v>
      </c>
      <c r="B80" s="1045" t="s">
        <v>2030</v>
      </c>
      <c r="C80" s="1041" t="s">
        <v>2035</v>
      </c>
      <c r="D80" s="1045"/>
      <c r="E80" s="1041"/>
      <c r="F80" s="1041"/>
      <c r="G80" s="28"/>
      <c r="H80" s="28"/>
      <c r="I80" s="28"/>
      <c r="J80" s="28"/>
      <c r="K80" s="28"/>
      <c r="L80" s="28"/>
      <c r="M80" s="28"/>
      <c r="N80" s="28"/>
      <c r="O80" s="28"/>
      <c r="P80" s="28"/>
      <c r="Q80" s="28"/>
      <c r="R80" s="28"/>
      <c r="S80" s="28"/>
      <c r="T80" s="28"/>
      <c r="U80" s="28"/>
      <c r="V80" s="28"/>
      <c r="W80" s="28"/>
      <c r="X80" s="28"/>
      <c r="Y80" s="28"/>
      <c r="Z80" s="28"/>
    </row>
    <row r="81">
      <c r="A81" s="1044" t="s">
        <v>2004</v>
      </c>
      <c r="B81" s="1045" t="s">
        <v>2030</v>
      </c>
      <c r="C81" s="1041" t="s">
        <v>2036</v>
      </c>
      <c r="D81" s="1045"/>
      <c r="E81" s="1041"/>
      <c r="F81" s="1041"/>
      <c r="G81" s="28"/>
      <c r="H81" s="28"/>
      <c r="I81" s="28"/>
      <c r="J81" s="28"/>
      <c r="K81" s="28"/>
      <c r="L81" s="28"/>
      <c r="M81" s="28"/>
      <c r="N81" s="28"/>
      <c r="O81" s="28"/>
      <c r="P81" s="28"/>
      <c r="Q81" s="28"/>
      <c r="R81" s="28"/>
      <c r="S81" s="28"/>
      <c r="T81" s="28"/>
      <c r="U81" s="28"/>
      <c r="V81" s="28"/>
      <c r="W81" s="28"/>
      <c r="X81" s="28"/>
      <c r="Y81" s="28"/>
      <c r="Z81" s="28"/>
    </row>
    <row r="82">
      <c r="A82" s="1044" t="s">
        <v>2004</v>
      </c>
      <c r="B82" s="1045" t="s">
        <v>2030</v>
      </c>
      <c r="C82" s="1047" t="s">
        <v>2037</v>
      </c>
      <c r="D82" s="1045"/>
      <c r="E82" s="1041"/>
      <c r="F82" s="1041"/>
      <c r="G82" s="28"/>
      <c r="H82" s="28"/>
      <c r="I82" s="28"/>
      <c r="J82" s="28"/>
      <c r="K82" s="28"/>
      <c r="L82" s="28"/>
      <c r="M82" s="28"/>
      <c r="N82" s="28"/>
      <c r="O82" s="28"/>
      <c r="P82" s="28"/>
      <c r="Q82" s="28"/>
      <c r="R82" s="28"/>
      <c r="S82" s="28"/>
      <c r="T82" s="28"/>
      <c r="U82" s="28"/>
      <c r="V82" s="28"/>
      <c r="W82" s="28"/>
      <c r="X82" s="28"/>
      <c r="Y82" s="28"/>
      <c r="Z82" s="28"/>
    </row>
    <row r="83">
      <c r="A83" s="1044" t="s">
        <v>2004</v>
      </c>
      <c r="B83" s="1045" t="s">
        <v>2030</v>
      </c>
      <c r="C83" s="1041" t="s">
        <v>2038</v>
      </c>
      <c r="D83" s="1045"/>
      <c r="E83" s="1041"/>
      <c r="F83" s="1041"/>
      <c r="G83" s="28"/>
      <c r="H83" s="28"/>
      <c r="I83" s="28"/>
      <c r="J83" s="28"/>
      <c r="K83" s="28"/>
      <c r="L83" s="28"/>
      <c r="M83" s="28"/>
      <c r="N83" s="28"/>
      <c r="O83" s="28"/>
      <c r="P83" s="28"/>
      <c r="Q83" s="28"/>
      <c r="R83" s="28"/>
      <c r="S83" s="28"/>
      <c r="T83" s="28"/>
      <c r="U83" s="28"/>
      <c r="V83" s="28"/>
      <c r="W83" s="28"/>
      <c r="X83" s="28"/>
      <c r="Y83" s="28"/>
      <c r="Z83" s="28"/>
    </row>
    <row r="84">
      <c r="A84" s="1044" t="s">
        <v>2004</v>
      </c>
      <c r="B84" s="1045" t="s">
        <v>2030</v>
      </c>
      <c r="C84" s="1041" t="s">
        <v>2039</v>
      </c>
      <c r="D84" s="1045"/>
      <c r="E84" s="1041"/>
      <c r="F84" s="1041"/>
      <c r="G84" s="28"/>
      <c r="H84" s="28"/>
      <c r="I84" s="28"/>
      <c r="J84" s="28"/>
      <c r="K84" s="28"/>
      <c r="L84" s="28"/>
      <c r="M84" s="28"/>
      <c r="N84" s="28"/>
      <c r="O84" s="28"/>
      <c r="P84" s="28"/>
      <c r="Q84" s="28"/>
      <c r="R84" s="28"/>
      <c r="S84" s="28"/>
      <c r="T84" s="28"/>
      <c r="U84" s="28"/>
      <c r="V84" s="28"/>
      <c r="W84" s="28"/>
      <c r="X84" s="28"/>
      <c r="Y84" s="28"/>
      <c r="Z84" s="28"/>
    </row>
    <row r="85">
      <c r="A85" s="1044" t="s">
        <v>2004</v>
      </c>
      <c r="B85" s="1045" t="s">
        <v>2040</v>
      </c>
      <c r="C85" s="1041" t="s">
        <v>2041</v>
      </c>
      <c r="D85" s="1045"/>
      <c r="E85" s="1041"/>
      <c r="F85" s="1041"/>
      <c r="G85" s="28"/>
      <c r="H85" s="28"/>
      <c r="I85" s="28"/>
      <c r="J85" s="28"/>
      <c r="K85" s="28"/>
      <c r="L85" s="28"/>
      <c r="M85" s="28"/>
      <c r="N85" s="28"/>
      <c r="O85" s="28"/>
      <c r="P85" s="28"/>
      <c r="Q85" s="28"/>
      <c r="R85" s="28"/>
      <c r="S85" s="28"/>
      <c r="T85" s="28"/>
      <c r="U85" s="28"/>
      <c r="V85" s="28"/>
      <c r="W85" s="28"/>
      <c r="X85" s="28"/>
      <c r="Y85" s="28"/>
      <c r="Z85" s="28"/>
    </row>
    <row r="86">
      <c r="A86" s="1044" t="s">
        <v>2004</v>
      </c>
      <c r="B86" s="1045" t="s">
        <v>2040</v>
      </c>
      <c r="C86" s="1041" t="s">
        <v>2042</v>
      </c>
      <c r="D86" s="1045"/>
      <c r="E86" s="1041"/>
      <c r="F86" s="1041"/>
      <c r="G86" s="28"/>
      <c r="H86" s="28"/>
      <c r="I86" s="28"/>
      <c r="J86" s="28"/>
      <c r="K86" s="28"/>
      <c r="L86" s="28"/>
      <c r="M86" s="28"/>
      <c r="N86" s="28"/>
      <c r="O86" s="28"/>
      <c r="P86" s="28"/>
      <c r="Q86" s="28"/>
      <c r="R86" s="28"/>
      <c r="S86" s="28"/>
      <c r="T86" s="28"/>
      <c r="U86" s="28"/>
      <c r="V86" s="28"/>
      <c r="W86" s="28"/>
      <c r="X86" s="28"/>
      <c r="Y86" s="28"/>
      <c r="Z86" s="28"/>
    </row>
    <row r="87">
      <c r="A87" s="1044" t="s">
        <v>2004</v>
      </c>
      <c r="B87" s="1045" t="s">
        <v>2040</v>
      </c>
      <c r="C87" s="1041" t="s">
        <v>2043</v>
      </c>
      <c r="D87" s="1045"/>
      <c r="E87" s="1041"/>
      <c r="F87" s="1041"/>
      <c r="G87" s="28"/>
      <c r="H87" s="28"/>
      <c r="I87" s="28"/>
      <c r="J87" s="28"/>
      <c r="K87" s="28"/>
      <c r="L87" s="28"/>
      <c r="M87" s="28"/>
      <c r="N87" s="28"/>
      <c r="O87" s="28"/>
      <c r="P87" s="28"/>
      <c r="Q87" s="28"/>
      <c r="R87" s="28"/>
      <c r="S87" s="28"/>
      <c r="T87" s="28"/>
      <c r="U87" s="28"/>
      <c r="V87" s="28"/>
      <c r="W87" s="28"/>
      <c r="X87" s="28"/>
      <c r="Y87" s="28"/>
      <c r="Z87" s="28"/>
    </row>
    <row r="88">
      <c r="A88" s="1044" t="s">
        <v>2004</v>
      </c>
      <c r="B88" s="1045" t="s">
        <v>449</v>
      </c>
      <c r="C88" s="1041" t="s">
        <v>2044</v>
      </c>
      <c r="D88" s="1045"/>
      <c r="E88" s="1041"/>
      <c r="F88" s="1041"/>
      <c r="G88" s="28"/>
      <c r="H88" s="28"/>
      <c r="I88" s="28"/>
      <c r="J88" s="28"/>
      <c r="K88" s="28"/>
      <c r="L88" s="28"/>
      <c r="M88" s="28"/>
      <c r="N88" s="28"/>
      <c r="O88" s="28"/>
      <c r="P88" s="28"/>
      <c r="Q88" s="28"/>
      <c r="R88" s="28"/>
      <c r="S88" s="28"/>
      <c r="T88" s="28"/>
      <c r="U88" s="28"/>
      <c r="V88" s="28"/>
      <c r="W88" s="28"/>
      <c r="X88" s="28"/>
      <c r="Y88" s="28"/>
      <c r="Z88" s="28"/>
    </row>
    <row r="89">
      <c r="A89" s="1044" t="s">
        <v>2004</v>
      </c>
      <c r="B89" s="1045" t="s">
        <v>449</v>
      </c>
      <c r="C89" s="1041" t="s">
        <v>2045</v>
      </c>
      <c r="D89" s="1045"/>
      <c r="E89" s="1041"/>
      <c r="F89" s="1041"/>
      <c r="G89" s="28"/>
      <c r="H89" s="28"/>
      <c r="I89" s="28"/>
      <c r="J89" s="28"/>
      <c r="K89" s="28"/>
      <c r="L89" s="28"/>
      <c r="M89" s="28"/>
      <c r="N89" s="28"/>
      <c r="O89" s="28"/>
      <c r="P89" s="28"/>
      <c r="Q89" s="28"/>
      <c r="R89" s="28"/>
      <c r="S89" s="28"/>
      <c r="T89" s="28"/>
      <c r="U89" s="28"/>
      <c r="V89" s="28"/>
      <c r="W89" s="28"/>
      <c r="X89" s="28"/>
      <c r="Y89" s="28"/>
      <c r="Z89" s="28"/>
    </row>
    <row r="90">
      <c r="A90" s="1044" t="s">
        <v>2004</v>
      </c>
      <c r="B90" s="1045" t="s">
        <v>449</v>
      </c>
      <c r="C90" s="1043" t="s">
        <v>2046</v>
      </c>
      <c r="D90" s="1045"/>
      <c r="E90" s="1041"/>
      <c r="F90" s="1041"/>
      <c r="G90" s="28"/>
      <c r="H90" s="28"/>
      <c r="I90" s="28"/>
      <c r="J90" s="28"/>
      <c r="K90" s="28"/>
      <c r="L90" s="28"/>
      <c r="M90" s="28"/>
      <c r="N90" s="28"/>
      <c r="O90" s="28"/>
      <c r="P90" s="28"/>
      <c r="Q90" s="28"/>
      <c r="R90" s="28"/>
      <c r="S90" s="28"/>
      <c r="T90" s="28"/>
      <c r="U90" s="28"/>
      <c r="V90" s="28"/>
      <c r="W90" s="28"/>
      <c r="X90" s="28"/>
      <c r="Y90" s="28"/>
      <c r="Z90" s="28"/>
    </row>
    <row r="91">
      <c r="A91" s="1044" t="s">
        <v>2004</v>
      </c>
      <c r="B91" s="1045" t="s">
        <v>449</v>
      </c>
      <c r="C91" s="1043" t="s">
        <v>2047</v>
      </c>
      <c r="D91" s="1045"/>
      <c r="E91" s="1041"/>
      <c r="F91" s="1041"/>
      <c r="G91" s="28"/>
      <c r="H91" s="28"/>
      <c r="I91" s="28"/>
      <c r="J91" s="28"/>
      <c r="K91" s="28"/>
      <c r="L91" s="28"/>
      <c r="M91" s="28"/>
      <c r="N91" s="28"/>
      <c r="O91" s="28"/>
      <c r="P91" s="28"/>
      <c r="Q91" s="28"/>
      <c r="R91" s="28"/>
      <c r="S91" s="28"/>
      <c r="T91" s="28"/>
      <c r="U91" s="28"/>
      <c r="V91" s="28"/>
      <c r="W91" s="28"/>
      <c r="X91" s="28"/>
      <c r="Y91" s="28"/>
      <c r="Z91" s="28"/>
    </row>
    <row r="92">
      <c r="A92" s="1044" t="s">
        <v>2004</v>
      </c>
      <c r="B92" s="1045" t="s">
        <v>449</v>
      </c>
      <c r="C92" s="1043" t="s">
        <v>2048</v>
      </c>
      <c r="D92" s="1045"/>
      <c r="E92" s="1041"/>
      <c r="F92" s="1041"/>
      <c r="G92" s="28"/>
      <c r="H92" s="28"/>
      <c r="I92" s="28"/>
      <c r="J92" s="28"/>
      <c r="K92" s="28"/>
      <c r="L92" s="28"/>
      <c r="M92" s="28"/>
      <c r="N92" s="28"/>
      <c r="O92" s="28"/>
      <c r="P92" s="28"/>
      <c r="Q92" s="28"/>
      <c r="R92" s="28"/>
      <c r="S92" s="28"/>
      <c r="T92" s="28"/>
      <c r="U92" s="28"/>
      <c r="V92" s="28"/>
      <c r="W92" s="28"/>
      <c r="X92" s="28"/>
      <c r="Y92" s="28"/>
      <c r="Z92" s="28"/>
    </row>
    <row r="93">
      <c r="A93" s="1044" t="s">
        <v>2004</v>
      </c>
      <c r="B93" s="1045" t="s">
        <v>1889</v>
      </c>
      <c r="C93" s="1041" t="s">
        <v>2049</v>
      </c>
      <c r="D93" s="1045"/>
      <c r="E93" s="1041"/>
      <c r="F93" s="1041"/>
      <c r="G93" s="28"/>
      <c r="H93" s="28"/>
      <c r="I93" s="28"/>
      <c r="J93" s="28"/>
      <c r="K93" s="28"/>
      <c r="L93" s="28"/>
      <c r="M93" s="28"/>
      <c r="N93" s="28"/>
      <c r="O93" s="28"/>
      <c r="P93" s="28"/>
      <c r="Q93" s="28"/>
      <c r="R93" s="28"/>
      <c r="S93" s="28"/>
      <c r="T93" s="28"/>
      <c r="U93" s="28"/>
      <c r="V93" s="28"/>
      <c r="W93" s="28"/>
      <c r="X93" s="28"/>
      <c r="Y93" s="28"/>
      <c r="Z93" s="28"/>
    </row>
    <row r="94">
      <c r="A94" s="1044" t="s">
        <v>2004</v>
      </c>
      <c r="B94" s="1045" t="s">
        <v>1889</v>
      </c>
      <c r="C94" s="1041" t="s">
        <v>2050</v>
      </c>
      <c r="D94" s="1045"/>
      <c r="E94" s="1041"/>
      <c r="F94" s="1041"/>
      <c r="G94" s="28"/>
      <c r="H94" s="28"/>
      <c r="I94" s="28"/>
      <c r="J94" s="28"/>
      <c r="K94" s="28"/>
      <c r="L94" s="28"/>
      <c r="M94" s="28"/>
      <c r="N94" s="28"/>
      <c r="O94" s="28"/>
      <c r="P94" s="28"/>
      <c r="Q94" s="28"/>
      <c r="R94" s="28"/>
      <c r="S94" s="28"/>
      <c r="T94" s="28"/>
      <c r="U94" s="28"/>
      <c r="V94" s="28"/>
      <c r="W94" s="28"/>
      <c r="X94" s="28"/>
      <c r="Y94" s="28"/>
      <c r="Z94" s="28"/>
    </row>
    <row r="95">
      <c r="A95" s="1044" t="s">
        <v>2004</v>
      </c>
      <c r="B95" s="1045" t="s">
        <v>1889</v>
      </c>
      <c r="C95" s="1041" t="s">
        <v>2051</v>
      </c>
      <c r="D95" s="1045"/>
      <c r="E95" s="1041"/>
      <c r="F95" s="1041"/>
      <c r="G95" s="28"/>
      <c r="H95" s="28"/>
      <c r="I95" s="28"/>
      <c r="J95" s="28"/>
      <c r="K95" s="28"/>
      <c r="L95" s="28"/>
      <c r="M95" s="28"/>
      <c r="N95" s="28"/>
      <c r="O95" s="28"/>
      <c r="P95" s="28"/>
      <c r="Q95" s="28"/>
      <c r="R95" s="28"/>
      <c r="S95" s="28"/>
      <c r="T95" s="28"/>
      <c r="U95" s="28"/>
      <c r="V95" s="28"/>
      <c r="W95" s="28"/>
      <c r="X95" s="28"/>
      <c r="Y95" s="28"/>
      <c r="Z95" s="28"/>
    </row>
    <row r="96">
      <c r="A96" s="1044" t="s">
        <v>2004</v>
      </c>
      <c r="B96" s="1045" t="s">
        <v>1889</v>
      </c>
      <c r="C96" s="1041" t="s">
        <v>2052</v>
      </c>
      <c r="D96" s="1045"/>
      <c r="E96" s="1041"/>
      <c r="F96" s="1041"/>
      <c r="G96" s="28"/>
      <c r="H96" s="28"/>
      <c r="I96" s="28"/>
      <c r="J96" s="28"/>
      <c r="K96" s="28"/>
      <c r="L96" s="28"/>
      <c r="M96" s="28"/>
      <c r="N96" s="28"/>
      <c r="O96" s="28"/>
      <c r="P96" s="28"/>
      <c r="Q96" s="28"/>
      <c r="R96" s="28"/>
      <c r="S96" s="28"/>
      <c r="T96" s="28"/>
      <c r="U96" s="28"/>
      <c r="V96" s="28"/>
      <c r="W96" s="28"/>
      <c r="X96" s="28"/>
      <c r="Y96" s="28"/>
      <c r="Z96" s="28"/>
    </row>
    <row r="97">
      <c r="A97" s="1044" t="s">
        <v>2004</v>
      </c>
      <c r="B97" s="1045" t="s">
        <v>1889</v>
      </c>
      <c r="C97" s="1041" t="s">
        <v>2053</v>
      </c>
      <c r="D97" s="1045"/>
      <c r="E97" s="1041"/>
      <c r="F97" s="1041"/>
      <c r="G97" s="28"/>
      <c r="H97" s="28"/>
      <c r="I97" s="28"/>
      <c r="J97" s="28"/>
      <c r="K97" s="28"/>
      <c r="L97" s="28"/>
      <c r="M97" s="28"/>
      <c r="N97" s="28"/>
      <c r="O97" s="28"/>
      <c r="P97" s="28"/>
      <c r="Q97" s="28"/>
      <c r="R97" s="28"/>
      <c r="S97" s="28"/>
      <c r="T97" s="28"/>
      <c r="U97" s="28"/>
      <c r="V97" s="28"/>
      <c r="W97" s="28"/>
      <c r="X97" s="28"/>
      <c r="Y97" s="28"/>
      <c r="Z97" s="28"/>
    </row>
    <row r="98">
      <c r="A98" s="1044" t="s">
        <v>2004</v>
      </c>
      <c r="B98" s="1045" t="s">
        <v>1889</v>
      </c>
      <c r="C98" s="1041" t="s">
        <v>2054</v>
      </c>
      <c r="D98" s="1045"/>
      <c r="E98" s="1041"/>
      <c r="F98" s="1041"/>
      <c r="G98" s="28"/>
      <c r="H98" s="28"/>
      <c r="I98" s="28"/>
      <c r="J98" s="28"/>
      <c r="K98" s="28"/>
      <c r="L98" s="28"/>
      <c r="M98" s="28"/>
      <c r="N98" s="28"/>
      <c r="O98" s="28"/>
      <c r="P98" s="28"/>
      <c r="Q98" s="28"/>
      <c r="R98" s="28"/>
      <c r="S98" s="28"/>
      <c r="T98" s="28"/>
      <c r="U98" s="28"/>
      <c r="V98" s="28"/>
      <c r="W98" s="28"/>
      <c r="X98" s="28"/>
      <c r="Y98" s="28"/>
      <c r="Z98" s="28"/>
    </row>
    <row r="99">
      <c r="A99" s="1044" t="s">
        <v>2004</v>
      </c>
      <c r="B99" s="1045" t="s">
        <v>1889</v>
      </c>
      <c r="C99" s="1041" t="s">
        <v>2055</v>
      </c>
      <c r="D99" s="1045"/>
      <c r="E99" s="1041"/>
      <c r="F99" s="1041"/>
      <c r="G99" s="28"/>
      <c r="H99" s="28"/>
      <c r="I99" s="28"/>
      <c r="J99" s="28"/>
      <c r="K99" s="28"/>
      <c r="L99" s="28"/>
      <c r="M99" s="28"/>
      <c r="N99" s="28"/>
      <c r="O99" s="28"/>
      <c r="P99" s="28"/>
      <c r="Q99" s="28"/>
      <c r="R99" s="28"/>
      <c r="S99" s="28"/>
      <c r="T99" s="28"/>
      <c r="U99" s="28"/>
      <c r="V99" s="28"/>
      <c r="W99" s="28"/>
      <c r="X99" s="28"/>
      <c r="Y99" s="28"/>
      <c r="Z99" s="28"/>
    </row>
    <row r="100">
      <c r="A100" s="1044"/>
      <c r="B100" s="1045"/>
      <c r="C100" s="1041"/>
      <c r="D100" s="1045"/>
      <c r="E100" s="1041"/>
      <c r="F100" s="1041"/>
      <c r="G100" s="28"/>
      <c r="H100" s="28"/>
      <c r="I100" s="28"/>
      <c r="J100" s="28"/>
      <c r="K100" s="28"/>
      <c r="L100" s="28"/>
      <c r="M100" s="28"/>
      <c r="N100" s="28"/>
      <c r="O100" s="28"/>
      <c r="P100" s="28"/>
      <c r="Q100" s="28"/>
      <c r="R100" s="28"/>
      <c r="S100" s="28"/>
      <c r="T100" s="28"/>
      <c r="U100" s="28"/>
      <c r="V100" s="28"/>
      <c r="W100" s="28"/>
      <c r="X100" s="28"/>
      <c r="Y100" s="28"/>
      <c r="Z100" s="28"/>
    </row>
    <row r="101">
      <c r="A101" s="1044"/>
      <c r="B101" s="1045"/>
      <c r="C101" s="1041"/>
      <c r="D101" s="1045"/>
      <c r="E101" s="1041"/>
      <c r="F101" s="1041"/>
      <c r="G101" s="28"/>
      <c r="H101" s="28"/>
      <c r="I101" s="28"/>
      <c r="J101" s="28"/>
      <c r="K101" s="28"/>
      <c r="L101" s="28"/>
      <c r="M101" s="28"/>
      <c r="N101" s="28"/>
      <c r="O101" s="28"/>
      <c r="P101" s="28"/>
      <c r="Q101" s="28"/>
      <c r="R101" s="28"/>
      <c r="S101" s="28"/>
      <c r="T101" s="28"/>
      <c r="U101" s="28"/>
      <c r="V101" s="28"/>
      <c r="W101" s="28"/>
      <c r="X101" s="28"/>
      <c r="Y101" s="28"/>
      <c r="Z101" s="28"/>
    </row>
    <row r="102">
      <c r="A102" s="1044"/>
      <c r="B102" s="1045"/>
      <c r="C102" s="1041"/>
      <c r="D102" s="1045"/>
      <c r="E102" s="1041"/>
      <c r="F102" s="1041"/>
      <c r="G102" s="28"/>
      <c r="H102" s="28"/>
      <c r="I102" s="28"/>
      <c r="J102" s="28"/>
      <c r="K102" s="28"/>
      <c r="L102" s="28"/>
      <c r="M102" s="28"/>
      <c r="N102" s="28"/>
      <c r="O102" s="28"/>
      <c r="P102" s="28"/>
      <c r="Q102" s="28"/>
      <c r="R102" s="28"/>
      <c r="S102" s="28"/>
      <c r="T102" s="28"/>
      <c r="U102" s="28"/>
      <c r="V102" s="28"/>
      <c r="W102" s="28"/>
      <c r="X102" s="28"/>
      <c r="Y102" s="28"/>
      <c r="Z102" s="28"/>
    </row>
    <row r="103">
      <c r="A103" s="1044"/>
      <c r="B103" s="1045"/>
      <c r="C103" s="1041"/>
      <c r="D103" s="1045"/>
      <c r="E103" s="1041"/>
      <c r="F103" s="1041"/>
      <c r="G103" s="28"/>
      <c r="H103" s="28"/>
      <c r="I103" s="28"/>
      <c r="J103" s="28"/>
      <c r="K103" s="28"/>
      <c r="L103" s="28"/>
      <c r="M103" s="28"/>
      <c r="N103" s="28"/>
      <c r="O103" s="28"/>
      <c r="P103" s="28"/>
      <c r="Q103" s="28"/>
      <c r="R103" s="28"/>
      <c r="S103" s="28"/>
      <c r="T103" s="28"/>
      <c r="U103" s="28"/>
      <c r="V103" s="28"/>
      <c r="W103" s="28"/>
      <c r="X103" s="28"/>
      <c r="Y103" s="28"/>
      <c r="Z103" s="28"/>
    </row>
    <row r="104">
      <c r="A104" s="1044"/>
      <c r="B104" s="1045"/>
      <c r="C104" s="1041"/>
      <c r="D104" s="1045"/>
      <c r="E104" s="1041"/>
      <c r="F104" s="1041"/>
      <c r="G104" s="28"/>
      <c r="H104" s="28"/>
      <c r="I104" s="28"/>
      <c r="J104" s="28"/>
      <c r="K104" s="28"/>
      <c r="L104" s="28"/>
      <c r="M104" s="28"/>
      <c r="N104" s="28"/>
      <c r="O104" s="28"/>
      <c r="P104" s="28"/>
      <c r="Q104" s="28"/>
      <c r="R104" s="28"/>
      <c r="S104" s="28"/>
      <c r="T104" s="28"/>
      <c r="U104" s="28"/>
      <c r="V104" s="28"/>
      <c r="W104" s="28"/>
      <c r="X104" s="28"/>
      <c r="Y104" s="28"/>
      <c r="Z104" s="28"/>
    </row>
    <row r="105">
      <c r="A105" s="1044"/>
      <c r="B105" s="1045"/>
      <c r="C105" s="1041"/>
      <c r="D105" s="1045"/>
      <c r="E105" s="1041"/>
      <c r="F105" s="1041"/>
      <c r="G105" s="28"/>
      <c r="H105" s="28"/>
      <c r="I105" s="28"/>
      <c r="J105" s="28"/>
      <c r="K105" s="28"/>
      <c r="L105" s="28"/>
      <c r="M105" s="28"/>
      <c r="N105" s="28"/>
      <c r="O105" s="28"/>
      <c r="P105" s="28"/>
      <c r="Q105" s="28"/>
      <c r="R105" s="28"/>
      <c r="S105" s="28"/>
      <c r="T105" s="28"/>
      <c r="U105" s="28"/>
      <c r="V105" s="28"/>
      <c r="W105" s="28"/>
      <c r="X105" s="28"/>
      <c r="Y105" s="28"/>
      <c r="Z105" s="28"/>
    </row>
    <row r="106">
      <c r="A106" s="1044"/>
      <c r="B106" s="1045"/>
      <c r="C106" s="1041"/>
      <c r="D106" s="1045"/>
      <c r="E106" s="1041"/>
      <c r="F106" s="1041"/>
      <c r="G106" s="28"/>
      <c r="H106" s="28"/>
      <c r="I106" s="28"/>
      <c r="J106" s="28"/>
      <c r="K106" s="28"/>
      <c r="L106" s="28"/>
      <c r="M106" s="28"/>
      <c r="N106" s="28"/>
      <c r="O106" s="28"/>
      <c r="P106" s="28"/>
      <c r="Q106" s="28"/>
      <c r="R106" s="28"/>
      <c r="S106" s="28"/>
      <c r="T106" s="28"/>
      <c r="U106" s="28"/>
      <c r="V106" s="28"/>
      <c r="W106" s="28"/>
      <c r="X106" s="28"/>
      <c r="Y106" s="28"/>
      <c r="Z106" s="28"/>
    </row>
    <row r="107">
      <c r="A107" s="1044"/>
      <c r="B107" s="1045"/>
      <c r="C107" s="1041"/>
      <c r="D107" s="1045"/>
      <c r="E107" s="1041"/>
      <c r="F107" s="1041"/>
      <c r="G107" s="28"/>
      <c r="H107" s="28"/>
      <c r="I107" s="28"/>
      <c r="J107" s="28"/>
      <c r="K107" s="28"/>
      <c r="L107" s="28"/>
      <c r="M107" s="28"/>
      <c r="N107" s="28"/>
      <c r="O107" s="28"/>
      <c r="P107" s="28"/>
      <c r="Q107" s="28"/>
      <c r="R107" s="28"/>
      <c r="S107" s="28"/>
      <c r="T107" s="28"/>
      <c r="U107" s="28"/>
      <c r="V107" s="28"/>
      <c r="W107" s="28"/>
      <c r="X107" s="28"/>
      <c r="Y107" s="28"/>
      <c r="Z107" s="28"/>
    </row>
    <row r="108">
      <c r="A108" s="1044"/>
      <c r="B108" s="1045"/>
      <c r="C108" s="1041"/>
      <c r="D108" s="1045"/>
      <c r="E108" s="1041"/>
      <c r="F108" s="1041"/>
      <c r="G108" s="28"/>
      <c r="H108" s="28"/>
      <c r="I108" s="28"/>
      <c r="J108" s="28"/>
      <c r="K108" s="28"/>
      <c r="L108" s="28"/>
      <c r="M108" s="28"/>
      <c r="N108" s="28"/>
      <c r="O108" s="28"/>
      <c r="P108" s="28"/>
      <c r="Q108" s="28"/>
      <c r="R108" s="28"/>
      <c r="S108" s="28"/>
      <c r="T108" s="28"/>
      <c r="U108" s="28"/>
      <c r="V108" s="28"/>
      <c r="W108" s="28"/>
      <c r="X108" s="28"/>
      <c r="Y108" s="28"/>
      <c r="Z108" s="28"/>
    </row>
    <row r="109">
      <c r="A109" s="1044"/>
      <c r="B109" s="1045"/>
      <c r="C109" s="1041"/>
      <c r="D109" s="1045"/>
      <c r="E109" s="1041"/>
      <c r="F109" s="1041"/>
      <c r="G109" s="28"/>
      <c r="H109" s="28"/>
      <c r="I109" s="28"/>
      <c r="J109" s="28"/>
      <c r="K109" s="28"/>
      <c r="L109" s="28"/>
      <c r="M109" s="28"/>
      <c r="N109" s="28"/>
      <c r="O109" s="28"/>
      <c r="P109" s="28"/>
      <c r="Q109" s="28"/>
      <c r="R109" s="28"/>
      <c r="S109" s="28"/>
      <c r="T109" s="28"/>
      <c r="U109" s="28"/>
      <c r="V109" s="28"/>
      <c r="W109" s="28"/>
      <c r="X109" s="28"/>
      <c r="Y109" s="28"/>
      <c r="Z109" s="28"/>
    </row>
    <row r="110">
      <c r="A110" s="1044"/>
      <c r="B110" s="1045"/>
      <c r="C110" s="1041"/>
      <c r="D110" s="1045"/>
      <c r="E110" s="1041"/>
      <c r="F110" s="1041"/>
      <c r="G110" s="28"/>
      <c r="H110" s="28"/>
      <c r="I110" s="28"/>
      <c r="J110" s="28"/>
      <c r="K110" s="28"/>
      <c r="L110" s="28"/>
      <c r="M110" s="28"/>
      <c r="N110" s="28"/>
      <c r="O110" s="28"/>
      <c r="P110" s="28"/>
      <c r="Q110" s="28"/>
      <c r="R110" s="28"/>
      <c r="S110" s="28"/>
      <c r="T110" s="28"/>
      <c r="U110" s="28"/>
      <c r="V110" s="28"/>
      <c r="W110" s="28"/>
      <c r="X110" s="28"/>
      <c r="Y110" s="28"/>
      <c r="Z110" s="28"/>
    </row>
    <row r="111">
      <c r="A111" s="1044"/>
      <c r="B111" s="1045"/>
      <c r="C111" s="1041"/>
      <c r="D111" s="1045"/>
      <c r="E111" s="1041"/>
      <c r="F111" s="1041"/>
      <c r="G111" s="28"/>
      <c r="H111" s="28"/>
      <c r="I111" s="28"/>
      <c r="J111" s="28"/>
      <c r="K111" s="28"/>
      <c r="L111" s="28"/>
      <c r="M111" s="28"/>
      <c r="N111" s="28"/>
      <c r="O111" s="28"/>
      <c r="P111" s="28"/>
      <c r="Q111" s="28"/>
      <c r="R111" s="28"/>
      <c r="S111" s="28"/>
      <c r="T111" s="28"/>
      <c r="U111" s="28"/>
      <c r="V111" s="28"/>
      <c r="W111" s="28"/>
      <c r="X111" s="28"/>
      <c r="Y111" s="28"/>
      <c r="Z111" s="28"/>
    </row>
    <row r="112">
      <c r="A112" s="1044"/>
      <c r="B112" s="1045"/>
      <c r="C112" s="1041"/>
      <c r="D112" s="1045"/>
      <c r="E112" s="1041"/>
      <c r="F112" s="1041"/>
      <c r="G112" s="28"/>
      <c r="H112" s="28"/>
      <c r="I112" s="28"/>
      <c r="J112" s="28"/>
      <c r="K112" s="28"/>
      <c r="L112" s="28"/>
      <c r="M112" s="28"/>
      <c r="N112" s="28"/>
      <c r="O112" s="28"/>
      <c r="P112" s="28"/>
      <c r="Q112" s="28"/>
      <c r="R112" s="28"/>
      <c r="S112" s="28"/>
      <c r="T112" s="28"/>
      <c r="U112" s="28"/>
      <c r="V112" s="28"/>
      <c r="W112" s="28"/>
      <c r="X112" s="28"/>
      <c r="Y112" s="28"/>
      <c r="Z112" s="28"/>
    </row>
    <row r="113">
      <c r="A113" s="1044"/>
      <c r="B113" s="1045"/>
      <c r="C113" s="1041"/>
      <c r="D113" s="1045"/>
      <c r="E113" s="1041"/>
      <c r="F113" s="1041"/>
      <c r="G113" s="28"/>
      <c r="H113" s="28"/>
      <c r="I113" s="28"/>
      <c r="J113" s="28"/>
      <c r="K113" s="28"/>
      <c r="L113" s="28"/>
      <c r="M113" s="28"/>
      <c r="N113" s="28"/>
      <c r="O113" s="28"/>
      <c r="P113" s="28"/>
      <c r="Q113" s="28"/>
      <c r="R113" s="28"/>
      <c r="S113" s="28"/>
      <c r="T113" s="28"/>
      <c r="U113" s="28"/>
      <c r="V113" s="28"/>
      <c r="W113" s="28"/>
      <c r="X113" s="28"/>
      <c r="Y113" s="28"/>
      <c r="Z113" s="28"/>
    </row>
    <row r="114">
      <c r="A114" s="1044"/>
      <c r="B114" s="1045"/>
      <c r="C114" s="1041"/>
      <c r="D114" s="1045"/>
      <c r="E114" s="1041"/>
      <c r="F114" s="1041"/>
      <c r="G114" s="28"/>
      <c r="H114" s="28"/>
      <c r="I114" s="28"/>
      <c r="J114" s="28"/>
      <c r="K114" s="28"/>
      <c r="L114" s="28"/>
      <c r="M114" s="28"/>
      <c r="N114" s="28"/>
      <c r="O114" s="28"/>
      <c r="P114" s="28"/>
      <c r="Q114" s="28"/>
      <c r="R114" s="28"/>
      <c r="S114" s="28"/>
      <c r="T114" s="28"/>
      <c r="U114" s="28"/>
      <c r="V114" s="28"/>
      <c r="W114" s="28"/>
      <c r="X114" s="28"/>
      <c r="Y114" s="28"/>
      <c r="Z114" s="28"/>
    </row>
    <row r="115">
      <c r="A115" s="1044"/>
      <c r="B115" s="1045"/>
      <c r="C115" s="1041"/>
      <c r="D115" s="1045"/>
      <c r="E115" s="1041"/>
      <c r="F115" s="1041"/>
      <c r="G115" s="28"/>
      <c r="H115" s="28"/>
      <c r="I115" s="28"/>
      <c r="J115" s="28"/>
      <c r="K115" s="28"/>
      <c r="L115" s="28"/>
      <c r="M115" s="28"/>
      <c r="N115" s="28"/>
      <c r="O115" s="28"/>
      <c r="P115" s="28"/>
      <c r="Q115" s="28"/>
      <c r="R115" s="28"/>
      <c r="S115" s="28"/>
      <c r="T115" s="28"/>
      <c r="U115" s="28"/>
      <c r="V115" s="28"/>
      <c r="W115" s="28"/>
      <c r="X115" s="28"/>
      <c r="Y115" s="28"/>
      <c r="Z115" s="28"/>
    </row>
    <row r="116">
      <c r="A116" s="1044"/>
      <c r="B116" s="1045"/>
      <c r="C116" s="1041"/>
      <c r="D116" s="1045"/>
      <c r="E116" s="1041"/>
      <c r="F116" s="1041"/>
      <c r="G116" s="28"/>
      <c r="H116" s="28"/>
      <c r="I116" s="28"/>
      <c r="J116" s="28"/>
      <c r="K116" s="28"/>
      <c r="L116" s="28"/>
      <c r="M116" s="28"/>
      <c r="N116" s="28"/>
      <c r="O116" s="28"/>
      <c r="P116" s="28"/>
      <c r="Q116" s="28"/>
      <c r="R116" s="28"/>
      <c r="S116" s="28"/>
      <c r="T116" s="28"/>
      <c r="U116" s="28"/>
      <c r="V116" s="28"/>
      <c r="W116" s="28"/>
      <c r="X116" s="28"/>
      <c r="Y116" s="28"/>
      <c r="Z116" s="28"/>
    </row>
    <row r="117">
      <c r="A117" s="1044"/>
      <c r="B117" s="1045"/>
      <c r="C117" s="1041"/>
      <c r="D117" s="1045"/>
      <c r="E117" s="1041"/>
      <c r="F117" s="1041"/>
      <c r="G117" s="28"/>
      <c r="H117" s="28"/>
      <c r="I117" s="28"/>
      <c r="J117" s="28"/>
      <c r="K117" s="28"/>
      <c r="L117" s="28"/>
      <c r="M117" s="28"/>
      <c r="N117" s="28"/>
      <c r="O117" s="28"/>
      <c r="P117" s="28"/>
      <c r="Q117" s="28"/>
      <c r="R117" s="28"/>
      <c r="S117" s="28"/>
      <c r="T117" s="28"/>
      <c r="U117" s="28"/>
      <c r="V117" s="28"/>
      <c r="W117" s="28"/>
      <c r="X117" s="28"/>
      <c r="Y117" s="28"/>
      <c r="Z117" s="28"/>
    </row>
    <row r="118">
      <c r="A118" s="1044"/>
      <c r="B118" s="1045"/>
      <c r="C118" s="1041"/>
      <c r="D118" s="1045"/>
      <c r="E118" s="1041"/>
      <c r="F118" s="1041"/>
      <c r="G118" s="28"/>
      <c r="H118" s="28"/>
      <c r="I118" s="28"/>
      <c r="J118" s="28"/>
      <c r="K118" s="28"/>
      <c r="L118" s="28"/>
      <c r="M118" s="28"/>
      <c r="N118" s="28"/>
      <c r="O118" s="28"/>
      <c r="P118" s="28"/>
      <c r="Q118" s="28"/>
      <c r="R118" s="28"/>
      <c r="S118" s="28"/>
      <c r="T118" s="28"/>
      <c r="U118" s="28"/>
      <c r="V118" s="28"/>
      <c r="W118" s="28"/>
      <c r="X118" s="28"/>
      <c r="Y118" s="28"/>
      <c r="Z118" s="28"/>
    </row>
    <row r="119">
      <c r="A119" s="1044"/>
      <c r="B119" s="1045"/>
      <c r="C119" s="1041"/>
      <c r="D119" s="1045"/>
      <c r="E119" s="1041"/>
      <c r="F119" s="1041"/>
      <c r="G119" s="28"/>
      <c r="H119" s="28"/>
      <c r="I119" s="28"/>
      <c r="J119" s="28"/>
      <c r="K119" s="28"/>
      <c r="L119" s="28"/>
      <c r="M119" s="28"/>
      <c r="N119" s="28"/>
      <c r="O119" s="28"/>
      <c r="P119" s="28"/>
      <c r="Q119" s="28"/>
      <c r="R119" s="28"/>
      <c r="S119" s="28"/>
      <c r="T119" s="28"/>
      <c r="U119" s="28"/>
      <c r="V119" s="28"/>
      <c r="W119" s="28"/>
      <c r="X119" s="28"/>
      <c r="Y119" s="28"/>
      <c r="Z119" s="28"/>
    </row>
    <row r="120">
      <c r="A120" s="1044"/>
      <c r="B120" s="1045"/>
      <c r="C120" s="1041"/>
      <c r="D120" s="1045"/>
      <c r="E120" s="1041"/>
      <c r="F120" s="1041"/>
      <c r="G120" s="28"/>
      <c r="H120" s="28"/>
      <c r="I120" s="28"/>
      <c r="J120" s="28"/>
      <c r="K120" s="28"/>
      <c r="L120" s="28"/>
      <c r="M120" s="28"/>
      <c r="N120" s="28"/>
      <c r="O120" s="28"/>
      <c r="P120" s="28"/>
      <c r="Q120" s="28"/>
      <c r="R120" s="28"/>
      <c r="S120" s="28"/>
      <c r="T120" s="28"/>
      <c r="U120" s="28"/>
      <c r="V120" s="28"/>
      <c r="W120" s="28"/>
      <c r="X120" s="28"/>
      <c r="Y120" s="28"/>
      <c r="Z120" s="28"/>
    </row>
    <row r="121">
      <c r="A121" s="1044"/>
      <c r="B121" s="1045"/>
      <c r="C121" s="1041"/>
      <c r="D121" s="1045"/>
      <c r="E121" s="1041"/>
      <c r="F121" s="1041"/>
      <c r="G121" s="28"/>
      <c r="H121" s="28"/>
      <c r="I121" s="28"/>
      <c r="J121" s="28"/>
      <c r="K121" s="28"/>
      <c r="L121" s="28"/>
      <c r="M121" s="28"/>
      <c r="N121" s="28"/>
      <c r="O121" s="28"/>
      <c r="P121" s="28"/>
      <c r="Q121" s="28"/>
      <c r="R121" s="28"/>
      <c r="S121" s="28"/>
      <c r="T121" s="28"/>
      <c r="U121" s="28"/>
      <c r="V121" s="28"/>
      <c r="W121" s="28"/>
      <c r="X121" s="28"/>
      <c r="Y121" s="28"/>
      <c r="Z121" s="28"/>
    </row>
    <row r="122">
      <c r="A122" s="1044"/>
      <c r="B122" s="1045"/>
      <c r="C122" s="1041"/>
      <c r="D122" s="1045"/>
      <c r="E122" s="1041"/>
      <c r="F122" s="1041"/>
      <c r="G122" s="28"/>
      <c r="H122" s="28"/>
      <c r="I122" s="28"/>
      <c r="J122" s="28"/>
      <c r="K122" s="28"/>
      <c r="L122" s="28"/>
      <c r="M122" s="28"/>
      <c r="N122" s="28"/>
      <c r="O122" s="28"/>
      <c r="P122" s="28"/>
      <c r="Q122" s="28"/>
      <c r="R122" s="28"/>
      <c r="S122" s="28"/>
      <c r="T122" s="28"/>
      <c r="U122" s="28"/>
      <c r="V122" s="28"/>
      <c r="W122" s="28"/>
      <c r="X122" s="28"/>
      <c r="Y122" s="28"/>
      <c r="Z122" s="28"/>
    </row>
    <row r="123">
      <c r="A123" s="1044"/>
      <c r="B123" s="1045"/>
      <c r="C123" s="1041"/>
      <c r="D123" s="1045"/>
      <c r="E123" s="1041"/>
      <c r="F123" s="1041"/>
      <c r="G123" s="28"/>
      <c r="H123" s="28"/>
      <c r="I123" s="28"/>
      <c r="J123" s="28"/>
      <c r="K123" s="28"/>
      <c r="L123" s="28"/>
      <c r="M123" s="28"/>
      <c r="N123" s="28"/>
      <c r="O123" s="28"/>
      <c r="P123" s="28"/>
      <c r="Q123" s="28"/>
      <c r="R123" s="28"/>
      <c r="S123" s="28"/>
      <c r="T123" s="28"/>
      <c r="U123" s="28"/>
      <c r="V123" s="28"/>
      <c r="W123" s="28"/>
      <c r="X123" s="28"/>
      <c r="Y123" s="28"/>
      <c r="Z123" s="28"/>
    </row>
    <row r="124">
      <c r="A124" s="1044"/>
      <c r="B124" s="1045"/>
      <c r="C124" s="1041"/>
      <c r="D124" s="1045"/>
      <c r="E124" s="1041"/>
      <c r="F124" s="1041"/>
      <c r="G124" s="28"/>
      <c r="H124" s="28"/>
      <c r="I124" s="28"/>
      <c r="J124" s="28"/>
      <c r="K124" s="28"/>
      <c r="L124" s="28"/>
      <c r="M124" s="28"/>
      <c r="N124" s="28"/>
      <c r="O124" s="28"/>
      <c r="P124" s="28"/>
      <c r="Q124" s="28"/>
      <c r="R124" s="28"/>
      <c r="S124" s="28"/>
      <c r="T124" s="28"/>
      <c r="U124" s="28"/>
      <c r="V124" s="28"/>
      <c r="W124" s="28"/>
      <c r="X124" s="28"/>
      <c r="Y124" s="28"/>
      <c r="Z124" s="28"/>
    </row>
    <row r="125">
      <c r="A125" s="1044"/>
      <c r="B125" s="1045"/>
      <c r="C125" s="1041"/>
      <c r="D125" s="1045"/>
      <c r="E125" s="1041"/>
      <c r="F125" s="1041"/>
      <c r="G125" s="28"/>
      <c r="H125" s="28"/>
      <c r="I125" s="28"/>
      <c r="J125" s="28"/>
      <c r="K125" s="28"/>
      <c r="L125" s="28"/>
      <c r="M125" s="28"/>
      <c r="N125" s="28"/>
      <c r="O125" s="28"/>
      <c r="P125" s="28"/>
      <c r="Q125" s="28"/>
      <c r="R125" s="28"/>
      <c r="S125" s="28"/>
      <c r="T125" s="28"/>
      <c r="U125" s="28"/>
      <c r="V125" s="28"/>
      <c r="W125" s="28"/>
      <c r="X125" s="28"/>
      <c r="Y125" s="28"/>
      <c r="Z125" s="28"/>
    </row>
    <row r="126">
      <c r="A126" s="1044"/>
      <c r="B126" s="1045"/>
      <c r="C126" s="1041"/>
      <c r="D126" s="1045"/>
      <c r="E126" s="1041"/>
      <c r="F126" s="1041"/>
      <c r="G126" s="28"/>
      <c r="H126" s="28"/>
      <c r="I126" s="28"/>
      <c r="J126" s="28"/>
      <c r="K126" s="28"/>
      <c r="L126" s="28"/>
      <c r="M126" s="28"/>
      <c r="N126" s="28"/>
      <c r="O126" s="28"/>
      <c r="P126" s="28"/>
      <c r="Q126" s="28"/>
      <c r="R126" s="28"/>
      <c r="S126" s="28"/>
      <c r="T126" s="28"/>
      <c r="U126" s="28"/>
      <c r="V126" s="28"/>
      <c r="W126" s="28"/>
      <c r="X126" s="28"/>
      <c r="Y126" s="28"/>
      <c r="Z126" s="28"/>
    </row>
    <row r="127">
      <c r="A127" s="1044"/>
      <c r="B127" s="1045"/>
      <c r="C127" s="1041"/>
      <c r="D127" s="1045"/>
      <c r="E127" s="1041"/>
      <c r="F127" s="1041"/>
      <c r="G127" s="28"/>
      <c r="H127" s="28"/>
      <c r="I127" s="28"/>
      <c r="J127" s="28"/>
      <c r="K127" s="28"/>
      <c r="L127" s="28"/>
      <c r="M127" s="28"/>
      <c r="N127" s="28"/>
      <c r="O127" s="28"/>
      <c r="P127" s="28"/>
      <c r="Q127" s="28"/>
      <c r="R127" s="28"/>
      <c r="S127" s="28"/>
      <c r="T127" s="28"/>
      <c r="U127" s="28"/>
      <c r="V127" s="28"/>
      <c r="W127" s="28"/>
      <c r="X127" s="28"/>
      <c r="Y127" s="28"/>
      <c r="Z127" s="28"/>
    </row>
    <row r="128">
      <c r="A128" s="1044"/>
      <c r="B128" s="1045"/>
      <c r="C128" s="1041"/>
      <c r="D128" s="1045"/>
      <c r="E128" s="1041"/>
      <c r="F128" s="1041"/>
      <c r="G128" s="28"/>
      <c r="H128" s="28"/>
      <c r="I128" s="28"/>
      <c r="J128" s="28"/>
      <c r="K128" s="28"/>
      <c r="L128" s="28"/>
      <c r="M128" s="28"/>
      <c r="N128" s="28"/>
      <c r="O128" s="28"/>
      <c r="P128" s="28"/>
      <c r="Q128" s="28"/>
      <c r="R128" s="28"/>
      <c r="S128" s="28"/>
      <c r="T128" s="28"/>
      <c r="U128" s="28"/>
      <c r="V128" s="28"/>
      <c r="W128" s="28"/>
      <c r="X128" s="28"/>
      <c r="Y128" s="28"/>
      <c r="Z128" s="28"/>
    </row>
    <row r="129">
      <c r="A129" s="1044"/>
      <c r="B129" s="1045"/>
      <c r="C129" s="1041"/>
      <c r="D129" s="1045"/>
      <c r="E129" s="1041"/>
      <c r="F129" s="1041"/>
      <c r="G129" s="28"/>
      <c r="H129" s="28"/>
      <c r="I129" s="28"/>
      <c r="J129" s="28"/>
      <c r="K129" s="28"/>
      <c r="L129" s="28"/>
      <c r="M129" s="28"/>
      <c r="N129" s="28"/>
      <c r="O129" s="28"/>
      <c r="P129" s="28"/>
      <c r="Q129" s="28"/>
      <c r="R129" s="28"/>
      <c r="S129" s="28"/>
      <c r="T129" s="28"/>
      <c r="U129" s="28"/>
      <c r="V129" s="28"/>
      <c r="W129" s="28"/>
      <c r="X129" s="28"/>
      <c r="Y129" s="28"/>
      <c r="Z129" s="28"/>
    </row>
    <row r="130">
      <c r="A130" s="1044"/>
      <c r="B130" s="1045"/>
      <c r="C130" s="1041"/>
      <c r="D130" s="1045"/>
      <c r="E130" s="1041"/>
      <c r="F130" s="1041"/>
      <c r="G130" s="28"/>
      <c r="H130" s="28"/>
      <c r="I130" s="28"/>
      <c r="J130" s="28"/>
      <c r="K130" s="28"/>
      <c r="L130" s="28"/>
      <c r="M130" s="28"/>
      <c r="N130" s="28"/>
      <c r="O130" s="28"/>
      <c r="P130" s="28"/>
      <c r="Q130" s="28"/>
      <c r="R130" s="28"/>
      <c r="S130" s="28"/>
      <c r="T130" s="28"/>
      <c r="U130" s="28"/>
      <c r="V130" s="28"/>
      <c r="W130" s="28"/>
      <c r="X130" s="28"/>
      <c r="Y130" s="28"/>
      <c r="Z130" s="28"/>
    </row>
    <row r="131">
      <c r="A131" s="1044"/>
      <c r="B131" s="1045"/>
      <c r="C131" s="1041"/>
      <c r="D131" s="1045"/>
      <c r="E131" s="1041"/>
      <c r="F131" s="1041"/>
      <c r="G131" s="28"/>
      <c r="H131" s="28"/>
      <c r="I131" s="28"/>
      <c r="J131" s="28"/>
      <c r="K131" s="28"/>
      <c r="L131" s="28"/>
      <c r="M131" s="28"/>
      <c r="N131" s="28"/>
      <c r="O131" s="28"/>
      <c r="P131" s="28"/>
      <c r="Q131" s="28"/>
      <c r="R131" s="28"/>
      <c r="S131" s="28"/>
      <c r="T131" s="28"/>
      <c r="U131" s="28"/>
      <c r="V131" s="28"/>
      <c r="W131" s="28"/>
      <c r="X131" s="28"/>
      <c r="Y131" s="28"/>
      <c r="Z131" s="28"/>
    </row>
    <row r="132">
      <c r="A132" s="1044"/>
      <c r="B132" s="1045"/>
      <c r="C132" s="1041"/>
      <c r="D132" s="1045"/>
      <c r="E132" s="1041"/>
      <c r="F132" s="1041"/>
      <c r="G132" s="28"/>
      <c r="H132" s="28"/>
      <c r="I132" s="28"/>
      <c r="J132" s="28"/>
      <c r="K132" s="28"/>
      <c r="L132" s="28"/>
      <c r="M132" s="28"/>
      <c r="N132" s="28"/>
      <c r="O132" s="28"/>
      <c r="P132" s="28"/>
      <c r="Q132" s="28"/>
      <c r="R132" s="28"/>
      <c r="S132" s="28"/>
      <c r="T132" s="28"/>
      <c r="U132" s="28"/>
      <c r="V132" s="28"/>
      <c r="W132" s="28"/>
      <c r="X132" s="28"/>
      <c r="Y132" s="28"/>
      <c r="Z132" s="28"/>
    </row>
    <row r="133">
      <c r="A133" s="1044"/>
      <c r="B133" s="1045"/>
      <c r="C133" s="1041"/>
      <c r="D133" s="1045"/>
      <c r="E133" s="1041"/>
      <c r="F133" s="1041"/>
      <c r="G133" s="28"/>
      <c r="H133" s="28"/>
      <c r="I133" s="28"/>
      <c r="J133" s="28"/>
      <c r="K133" s="28"/>
      <c r="L133" s="28"/>
      <c r="M133" s="28"/>
      <c r="N133" s="28"/>
      <c r="O133" s="28"/>
      <c r="P133" s="28"/>
      <c r="Q133" s="28"/>
      <c r="R133" s="28"/>
      <c r="S133" s="28"/>
      <c r="T133" s="28"/>
      <c r="U133" s="28"/>
      <c r="V133" s="28"/>
      <c r="W133" s="28"/>
      <c r="X133" s="28"/>
      <c r="Y133" s="28"/>
      <c r="Z133" s="28"/>
    </row>
    <row r="134">
      <c r="A134" s="1044"/>
      <c r="B134" s="1045"/>
      <c r="C134" s="1041"/>
      <c r="D134" s="1045"/>
      <c r="E134" s="1041"/>
      <c r="F134" s="1041"/>
      <c r="G134" s="28"/>
      <c r="H134" s="28"/>
      <c r="I134" s="28"/>
      <c r="J134" s="28"/>
      <c r="K134" s="28"/>
      <c r="L134" s="28"/>
      <c r="M134" s="28"/>
      <c r="N134" s="28"/>
      <c r="O134" s="28"/>
      <c r="P134" s="28"/>
      <c r="Q134" s="28"/>
      <c r="R134" s="28"/>
      <c r="S134" s="28"/>
      <c r="T134" s="28"/>
      <c r="U134" s="28"/>
      <c r="V134" s="28"/>
      <c r="W134" s="28"/>
      <c r="X134" s="28"/>
      <c r="Y134" s="28"/>
      <c r="Z134" s="28"/>
    </row>
    <row r="135">
      <c r="A135" s="1044"/>
      <c r="B135" s="1045"/>
      <c r="C135" s="1041"/>
      <c r="D135" s="1045"/>
      <c r="E135" s="1041"/>
      <c r="F135" s="1041"/>
      <c r="G135" s="28"/>
      <c r="H135" s="28"/>
      <c r="I135" s="28"/>
      <c r="J135" s="28"/>
      <c r="K135" s="28"/>
      <c r="L135" s="28"/>
      <c r="M135" s="28"/>
      <c r="N135" s="28"/>
      <c r="O135" s="28"/>
      <c r="P135" s="28"/>
      <c r="Q135" s="28"/>
      <c r="R135" s="28"/>
      <c r="S135" s="28"/>
      <c r="T135" s="28"/>
      <c r="U135" s="28"/>
      <c r="V135" s="28"/>
      <c r="W135" s="28"/>
      <c r="X135" s="28"/>
      <c r="Y135" s="28"/>
      <c r="Z135" s="28"/>
    </row>
    <row r="136">
      <c r="A136" s="1044"/>
      <c r="B136" s="1045"/>
      <c r="C136" s="1041"/>
      <c r="D136" s="1045"/>
      <c r="E136" s="1041"/>
      <c r="F136" s="1041"/>
      <c r="G136" s="28"/>
      <c r="H136" s="28"/>
      <c r="I136" s="28"/>
      <c r="J136" s="28"/>
      <c r="K136" s="28"/>
      <c r="L136" s="28"/>
      <c r="M136" s="28"/>
      <c r="N136" s="28"/>
      <c r="O136" s="28"/>
      <c r="P136" s="28"/>
      <c r="Q136" s="28"/>
      <c r="R136" s="28"/>
      <c r="S136" s="28"/>
      <c r="T136" s="28"/>
      <c r="U136" s="28"/>
      <c r="V136" s="28"/>
      <c r="W136" s="28"/>
      <c r="X136" s="28"/>
      <c r="Y136" s="28"/>
      <c r="Z136" s="28"/>
    </row>
    <row r="137">
      <c r="A137" s="1044"/>
      <c r="B137" s="1045"/>
      <c r="C137" s="1041"/>
      <c r="D137" s="1045"/>
      <c r="E137" s="1041"/>
      <c r="F137" s="1041"/>
      <c r="G137" s="28"/>
      <c r="H137" s="28"/>
      <c r="I137" s="28"/>
      <c r="J137" s="28"/>
      <c r="K137" s="28"/>
      <c r="L137" s="28"/>
      <c r="M137" s="28"/>
      <c r="N137" s="28"/>
      <c r="O137" s="28"/>
      <c r="P137" s="28"/>
      <c r="Q137" s="28"/>
      <c r="R137" s="28"/>
      <c r="S137" s="28"/>
      <c r="T137" s="28"/>
      <c r="U137" s="28"/>
      <c r="V137" s="28"/>
      <c r="W137" s="28"/>
      <c r="X137" s="28"/>
      <c r="Y137" s="28"/>
      <c r="Z137" s="28"/>
    </row>
    <row r="138">
      <c r="A138" s="1044"/>
      <c r="B138" s="1045"/>
      <c r="C138" s="1041"/>
      <c r="D138" s="1045"/>
      <c r="E138" s="1041"/>
      <c r="F138" s="1041"/>
      <c r="G138" s="28"/>
      <c r="H138" s="28"/>
      <c r="I138" s="28"/>
      <c r="J138" s="28"/>
      <c r="K138" s="28"/>
      <c r="L138" s="28"/>
      <c r="M138" s="28"/>
      <c r="N138" s="28"/>
      <c r="O138" s="28"/>
      <c r="P138" s="28"/>
      <c r="Q138" s="28"/>
      <c r="R138" s="28"/>
      <c r="S138" s="28"/>
      <c r="T138" s="28"/>
      <c r="U138" s="28"/>
      <c r="V138" s="28"/>
      <c r="W138" s="28"/>
      <c r="X138" s="28"/>
      <c r="Y138" s="28"/>
      <c r="Z138" s="28"/>
    </row>
    <row r="139">
      <c r="A139" s="1044"/>
      <c r="B139" s="1045"/>
      <c r="C139" s="1041"/>
      <c r="D139" s="1045"/>
      <c r="E139" s="1041"/>
      <c r="F139" s="1041"/>
      <c r="G139" s="28"/>
      <c r="H139" s="28"/>
      <c r="I139" s="28"/>
      <c r="J139" s="28"/>
      <c r="K139" s="28"/>
      <c r="L139" s="28"/>
      <c r="M139" s="28"/>
      <c r="N139" s="28"/>
      <c r="O139" s="28"/>
      <c r="P139" s="28"/>
      <c r="Q139" s="28"/>
      <c r="R139" s="28"/>
      <c r="S139" s="28"/>
      <c r="T139" s="28"/>
      <c r="U139" s="28"/>
      <c r="V139" s="28"/>
      <c r="W139" s="28"/>
      <c r="X139" s="28"/>
      <c r="Y139" s="28"/>
      <c r="Z139" s="28"/>
    </row>
    <row r="140">
      <c r="A140" s="1044"/>
      <c r="B140" s="1045"/>
      <c r="C140" s="1041"/>
      <c r="D140" s="1045"/>
      <c r="E140" s="1041"/>
      <c r="F140" s="1041"/>
      <c r="G140" s="28"/>
      <c r="H140" s="28"/>
      <c r="I140" s="28"/>
      <c r="J140" s="28"/>
      <c r="K140" s="28"/>
      <c r="L140" s="28"/>
      <c r="M140" s="28"/>
      <c r="N140" s="28"/>
      <c r="O140" s="28"/>
      <c r="P140" s="28"/>
      <c r="Q140" s="28"/>
      <c r="R140" s="28"/>
      <c r="S140" s="28"/>
      <c r="T140" s="28"/>
      <c r="U140" s="28"/>
      <c r="V140" s="28"/>
      <c r="W140" s="28"/>
      <c r="X140" s="28"/>
      <c r="Y140" s="28"/>
      <c r="Z140" s="28"/>
    </row>
    <row r="141">
      <c r="A141" s="1044"/>
      <c r="B141" s="1045"/>
      <c r="C141" s="1041"/>
      <c r="D141" s="1045"/>
      <c r="E141" s="1041"/>
      <c r="F141" s="1041"/>
      <c r="G141" s="28"/>
      <c r="H141" s="28"/>
      <c r="I141" s="28"/>
      <c r="J141" s="28"/>
      <c r="K141" s="28"/>
      <c r="L141" s="28"/>
      <c r="M141" s="28"/>
      <c r="N141" s="28"/>
      <c r="O141" s="28"/>
      <c r="P141" s="28"/>
      <c r="Q141" s="28"/>
      <c r="R141" s="28"/>
      <c r="S141" s="28"/>
      <c r="T141" s="28"/>
      <c r="U141" s="28"/>
      <c r="V141" s="28"/>
      <c r="W141" s="28"/>
      <c r="X141" s="28"/>
      <c r="Y141" s="28"/>
      <c r="Z141" s="28"/>
    </row>
    <row r="142">
      <c r="A142" s="1044"/>
      <c r="B142" s="1045"/>
      <c r="C142" s="1041"/>
      <c r="D142" s="1045"/>
      <c r="E142" s="1041"/>
      <c r="F142" s="1041"/>
      <c r="G142" s="28"/>
      <c r="H142" s="28"/>
      <c r="I142" s="28"/>
      <c r="J142" s="28"/>
      <c r="K142" s="28"/>
      <c r="L142" s="28"/>
      <c r="M142" s="28"/>
      <c r="N142" s="28"/>
      <c r="O142" s="28"/>
      <c r="P142" s="28"/>
      <c r="Q142" s="28"/>
      <c r="R142" s="28"/>
      <c r="S142" s="28"/>
      <c r="T142" s="28"/>
      <c r="U142" s="28"/>
      <c r="V142" s="28"/>
      <c r="W142" s="28"/>
      <c r="X142" s="28"/>
      <c r="Y142" s="28"/>
      <c r="Z142" s="28"/>
    </row>
    <row r="143">
      <c r="A143" s="1044"/>
      <c r="B143" s="1045"/>
      <c r="C143" s="1041"/>
      <c r="D143" s="1045"/>
      <c r="E143" s="1041"/>
      <c r="F143" s="1041"/>
      <c r="G143" s="28"/>
      <c r="H143" s="28"/>
      <c r="I143" s="28"/>
      <c r="J143" s="28"/>
      <c r="K143" s="28"/>
      <c r="L143" s="28"/>
      <c r="M143" s="28"/>
      <c r="N143" s="28"/>
      <c r="O143" s="28"/>
      <c r="P143" s="28"/>
      <c r="Q143" s="28"/>
      <c r="R143" s="28"/>
      <c r="S143" s="28"/>
      <c r="T143" s="28"/>
      <c r="U143" s="28"/>
      <c r="V143" s="28"/>
      <c r="W143" s="28"/>
      <c r="X143" s="28"/>
      <c r="Y143" s="28"/>
      <c r="Z143" s="28"/>
    </row>
    <row r="144">
      <c r="A144" s="1044"/>
      <c r="B144" s="1045"/>
      <c r="C144" s="1041"/>
      <c r="D144" s="1045"/>
      <c r="E144" s="1041"/>
      <c r="F144" s="1041"/>
      <c r="G144" s="28"/>
      <c r="H144" s="28"/>
      <c r="I144" s="28"/>
      <c r="J144" s="28"/>
      <c r="K144" s="28"/>
      <c r="L144" s="28"/>
      <c r="M144" s="28"/>
      <c r="N144" s="28"/>
      <c r="O144" s="28"/>
      <c r="P144" s="28"/>
      <c r="Q144" s="28"/>
      <c r="R144" s="28"/>
      <c r="S144" s="28"/>
      <c r="T144" s="28"/>
      <c r="U144" s="28"/>
      <c r="V144" s="28"/>
      <c r="W144" s="28"/>
      <c r="X144" s="28"/>
      <c r="Y144" s="28"/>
      <c r="Z144" s="28"/>
    </row>
    <row r="145">
      <c r="A145" s="1044"/>
      <c r="B145" s="1045"/>
      <c r="C145" s="1041"/>
      <c r="D145" s="1045"/>
      <c r="E145" s="1041"/>
      <c r="F145" s="1041"/>
      <c r="G145" s="28"/>
      <c r="H145" s="28"/>
      <c r="I145" s="28"/>
      <c r="J145" s="28"/>
      <c r="K145" s="28"/>
      <c r="L145" s="28"/>
      <c r="M145" s="28"/>
      <c r="N145" s="28"/>
      <c r="O145" s="28"/>
      <c r="P145" s="28"/>
      <c r="Q145" s="28"/>
      <c r="R145" s="28"/>
      <c r="S145" s="28"/>
      <c r="T145" s="28"/>
      <c r="U145" s="28"/>
      <c r="V145" s="28"/>
      <c r="W145" s="28"/>
      <c r="X145" s="28"/>
      <c r="Y145" s="28"/>
      <c r="Z145" s="28"/>
    </row>
    <row r="146">
      <c r="A146" s="1044"/>
      <c r="B146" s="1045"/>
      <c r="C146" s="1041"/>
      <c r="D146" s="1045"/>
      <c r="E146" s="1041"/>
      <c r="F146" s="1041"/>
      <c r="G146" s="28"/>
      <c r="H146" s="28"/>
      <c r="I146" s="28"/>
      <c r="J146" s="28"/>
      <c r="K146" s="28"/>
      <c r="L146" s="28"/>
      <c r="M146" s="28"/>
      <c r="N146" s="28"/>
      <c r="O146" s="28"/>
      <c r="P146" s="28"/>
      <c r="Q146" s="28"/>
      <c r="R146" s="28"/>
      <c r="S146" s="28"/>
      <c r="T146" s="28"/>
      <c r="U146" s="28"/>
      <c r="V146" s="28"/>
      <c r="W146" s="28"/>
      <c r="X146" s="28"/>
      <c r="Y146" s="28"/>
      <c r="Z146" s="28"/>
    </row>
    <row r="147">
      <c r="A147" s="1044"/>
      <c r="B147" s="1045"/>
      <c r="C147" s="1041"/>
      <c r="D147" s="1045"/>
      <c r="E147" s="1041"/>
      <c r="F147" s="1041"/>
      <c r="G147" s="28"/>
      <c r="H147" s="28"/>
      <c r="I147" s="28"/>
      <c r="J147" s="28"/>
      <c r="K147" s="28"/>
      <c r="L147" s="28"/>
      <c r="M147" s="28"/>
      <c r="N147" s="28"/>
      <c r="O147" s="28"/>
      <c r="P147" s="28"/>
      <c r="Q147" s="28"/>
      <c r="R147" s="28"/>
      <c r="S147" s="28"/>
      <c r="T147" s="28"/>
      <c r="U147" s="28"/>
      <c r="V147" s="28"/>
      <c r="W147" s="28"/>
      <c r="X147" s="28"/>
      <c r="Y147" s="28"/>
      <c r="Z147" s="28"/>
    </row>
    <row r="148">
      <c r="A148" s="1044"/>
      <c r="B148" s="1045"/>
      <c r="C148" s="1041"/>
      <c r="D148" s="1045"/>
      <c r="E148" s="1041"/>
      <c r="F148" s="1041"/>
      <c r="G148" s="28"/>
      <c r="H148" s="28"/>
      <c r="I148" s="28"/>
      <c r="J148" s="28"/>
      <c r="K148" s="28"/>
      <c r="L148" s="28"/>
      <c r="M148" s="28"/>
      <c r="N148" s="28"/>
      <c r="O148" s="28"/>
      <c r="P148" s="28"/>
      <c r="Q148" s="28"/>
      <c r="R148" s="28"/>
      <c r="S148" s="28"/>
      <c r="T148" s="28"/>
      <c r="U148" s="28"/>
      <c r="V148" s="28"/>
      <c r="W148" s="28"/>
      <c r="X148" s="28"/>
      <c r="Y148" s="28"/>
      <c r="Z148" s="28"/>
    </row>
    <row r="149">
      <c r="A149" s="1044"/>
      <c r="B149" s="1045"/>
      <c r="C149" s="1041"/>
      <c r="D149" s="1045"/>
      <c r="E149" s="1041"/>
      <c r="F149" s="1041"/>
      <c r="G149" s="28"/>
      <c r="H149" s="28"/>
      <c r="I149" s="28"/>
      <c r="J149" s="28"/>
      <c r="K149" s="28"/>
      <c r="L149" s="28"/>
      <c r="M149" s="28"/>
      <c r="N149" s="28"/>
      <c r="O149" s="28"/>
      <c r="P149" s="28"/>
      <c r="Q149" s="28"/>
      <c r="R149" s="28"/>
      <c r="S149" s="28"/>
      <c r="T149" s="28"/>
      <c r="U149" s="28"/>
      <c r="V149" s="28"/>
      <c r="W149" s="28"/>
      <c r="X149" s="28"/>
      <c r="Y149" s="28"/>
      <c r="Z149" s="28"/>
    </row>
    <row r="150">
      <c r="A150" s="1044"/>
      <c r="B150" s="1045"/>
      <c r="C150" s="1041"/>
      <c r="D150" s="1045"/>
      <c r="E150" s="1041"/>
      <c r="F150" s="1041"/>
      <c r="G150" s="28"/>
      <c r="H150" s="28"/>
      <c r="I150" s="28"/>
      <c r="J150" s="28"/>
      <c r="K150" s="28"/>
      <c r="L150" s="28"/>
      <c r="M150" s="28"/>
      <c r="N150" s="28"/>
      <c r="O150" s="28"/>
      <c r="P150" s="28"/>
      <c r="Q150" s="28"/>
      <c r="R150" s="28"/>
      <c r="S150" s="28"/>
      <c r="T150" s="28"/>
      <c r="U150" s="28"/>
      <c r="V150" s="28"/>
      <c r="W150" s="28"/>
      <c r="X150" s="28"/>
      <c r="Y150" s="28"/>
      <c r="Z150" s="28"/>
    </row>
    <row r="151">
      <c r="A151" s="1044"/>
      <c r="B151" s="1045"/>
      <c r="C151" s="1041"/>
      <c r="D151" s="1045"/>
      <c r="E151" s="1041"/>
      <c r="F151" s="1041"/>
      <c r="G151" s="28"/>
      <c r="H151" s="28"/>
      <c r="I151" s="28"/>
      <c r="J151" s="28"/>
      <c r="K151" s="28"/>
      <c r="L151" s="28"/>
      <c r="M151" s="28"/>
      <c r="N151" s="28"/>
      <c r="O151" s="28"/>
      <c r="P151" s="28"/>
      <c r="Q151" s="28"/>
      <c r="R151" s="28"/>
      <c r="S151" s="28"/>
      <c r="T151" s="28"/>
      <c r="U151" s="28"/>
      <c r="V151" s="28"/>
      <c r="W151" s="28"/>
      <c r="X151" s="28"/>
      <c r="Y151" s="28"/>
      <c r="Z151" s="28"/>
    </row>
    <row r="152">
      <c r="A152" s="1044"/>
      <c r="B152" s="1045"/>
      <c r="C152" s="1041"/>
      <c r="D152" s="1045"/>
      <c r="E152" s="1041"/>
      <c r="F152" s="1041"/>
      <c r="G152" s="28"/>
      <c r="H152" s="28"/>
      <c r="I152" s="28"/>
      <c r="J152" s="28"/>
      <c r="K152" s="28"/>
      <c r="L152" s="28"/>
      <c r="M152" s="28"/>
      <c r="N152" s="28"/>
      <c r="O152" s="28"/>
      <c r="P152" s="28"/>
      <c r="Q152" s="28"/>
      <c r="R152" s="28"/>
      <c r="S152" s="28"/>
      <c r="T152" s="28"/>
      <c r="U152" s="28"/>
      <c r="V152" s="28"/>
      <c r="W152" s="28"/>
      <c r="X152" s="28"/>
      <c r="Y152" s="28"/>
      <c r="Z152" s="28"/>
    </row>
    <row r="153">
      <c r="A153" s="1044"/>
      <c r="B153" s="1045"/>
      <c r="C153" s="1041"/>
      <c r="D153" s="1045"/>
      <c r="E153" s="1041"/>
      <c r="F153" s="1041"/>
      <c r="G153" s="28"/>
      <c r="H153" s="28"/>
      <c r="I153" s="28"/>
      <c r="J153" s="28"/>
      <c r="K153" s="28"/>
      <c r="L153" s="28"/>
      <c r="M153" s="28"/>
      <c r="N153" s="28"/>
      <c r="O153" s="28"/>
      <c r="P153" s="28"/>
      <c r="Q153" s="28"/>
      <c r="R153" s="28"/>
      <c r="S153" s="28"/>
      <c r="T153" s="28"/>
      <c r="U153" s="28"/>
      <c r="V153" s="28"/>
      <c r="W153" s="28"/>
      <c r="X153" s="28"/>
      <c r="Y153" s="28"/>
      <c r="Z153" s="28"/>
    </row>
    <row r="154">
      <c r="A154" s="1044"/>
      <c r="B154" s="1045"/>
      <c r="C154" s="1041"/>
      <c r="D154" s="1045"/>
      <c r="E154" s="1041"/>
      <c r="F154" s="1041"/>
      <c r="G154" s="28"/>
      <c r="H154" s="28"/>
      <c r="I154" s="28"/>
      <c r="J154" s="28"/>
      <c r="K154" s="28"/>
      <c r="L154" s="28"/>
      <c r="M154" s="28"/>
      <c r="N154" s="28"/>
      <c r="O154" s="28"/>
      <c r="P154" s="28"/>
      <c r="Q154" s="28"/>
      <c r="R154" s="28"/>
      <c r="S154" s="28"/>
      <c r="T154" s="28"/>
      <c r="U154" s="28"/>
      <c r="V154" s="28"/>
      <c r="W154" s="28"/>
      <c r="X154" s="28"/>
      <c r="Y154" s="28"/>
      <c r="Z154" s="28"/>
    </row>
    <row r="155">
      <c r="A155" s="1044"/>
      <c r="B155" s="1045"/>
      <c r="C155" s="1041"/>
      <c r="D155" s="1045"/>
      <c r="E155" s="1041"/>
      <c r="F155" s="1041"/>
      <c r="G155" s="28"/>
      <c r="H155" s="28"/>
      <c r="I155" s="28"/>
      <c r="J155" s="28"/>
      <c r="K155" s="28"/>
      <c r="L155" s="28"/>
      <c r="M155" s="28"/>
      <c r="N155" s="28"/>
      <c r="O155" s="28"/>
      <c r="P155" s="28"/>
      <c r="Q155" s="28"/>
      <c r="R155" s="28"/>
      <c r="S155" s="28"/>
      <c r="T155" s="28"/>
      <c r="U155" s="28"/>
      <c r="V155" s="28"/>
      <c r="W155" s="28"/>
      <c r="X155" s="28"/>
      <c r="Y155" s="28"/>
      <c r="Z155" s="28"/>
    </row>
    <row r="156">
      <c r="A156" s="1044"/>
      <c r="B156" s="1045"/>
      <c r="C156" s="1041"/>
      <c r="D156" s="1045"/>
      <c r="E156" s="1041"/>
      <c r="F156" s="1041"/>
      <c r="G156" s="28"/>
      <c r="H156" s="28"/>
      <c r="I156" s="28"/>
      <c r="J156" s="28"/>
      <c r="K156" s="28"/>
      <c r="L156" s="28"/>
      <c r="M156" s="28"/>
      <c r="N156" s="28"/>
      <c r="O156" s="28"/>
      <c r="P156" s="28"/>
      <c r="Q156" s="28"/>
      <c r="R156" s="28"/>
      <c r="S156" s="28"/>
      <c r="T156" s="28"/>
      <c r="U156" s="28"/>
      <c r="V156" s="28"/>
      <c r="W156" s="28"/>
      <c r="X156" s="28"/>
      <c r="Y156" s="28"/>
      <c r="Z156" s="28"/>
    </row>
    <row r="157">
      <c r="A157" s="1044"/>
      <c r="B157" s="1045"/>
      <c r="C157" s="1041"/>
      <c r="D157" s="1045"/>
      <c r="E157" s="1041"/>
      <c r="F157" s="1041"/>
      <c r="G157" s="28"/>
      <c r="H157" s="28"/>
      <c r="I157" s="28"/>
      <c r="J157" s="28"/>
      <c r="K157" s="28"/>
      <c r="L157" s="28"/>
      <c r="M157" s="28"/>
      <c r="N157" s="28"/>
      <c r="O157" s="28"/>
      <c r="P157" s="28"/>
      <c r="Q157" s="28"/>
      <c r="R157" s="28"/>
      <c r="S157" s="28"/>
      <c r="T157" s="28"/>
      <c r="U157" s="28"/>
      <c r="V157" s="28"/>
      <c r="W157" s="28"/>
      <c r="X157" s="28"/>
      <c r="Y157" s="28"/>
      <c r="Z157" s="28"/>
    </row>
    <row r="158">
      <c r="A158" s="1044"/>
      <c r="B158" s="1045"/>
      <c r="C158" s="1041"/>
      <c r="D158" s="1045"/>
      <c r="E158" s="1041"/>
      <c r="F158" s="1041"/>
      <c r="G158" s="28"/>
      <c r="H158" s="28"/>
      <c r="I158" s="28"/>
      <c r="J158" s="28"/>
      <c r="K158" s="28"/>
      <c r="L158" s="28"/>
      <c r="M158" s="28"/>
      <c r="N158" s="28"/>
      <c r="O158" s="28"/>
      <c r="P158" s="28"/>
      <c r="Q158" s="28"/>
      <c r="R158" s="28"/>
      <c r="S158" s="28"/>
      <c r="T158" s="28"/>
      <c r="U158" s="28"/>
      <c r="V158" s="28"/>
      <c r="W158" s="28"/>
      <c r="X158" s="28"/>
      <c r="Y158" s="28"/>
      <c r="Z158" s="28"/>
    </row>
    <row r="159">
      <c r="A159" s="1044"/>
      <c r="B159" s="1045"/>
      <c r="C159" s="1041"/>
      <c r="D159" s="1045"/>
      <c r="E159" s="1041"/>
      <c r="F159" s="1041"/>
      <c r="G159" s="28"/>
      <c r="H159" s="28"/>
      <c r="I159" s="28"/>
      <c r="J159" s="28"/>
      <c r="K159" s="28"/>
      <c r="L159" s="28"/>
      <c r="M159" s="28"/>
      <c r="N159" s="28"/>
      <c r="O159" s="28"/>
      <c r="P159" s="28"/>
      <c r="Q159" s="28"/>
      <c r="R159" s="28"/>
      <c r="S159" s="28"/>
      <c r="T159" s="28"/>
      <c r="U159" s="28"/>
      <c r="V159" s="28"/>
      <c r="W159" s="28"/>
      <c r="X159" s="28"/>
      <c r="Y159" s="28"/>
      <c r="Z159" s="28"/>
    </row>
    <row r="160">
      <c r="A160" s="1044"/>
      <c r="B160" s="1045"/>
      <c r="C160" s="1041"/>
      <c r="D160" s="1045"/>
      <c r="E160" s="1041"/>
      <c r="F160" s="1041"/>
      <c r="G160" s="28"/>
      <c r="H160" s="28"/>
      <c r="I160" s="28"/>
      <c r="J160" s="28"/>
      <c r="K160" s="28"/>
      <c r="L160" s="28"/>
      <c r="M160" s="28"/>
      <c r="N160" s="28"/>
      <c r="O160" s="28"/>
      <c r="P160" s="28"/>
      <c r="Q160" s="28"/>
      <c r="R160" s="28"/>
      <c r="S160" s="28"/>
      <c r="T160" s="28"/>
      <c r="U160" s="28"/>
      <c r="V160" s="28"/>
      <c r="W160" s="28"/>
      <c r="X160" s="28"/>
      <c r="Y160" s="28"/>
      <c r="Z160" s="28"/>
    </row>
    <row r="161">
      <c r="A161" s="1044"/>
      <c r="B161" s="1045"/>
      <c r="C161" s="1041"/>
      <c r="D161" s="1045"/>
      <c r="E161" s="1041"/>
      <c r="F161" s="1041"/>
      <c r="G161" s="28"/>
      <c r="H161" s="28"/>
      <c r="I161" s="28"/>
      <c r="J161" s="28"/>
      <c r="K161" s="28"/>
      <c r="L161" s="28"/>
      <c r="M161" s="28"/>
      <c r="N161" s="28"/>
      <c r="O161" s="28"/>
      <c r="P161" s="28"/>
      <c r="Q161" s="28"/>
      <c r="R161" s="28"/>
      <c r="S161" s="28"/>
      <c r="T161" s="28"/>
      <c r="U161" s="28"/>
      <c r="V161" s="28"/>
      <c r="W161" s="28"/>
      <c r="X161" s="28"/>
      <c r="Y161" s="28"/>
      <c r="Z161" s="28"/>
    </row>
    <row r="162">
      <c r="A162" s="1044"/>
      <c r="B162" s="1045"/>
      <c r="C162" s="1041"/>
      <c r="D162" s="1045"/>
      <c r="E162" s="1041"/>
      <c r="F162" s="1041"/>
      <c r="G162" s="28"/>
      <c r="H162" s="28"/>
      <c r="I162" s="28"/>
      <c r="J162" s="28"/>
      <c r="K162" s="28"/>
      <c r="L162" s="28"/>
      <c r="M162" s="28"/>
      <c r="N162" s="28"/>
      <c r="O162" s="28"/>
      <c r="P162" s="28"/>
      <c r="Q162" s="28"/>
      <c r="R162" s="28"/>
      <c r="S162" s="28"/>
      <c r="T162" s="28"/>
      <c r="U162" s="28"/>
      <c r="V162" s="28"/>
      <c r="W162" s="28"/>
      <c r="X162" s="28"/>
      <c r="Y162" s="28"/>
      <c r="Z162" s="28"/>
    </row>
    <row r="163">
      <c r="A163" s="1044"/>
      <c r="B163" s="1045"/>
      <c r="C163" s="1041"/>
      <c r="D163" s="1045"/>
      <c r="E163" s="1041"/>
      <c r="F163" s="1041"/>
      <c r="G163" s="28"/>
      <c r="H163" s="28"/>
      <c r="I163" s="28"/>
      <c r="J163" s="28"/>
      <c r="K163" s="28"/>
      <c r="L163" s="28"/>
      <c r="M163" s="28"/>
      <c r="N163" s="28"/>
      <c r="O163" s="28"/>
      <c r="P163" s="28"/>
      <c r="Q163" s="28"/>
      <c r="R163" s="28"/>
      <c r="S163" s="28"/>
      <c r="T163" s="28"/>
      <c r="U163" s="28"/>
      <c r="V163" s="28"/>
      <c r="W163" s="28"/>
      <c r="X163" s="28"/>
      <c r="Y163" s="28"/>
      <c r="Z163" s="28"/>
    </row>
    <row r="164">
      <c r="A164" s="1044"/>
      <c r="B164" s="1045"/>
      <c r="C164" s="1041"/>
      <c r="D164" s="1045"/>
      <c r="E164" s="1041"/>
      <c r="F164" s="1041"/>
      <c r="G164" s="28"/>
      <c r="H164" s="28"/>
      <c r="I164" s="28"/>
      <c r="J164" s="28"/>
      <c r="K164" s="28"/>
      <c r="L164" s="28"/>
      <c r="M164" s="28"/>
      <c r="N164" s="28"/>
      <c r="O164" s="28"/>
      <c r="P164" s="28"/>
      <c r="Q164" s="28"/>
      <c r="R164" s="28"/>
      <c r="S164" s="28"/>
      <c r="T164" s="28"/>
      <c r="U164" s="28"/>
      <c r="V164" s="28"/>
      <c r="W164" s="28"/>
      <c r="X164" s="28"/>
      <c r="Y164" s="28"/>
      <c r="Z164" s="28"/>
    </row>
    <row r="165">
      <c r="A165" s="1044"/>
      <c r="B165" s="1045"/>
      <c r="C165" s="1041"/>
      <c r="D165" s="1045"/>
      <c r="E165" s="1041"/>
      <c r="F165" s="1041"/>
      <c r="G165" s="28"/>
      <c r="H165" s="28"/>
      <c r="I165" s="28"/>
      <c r="J165" s="28"/>
      <c r="K165" s="28"/>
      <c r="L165" s="28"/>
      <c r="M165" s="28"/>
      <c r="N165" s="28"/>
      <c r="O165" s="28"/>
      <c r="P165" s="28"/>
      <c r="Q165" s="28"/>
      <c r="R165" s="28"/>
      <c r="S165" s="28"/>
      <c r="T165" s="28"/>
      <c r="U165" s="28"/>
      <c r="V165" s="28"/>
      <c r="W165" s="28"/>
      <c r="X165" s="28"/>
      <c r="Y165" s="28"/>
      <c r="Z165" s="28"/>
    </row>
    <row r="166">
      <c r="A166" s="1044"/>
      <c r="B166" s="1045"/>
      <c r="C166" s="1041"/>
      <c r="D166" s="1045"/>
      <c r="E166" s="1041"/>
      <c r="F166" s="1041"/>
      <c r="G166" s="28"/>
      <c r="H166" s="28"/>
      <c r="I166" s="28"/>
      <c r="J166" s="28"/>
      <c r="K166" s="28"/>
      <c r="L166" s="28"/>
      <c r="M166" s="28"/>
      <c r="N166" s="28"/>
      <c r="O166" s="28"/>
      <c r="P166" s="28"/>
      <c r="Q166" s="28"/>
      <c r="R166" s="28"/>
      <c r="S166" s="28"/>
      <c r="T166" s="28"/>
      <c r="U166" s="28"/>
      <c r="V166" s="28"/>
      <c r="W166" s="28"/>
      <c r="X166" s="28"/>
      <c r="Y166" s="28"/>
      <c r="Z166" s="28"/>
    </row>
    <row r="167">
      <c r="A167" s="1044"/>
      <c r="B167" s="1045"/>
      <c r="C167" s="1041"/>
      <c r="D167" s="1045"/>
      <c r="E167" s="1041"/>
      <c r="F167" s="1041"/>
      <c r="G167" s="28"/>
      <c r="H167" s="28"/>
      <c r="I167" s="28"/>
      <c r="J167" s="28"/>
      <c r="K167" s="28"/>
      <c r="L167" s="28"/>
      <c r="M167" s="28"/>
      <c r="N167" s="28"/>
      <c r="O167" s="28"/>
      <c r="P167" s="28"/>
      <c r="Q167" s="28"/>
      <c r="R167" s="28"/>
      <c r="S167" s="28"/>
      <c r="T167" s="28"/>
      <c r="U167" s="28"/>
      <c r="V167" s="28"/>
      <c r="W167" s="28"/>
      <c r="X167" s="28"/>
      <c r="Y167" s="28"/>
      <c r="Z167" s="28"/>
    </row>
    <row r="168">
      <c r="A168" s="1044"/>
      <c r="B168" s="1045"/>
      <c r="C168" s="1041"/>
      <c r="D168" s="1045"/>
      <c r="E168" s="1041"/>
      <c r="F168" s="1041"/>
      <c r="G168" s="28"/>
      <c r="H168" s="28"/>
      <c r="I168" s="28"/>
      <c r="J168" s="28"/>
      <c r="K168" s="28"/>
      <c r="L168" s="28"/>
      <c r="M168" s="28"/>
      <c r="N168" s="28"/>
      <c r="O168" s="28"/>
      <c r="P168" s="28"/>
      <c r="Q168" s="28"/>
      <c r="R168" s="28"/>
      <c r="S168" s="28"/>
      <c r="T168" s="28"/>
      <c r="U168" s="28"/>
      <c r="V168" s="28"/>
      <c r="W168" s="28"/>
      <c r="X168" s="28"/>
      <c r="Y168" s="28"/>
      <c r="Z168" s="28"/>
    </row>
    <row r="169">
      <c r="A169" s="1044"/>
      <c r="B169" s="1045"/>
      <c r="C169" s="1041"/>
      <c r="D169" s="1045"/>
      <c r="E169" s="1041"/>
      <c r="F169" s="1041"/>
      <c r="G169" s="28"/>
      <c r="H169" s="28"/>
      <c r="I169" s="28"/>
      <c r="J169" s="28"/>
      <c r="K169" s="28"/>
      <c r="L169" s="28"/>
      <c r="M169" s="28"/>
      <c r="N169" s="28"/>
      <c r="O169" s="28"/>
      <c r="P169" s="28"/>
      <c r="Q169" s="28"/>
      <c r="R169" s="28"/>
      <c r="S169" s="28"/>
      <c r="T169" s="28"/>
      <c r="U169" s="28"/>
      <c r="V169" s="28"/>
      <c r="W169" s="28"/>
      <c r="X169" s="28"/>
      <c r="Y169" s="28"/>
      <c r="Z169" s="28"/>
    </row>
    <row r="170">
      <c r="A170" s="1044"/>
      <c r="B170" s="1045"/>
      <c r="C170" s="1041"/>
      <c r="D170" s="1045"/>
      <c r="E170" s="1041"/>
      <c r="F170" s="1041"/>
      <c r="G170" s="28"/>
      <c r="H170" s="28"/>
      <c r="I170" s="28"/>
      <c r="J170" s="28"/>
      <c r="K170" s="28"/>
      <c r="L170" s="28"/>
      <c r="M170" s="28"/>
      <c r="N170" s="28"/>
      <c r="O170" s="28"/>
      <c r="P170" s="28"/>
      <c r="Q170" s="28"/>
      <c r="R170" s="28"/>
      <c r="S170" s="28"/>
      <c r="T170" s="28"/>
      <c r="U170" s="28"/>
      <c r="V170" s="28"/>
      <c r="W170" s="28"/>
      <c r="X170" s="28"/>
      <c r="Y170" s="28"/>
      <c r="Z170" s="28"/>
    </row>
    <row r="171">
      <c r="A171" s="1044"/>
      <c r="B171" s="1045"/>
      <c r="C171" s="1041"/>
      <c r="D171" s="1045"/>
      <c r="E171" s="1041"/>
      <c r="F171" s="1041"/>
      <c r="G171" s="28"/>
      <c r="H171" s="28"/>
      <c r="I171" s="28"/>
      <c r="J171" s="28"/>
      <c r="K171" s="28"/>
      <c r="L171" s="28"/>
      <c r="M171" s="28"/>
      <c r="N171" s="28"/>
      <c r="O171" s="28"/>
      <c r="P171" s="28"/>
      <c r="Q171" s="28"/>
      <c r="R171" s="28"/>
      <c r="S171" s="28"/>
      <c r="T171" s="28"/>
      <c r="U171" s="28"/>
      <c r="V171" s="28"/>
      <c r="W171" s="28"/>
      <c r="X171" s="28"/>
      <c r="Y171" s="28"/>
      <c r="Z171" s="28"/>
    </row>
    <row r="172">
      <c r="A172" s="1044"/>
      <c r="B172" s="1045"/>
      <c r="C172" s="1041"/>
      <c r="D172" s="1045"/>
      <c r="E172" s="1041"/>
      <c r="F172" s="1041"/>
      <c r="G172" s="28"/>
      <c r="H172" s="28"/>
      <c r="I172" s="28"/>
      <c r="J172" s="28"/>
      <c r="K172" s="28"/>
      <c r="L172" s="28"/>
      <c r="M172" s="28"/>
      <c r="N172" s="28"/>
      <c r="O172" s="28"/>
      <c r="P172" s="28"/>
      <c r="Q172" s="28"/>
      <c r="R172" s="28"/>
      <c r="S172" s="28"/>
      <c r="T172" s="28"/>
      <c r="U172" s="28"/>
      <c r="V172" s="28"/>
      <c r="W172" s="28"/>
      <c r="X172" s="28"/>
      <c r="Y172" s="28"/>
      <c r="Z172" s="28"/>
    </row>
    <row r="173">
      <c r="A173" s="1044"/>
      <c r="B173" s="1045"/>
      <c r="C173" s="1041"/>
      <c r="D173" s="1045"/>
      <c r="E173" s="1041"/>
      <c r="F173" s="1041"/>
      <c r="G173" s="28"/>
      <c r="H173" s="28"/>
      <c r="I173" s="28"/>
      <c r="J173" s="28"/>
      <c r="K173" s="28"/>
      <c r="L173" s="28"/>
      <c r="M173" s="28"/>
      <c r="N173" s="28"/>
      <c r="O173" s="28"/>
      <c r="P173" s="28"/>
      <c r="Q173" s="28"/>
      <c r="R173" s="28"/>
      <c r="S173" s="28"/>
      <c r="T173" s="28"/>
      <c r="U173" s="28"/>
      <c r="V173" s="28"/>
      <c r="W173" s="28"/>
      <c r="X173" s="28"/>
      <c r="Y173" s="28"/>
      <c r="Z173" s="28"/>
    </row>
    <row r="174">
      <c r="A174" s="1044"/>
      <c r="B174" s="1045"/>
      <c r="C174" s="1041"/>
      <c r="D174" s="1045"/>
      <c r="E174" s="1041"/>
      <c r="F174" s="1041"/>
      <c r="G174" s="28"/>
      <c r="H174" s="28"/>
      <c r="I174" s="28"/>
      <c r="J174" s="28"/>
      <c r="K174" s="28"/>
      <c r="L174" s="28"/>
      <c r="M174" s="28"/>
      <c r="N174" s="28"/>
      <c r="O174" s="28"/>
      <c r="P174" s="28"/>
      <c r="Q174" s="28"/>
      <c r="R174" s="28"/>
      <c r="S174" s="28"/>
      <c r="T174" s="28"/>
      <c r="U174" s="28"/>
      <c r="V174" s="28"/>
      <c r="W174" s="28"/>
      <c r="X174" s="28"/>
      <c r="Y174" s="28"/>
      <c r="Z174" s="28"/>
    </row>
    <row r="175">
      <c r="A175" s="1044"/>
      <c r="B175" s="1045"/>
      <c r="C175" s="1041"/>
      <c r="D175" s="1045"/>
      <c r="E175" s="1041"/>
      <c r="F175" s="1041"/>
      <c r="G175" s="28"/>
      <c r="H175" s="28"/>
      <c r="I175" s="28"/>
      <c r="J175" s="28"/>
      <c r="K175" s="28"/>
      <c r="L175" s="28"/>
      <c r="M175" s="28"/>
      <c r="N175" s="28"/>
      <c r="O175" s="28"/>
      <c r="P175" s="28"/>
      <c r="Q175" s="28"/>
      <c r="R175" s="28"/>
      <c r="S175" s="28"/>
      <c r="T175" s="28"/>
      <c r="U175" s="28"/>
      <c r="V175" s="28"/>
      <c r="W175" s="28"/>
      <c r="X175" s="28"/>
      <c r="Y175" s="28"/>
      <c r="Z175" s="28"/>
    </row>
    <row r="176">
      <c r="A176" s="1044"/>
      <c r="B176" s="1045"/>
      <c r="C176" s="1041"/>
      <c r="D176" s="1045"/>
      <c r="E176" s="1041"/>
      <c r="F176" s="1041"/>
      <c r="G176" s="28"/>
      <c r="H176" s="28"/>
      <c r="I176" s="28"/>
      <c r="J176" s="28"/>
      <c r="K176" s="28"/>
      <c r="L176" s="28"/>
      <c r="M176" s="28"/>
      <c r="N176" s="28"/>
      <c r="O176" s="28"/>
      <c r="P176" s="28"/>
      <c r="Q176" s="28"/>
      <c r="R176" s="28"/>
      <c r="S176" s="28"/>
      <c r="T176" s="28"/>
      <c r="U176" s="28"/>
      <c r="V176" s="28"/>
      <c r="W176" s="28"/>
      <c r="X176" s="28"/>
      <c r="Y176" s="28"/>
      <c r="Z176" s="28"/>
    </row>
    <row r="177">
      <c r="A177" s="1044"/>
      <c r="B177" s="1045"/>
      <c r="C177" s="1041"/>
      <c r="D177" s="1045"/>
      <c r="E177" s="1041"/>
      <c r="F177" s="1041"/>
      <c r="G177" s="28"/>
      <c r="H177" s="28"/>
      <c r="I177" s="28"/>
      <c r="J177" s="28"/>
      <c r="K177" s="28"/>
      <c r="L177" s="28"/>
      <c r="M177" s="28"/>
      <c r="N177" s="28"/>
      <c r="O177" s="28"/>
      <c r="P177" s="28"/>
      <c r="Q177" s="28"/>
      <c r="R177" s="28"/>
      <c r="S177" s="28"/>
      <c r="T177" s="28"/>
      <c r="U177" s="28"/>
      <c r="V177" s="28"/>
      <c r="W177" s="28"/>
      <c r="X177" s="28"/>
      <c r="Y177" s="28"/>
      <c r="Z177" s="28"/>
    </row>
    <row r="178">
      <c r="A178" s="1044"/>
      <c r="B178" s="1045"/>
      <c r="C178" s="1041"/>
      <c r="D178" s="1045"/>
      <c r="E178" s="1041"/>
      <c r="F178" s="1041"/>
      <c r="G178" s="28"/>
      <c r="H178" s="28"/>
      <c r="I178" s="28"/>
      <c r="J178" s="28"/>
      <c r="K178" s="28"/>
      <c r="L178" s="28"/>
      <c r="M178" s="28"/>
      <c r="N178" s="28"/>
      <c r="O178" s="28"/>
      <c r="P178" s="28"/>
      <c r="Q178" s="28"/>
      <c r="R178" s="28"/>
      <c r="S178" s="28"/>
      <c r="T178" s="28"/>
      <c r="U178" s="28"/>
      <c r="V178" s="28"/>
      <c r="W178" s="28"/>
      <c r="X178" s="28"/>
      <c r="Y178" s="28"/>
      <c r="Z178" s="28"/>
    </row>
    <row r="179">
      <c r="A179" s="1044"/>
      <c r="B179" s="1045"/>
      <c r="C179" s="1041"/>
      <c r="D179" s="1045"/>
      <c r="E179" s="1041"/>
      <c r="F179" s="1041"/>
      <c r="G179" s="28"/>
      <c r="H179" s="28"/>
      <c r="I179" s="28"/>
      <c r="J179" s="28"/>
      <c r="K179" s="28"/>
      <c r="L179" s="28"/>
      <c r="M179" s="28"/>
      <c r="N179" s="28"/>
      <c r="O179" s="28"/>
      <c r="P179" s="28"/>
      <c r="Q179" s="28"/>
      <c r="R179" s="28"/>
      <c r="S179" s="28"/>
      <c r="T179" s="28"/>
      <c r="U179" s="28"/>
      <c r="V179" s="28"/>
      <c r="W179" s="28"/>
      <c r="X179" s="28"/>
      <c r="Y179" s="28"/>
      <c r="Z179" s="28"/>
    </row>
    <row r="180">
      <c r="A180" s="1044"/>
      <c r="B180" s="1045"/>
      <c r="C180" s="1041"/>
      <c r="D180" s="1045"/>
      <c r="E180" s="1041"/>
      <c r="F180" s="1041"/>
      <c r="G180" s="28"/>
      <c r="H180" s="28"/>
      <c r="I180" s="28"/>
      <c r="J180" s="28"/>
      <c r="K180" s="28"/>
      <c r="L180" s="28"/>
      <c r="M180" s="28"/>
      <c r="N180" s="28"/>
      <c r="O180" s="28"/>
      <c r="P180" s="28"/>
      <c r="Q180" s="28"/>
      <c r="R180" s="28"/>
      <c r="S180" s="28"/>
      <c r="T180" s="28"/>
      <c r="U180" s="28"/>
      <c r="V180" s="28"/>
      <c r="W180" s="28"/>
      <c r="X180" s="28"/>
      <c r="Y180" s="28"/>
      <c r="Z180" s="28"/>
    </row>
    <row r="181">
      <c r="A181" s="1044"/>
      <c r="B181" s="1045"/>
      <c r="C181" s="1041"/>
      <c r="D181" s="1045"/>
      <c r="E181" s="1041"/>
      <c r="F181" s="1041"/>
      <c r="G181" s="28"/>
      <c r="H181" s="28"/>
      <c r="I181" s="28"/>
      <c r="J181" s="28"/>
      <c r="K181" s="28"/>
      <c r="L181" s="28"/>
      <c r="M181" s="28"/>
      <c r="N181" s="28"/>
      <c r="O181" s="28"/>
      <c r="P181" s="28"/>
      <c r="Q181" s="28"/>
      <c r="R181" s="28"/>
      <c r="S181" s="28"/>
      <c r="T181" s="28"/>
      <c r="U181" s="28"/>
      <c r="V181" s="28"/>
      <c r="W181" s="28"/>
      <c r="X181" s="28"/>
      <c r="Y181" s="28"/>
      <c r="Z181" s="28"/>
    </row>
    <row r="182">
      <c r="A182" s="1044"/>
      <c r="B182" s="1045"/>
      <c r="C182" s="1041"/>
      <c r="D182" s="1045"/>
      <c r="E182" s="1041"/>
      <c r="F182" s="1041"/>
      <c r="G182" s="28"/>
      <c r="H182" s="28"/>
      <c r="I182" s="28"/>
      <c r="J182" s="28"/>
      <c r="K182" s="28"/>
      <c r="L182" s="28"/>
      <c r="M182" s="28"/>
      <c r="N182" s="28"/>
      <c r="O182" s="28"/>
      <c r="P182" s="28"/>
      <c r="Q182" s="28"/>
      <c r="R182" s="28"/>
      <c r="S182" s="28"/>
      <c r="T182" s="28"/>
      <c r="U182" s="28"/>
      <c r="V182" s="28"/>
      <c r="W182" s="28"/>
      <c r="X182" s="28"/>
      <c r="Y182" s="28"/>
      <c r="Z182" s="28"/>
    </row>
    <row r="183">
      <c r="A183" s="1044"/>
      <c r="B183" s="1045"/>
      <c r="C183" s="1041"/>
      <c r="D183" s="1045"/>
      <c r="E183" s="1041"/>
      <c r="F183" s="1041"/>
      <c r="G183" s="28"/>
      <c r="H183" s="28"/>
      <c r="I183" s="28"/>
      <c r="J183" s="28"/>
      <c r="K183" s="28"/>
      <c r="L183" s="28"/>
      <c r="M183" s="28"/>
      <c r="N183" s="28"/>
      <c r="O183" s="28"/>
      <c r="P183" s="28"/>
      <c r="Q183" s="28"/>
      <c r="R183" s="28"/>
      <c r="S183" s="28"/>
      <c r="T183" s="28"/>
      <c r="U183" s="28"/>
      <c r="V183" s="28"/>
      <c r="W183" s="28"/>
      <c r="X183" s="28"/>
      <c r="Y183" s="28"/>
      <c r="Z183" s="28"/>
    </row>
    <row r="184">
      <c r="A184" s="1044"/>
      <c r="B184" s="1045"/>
      <c r="C184" s="1041"/>
      <c r="D184" s="1045"/>
      <c r="E184" s="1041"/>
      <c r="F184" s="1041"/>
      <c r="G184" s="28"/>
      <c r="H184" s="28"/>
      <c r="I184" s="28"/>
      <c r="J184" s="28"/>
      <c r="K184" s="28"/>
      <c r="L184" s="28"/>
      <c r="M184" s="28"/>
      <c r="N184" s="28"/>
      <c r="O184" s="28"/>
      <c r="P184" s="28"/>
      <c r="Q184" s="28"/>
      <c r="R184" s="28"/>
      <c r="S184" s="28"/>
      <c r="T184" s="28"/>
      <c r="U184" s="28"/>
      <c r="V184" s="28"/>
      <c r="W184" s="28"/>
      <c r="X184" s="28"/>
      <c r="Y184" s="28"/>
      <c r="Z184" s="28"/>
    </row>
    <row r="185">
      <c r="A185" s="1044"/>
      <c r="B185" s="1045"/>
      <c r="C185" s="1041"/>
      <c r="D185" s="1045"/>
      <c r="E185" s="1041"/>
      <c r="F185" s="1041"/>
      <c r="G185" s="28"/>
      <c r="H185" s="28"/>
      <c r="I185" s="28"/>
      <c r="J185" s="28"/>
      <c r="K185" s="28"/>
      <c r="L185" s="28"/>
      <c r="M185" s="28"/>
      <c r="N185" s="28"/>
      <c r="O185" s="28"/>
      <c r="P185" s="28"/>
      <c r="Q185" s="28"/>
      <c r="R185" s="28"/>
      <c r="S185" s="28"/>
      <c r="T185" s="28"/>
      <c r="U185" s="28"/>
      <c r="V185" s="28"/>
      <c r="W185" s="28"/>
      <c r="X185" s="28"/>
      <c r="Y185" s="28"/>
      <c r="Z185" s="28"/>
    </row>
    <row r="186">
      <c r="A186" s="1044"/>
      <c r="B186" s="1045"/>
      <c r="C186" s="1041"/>
      <c r="D186" s="1045"/>
      <c r="E186" s="1041"/>
      <c r="F186" s="1041"/>
      <c r="G186" s="28"/>
      <c r="H186" s="28"/>
      <c r="I186" s="28"/>
      <c r="J186" s="28"/>
      <c r="K186" s="28"/>
      <c r="L186" s="28"/>
      <c r="M186" s="28"/>
      <c r="N186" s="28"/>
      <c r="O186" s="28"/>
      <c r="P186" s="28"/>
      <c r="Q186" s="28"/>
      <c r="R186" s="28"/>
      <c r="S186" s="28"/>
      <c r="T186" s="28"/>
      <c r="U186" s="28"/>
      <c r="V186" s="28"/>
      <c r="W186" s="28"/>
      <c r="X186" s="28"/>
      <c r="Y186" s="28"/>
      <c r="Z186" s="28"/>
    </row>
    <row r="187">
      <c r="A187" s="1044"/>
      <c r="B187" s="1045"/>
      <c r="C187" s="1041"/>
      <c r="D187" s="1045"/>
      <c r="E187" s="1041"/>
      <c r="F187" s="1041"/>
      <c r="G187" s="28"/>
      <c r="H187" s="28"/>
      <c r="I187" s="28"/>
      <c r="J187" s="28"/>
      <c r="K187" s="28"/>
      <c r="L187" s="28"/>
      <c r="M187" s="28"/>
      <c r="N187" s="28"/>
      <c r="O187" s="28"/>
      <c r="P187" s="28"/>
      <c r="Q187" s="28"/>
      <c r="R187" s="28"/>
      <c r="S187" s="28"/>
      <c r="T187" s="28"/>
      <c r="U187" s="28"/>
      <c r="V187" s="28"/>
      <c r="W187" s="28"/>
      <c r="X187" s="28"/>
      <c r="Y187" s="28"/>
      <c r="Z187" s="28"/>
    </row>
    <row r="188">
      <c r="A188" s="1044"/>
      <c r="B188" s="1045"/>
      <c r="C188" s="1041"/>
      <c r="D188" s="1045"/>
      <c r="E188" s="1041"/>
      <c r="F188" s="1041"/>
      <c r="G188" s="28"/>
      <c r="H188" s="28"/>
      <c r="I188" s="28"/>
      <c r="J188" s="28"/>
      <c r="K188" s="28"/>
      <c r="L188" s="28"/>
      <c r="M188" s="28"/>
      <c r="N188" s="28"/>
      <c r="O188" s="28"/>
      <c r="P188" s="28"/>
      <c r="Q188" s="28"/>
      <c r="R188" s="28"/>
      <c r="S188" s="28"/>
      <c r="T188" s="28"/>
      <c r="U188" s="28"/>
      <c r="V188" s="28"/>
      <c r="W188" s="28"/>
      <c r="X188" s="28"/>
      <c r="Y188" s="28"/>
      <c r="Z188" s="28"/>
    </row>
    <row r="189">
      <c r="A189" s="1044"/>
      <c r="B189" s="1045"/>
      <c r="C189" s="1041"/>
      <c r="D189" s="1045"/>
      <c r="E189" s="1041"/>
      <c r="F189" s="1041"/>
      <c r="G189" s="28"/>
      <c r="H189" s="28"/>
      <c r="I189" s="28"/>
      <c r="J189" s="28"/>
      <c r="K189" s="28"/>
      <c r="L189" s="28"/>
      <c r="M189" s="28"/>
      <c r="N189" s="28"/>
      <c r="O189" s="28"/>
      <c r="P189" s="28"/>
      <c r="Q189" s="28"/>
      <c r="R189" s="28"/>
      <c r="S189" s="28"/>
      <c r="T189" s="28"/>
      <c r="U189" s="28"/>
      <c r="V189" s="28"/>
      <c r="W189" s="28"/>
      <c r="X189" s="28"/>
      <c r="Y189" s="28"/>
      <c r="Z189" s="28"/>
    </row>
    <row r="190">
      <c r="A190" s="1044"/>
      <c r="B190" s="1045"/>
      <c r="C190" s="1041"/>
      <c r="D190" s="1045"/>
      <c r="E190" s="1041"/>
      <c r="F190" s="1041"/>
      <c r="G190" s="28"/>
      <c r="H190" s="28"/>
      <c r="I190" s="28"/>
      <c r="J190" s="28"/>
      <c r="K190" s="28"/>
      <c r="L190" s="28"/>
      <c r="M190" s="28"/>
      <c r="N190" s="28"/>
      <c r="O190" s="28"/>
      <c r="P190" s="28"/>
      <c r="Q190" s="28"/>
      <c r="R190" s="28"/>
      <c r="S190" s="28"/>
      <c r="T190" s="28"/>
      <c r="U190" s="28"/>
      <c r="V190" s="28"/>
      <c r="W190" s="28"/>
      <c r="X190" s="28"/>
      <c r="Y190" s="28"/>
      <c r="Z190" s="28"/>
    </row>
    <row r="191">
      <c r="A191" s="1044"/>
      <c r="B191" s="1045"/>
      <c r="C191" s="1041"/>
      <c r="D191" s="1045"/>
      <c r="E191" s="1041"/>
      <c r="F191" s="1041"/>
      <c r="G191" s="28"/>
      <c r="H191" s="28"/>
      <c r="I191" s="28"/>
      <c r="J191" s="28"/>
      <c r="K191" s="28"/>
      <c r="L191" s="28"/>
      <c r="M191" s="28"/>
      <c r="N191" s="28"/>
      <c r="O191" s="28"/>
      <c r="P191" s="28"/>
      <c r="Q191" s="28"/>
      <c r="R191" s="28"/>
      <c r="S191" s="28"/>
      <c r="T191" s="28"/>
      <c r="U191" s="28"/>
      <c r="V191" s="28"/>
      <c r="W191" s="28"/>
      <c r="X191" s="28"/>
      <c r="Y191" s="28"/>
      <c r="Z191" s="28"/>
    </row>
    <row r="192">
      <c r="A192" s="1044"/>
      <c r="B192" s="1045"/>
      <c r="C192" s="1041"/>
      <c r="D192" s="1045"/>
      <c r="E192" s="1041"/>
      <c r="F192" s="1041"/>
      <c r="G192" s="28"/>
      <c r="H192" s="28"/>
      <c r="I192" s="28"/>
      <c r="J192" s="28"/>
      <c r="K192" s="28"/>
      <c r="L192" s="28"/>
      <c r="M192" s="28"/>
      <c r="N192" s="28"/>
      <c r="O192" s="28"/>
      <c r="P192" s="28"/>
      <c r="Q192" s="28"/>
      <c r="R192" s="28"/>
      <c r="S192" s="28"/>
      <c r="T192" s="28"/>
      <c r="U192" s="28"/>
      <c r="V192" s="28"/>
      <c r="W192" s="28"/>
      <c r="X192" s="28"/>
      <c r="Y192" s="28"/>
      <c r="Z192" s="28"/>
    </row>
    <row r="193">
      <c r="A193" s="1044"/>
      <c r="B193" s="1045"/>
      <c r="C193" s="1041"/>
      <c r="D193" s="1045"/>
      <c r="E193" s="1041"/>
      <c r="F193" s="1041"/>
      <c r="G193" s="28"/>
      <c r="H193" s="28"/>
      <c r="I193" s="28"/>
      <c r="J193" s="28"/>
      <c r="K193" s="28"/>
      <c r="L193" s="28"/>
      <c r="M193" s="28"/>
      <c r="N193" s="28"/>
      <c r="O193" s="28"/>
      <c r="P193" s="28"/>
      <c r="Q193" s="28"/>
      <c r="R193" s="28"/>
      <c r="S193" s="28"/>
      <c r="T193" s="28"/>
      <c r="U193" s="28"/>
      <c r="V193" s="28"/>
      <c r="W193" s="28"/>
      <c r="X193" s="28"/>
      <c r="Y193" s="28"/>
      <c r="Z193" s="28"/>
    </row>
    <row r="194">
      <c r="A194" s="1044"/>
      <c r="B194" s="1045"/>
      <c r="C194" s="1041"/>
      <c r="D194" s="1045"/>
      <c r="E194" s="1041"/>
      <c r="F194" s="1041"/>
      <c r="G194" s="28"/>
      <c r="H194" s="28"/>
      <c r="I194" s="28"/>
      <c r="J194" s="28"/>
      <c r="K194" s="28"/>
      <c r="L194" s="28"/>
      <c r="M194" s="28"/>
      <c r="N194" s="28"/>
      <c r="O194" s="28"/>
      <c r="P194" s="28"/>
      <c r="Q194" s="28"/>
      <c r="R194" s="28"/>
      <c r="S194" s="28"/>
      <c r="T194" s="28"/>
      <c r="U194" s="28"/>
      <c r="V194" s="28"/>
      <c r="W194" s="28"/>
      <c r="X194" s="28"/>
      <c r="Y194" s="28"/>
      <c r="Z194" s="28"/>
    </row>
    <row r="195">
      <c r="A195" s="1044"/>
      <c r="B195" s="1045"/>
      <c r="C195" s="1041"/>
      <c r="D195" s="1045"/>
      <c r="E195" s="1041"/>
      <c r="F195" s="1041"/>
      <c r="G195" s="28"/>
      <c r="H195" s="28"/>
      <c r="I195" s="28"/>
      <c r="J195" s="28"/>
      <c r="K195" s="28"/>
      <c r="L195" s="28"/>
      <c r="M195" s="28"/>
      <c r="N195" s="28"/>
      <c r="O195" s="28"/>
      <c r="P195" s="28"/>
      <c r="Q195" s="28"/>
      <c r="R195" s="28"/>
      <c r="S195" s="28"/>
      <c r="T195" s="28"/>
      <c r="U195" s="28"/>
      <c r="V195" s="28"/>
      <c r="W195" s="28"/>
      <c r="X195" s="28"/>
      <c r="Y195" s="28"/>
      <c r="Z195" s="28"/>
    </row>
    <row r="196">
      <c r="A196" s="1044"/>
      <c r="B196" s="1045"/>
      <c r="C196" s="1041"/>
      <c r="D196" s="1045"/>
      <c r="E196" s="1041"/>
      <c r="F196" s="1041"/>
      <c r="G196" s="28"/>
      <c r="H196" s="28"/>
      <c r="I196" s="28"/>
      <c r="J196" s="28"/>
      <c r="K196" s="28"/>
      <c r="L196" s="28"/>
      <c r="M196" s="28"/>
      <c r="N196" s="28"/>
      <c r="O196" s="28"/>
      <c r="P196" s="28"/>
      <c r="Q196" s="28"/>
      <c r="R196" s="28"/>
      <c r="S196" s="28"/>
      <c r="T196" s="28"/>
      <c r="U196" s="28"/>
      <c r="V196" s="28"/>
      <c r="W196" s="28"/>
      <c r="X196" s="28"/>
      <c r="Y196" s="28"/>
      <c r="Z196" s="28"/>
    </row>
    <row r="197">
      <c r="A197" s="1044"/>
      <c r="B197" s="1045"/>
      <c r="C197" s="1041"/>
      <c r="D197" s="1045"/>
      <c r="E197" s="1041"/>
      <c r="F197" s="1041"/>
      <c r="G197" s="28"/>
      <c r="H197" s="28"/>
      <c r="I197" s="28"/>
      <c r="J197" s="28"/>
      <c r="K197" s="28"/>
      <c r="L197" s="28"/>
      <c r="M197" s="28"/>
      <c r="N197" s="28"/>
      <c r="O197" s="28"/>
      <c r="P197" s="28"/>
      <c r="Q197" s="28"/>
      <c r="R197" s="28"/>
      <c r="S197" s="28"/>
      <c r="T197" s="28"/>
      <c r="U197" s="28"/>
      <c r="V197" s="28"/>
      <c r="W197" s="28"/>
      <c r="X197" s="28"/>
      <c r="Y197" s="28"/>
      <c r="Z197" s="28"/>
    </row>
    <row r="198">
      <c r="A198" s="1044"/>
      <c r="B198" s="1045"/>
      <c r="C198" s="1041"/>
      <c r="D198" s="1045"/>
      <c r="E198" s="1041"/>
      <c r="F198" s="1041"/>
      <c r="G198" s="28"/>
      <c r="H198" s="28"/>
      <c r="I198" s="28"/>
      <c r="J198" s="28"/>
      <c r="K198" s="28"/>
      <c r="L198" s="28"/>
      <c r="M198" s="28"/>
      <c r="N198" s="28"/>
      <c r="O198" s="28"/>
      <c r="P198" s="28"/>
      <c r="Q198" s="28"/>
      <c r="R198" s="28"/>
      <c r="S198" s="28"/>
      <c r="T198" s="28"/>
      <c r="U198" s="28"/>
      <c r="V198" s="28"/>
      <c r="W198" s="28"/>
      <c r="X198" s="28"/>
      <c r="Y198" s="28"/>
      <c r="Z198" s="28"/>
    </row>
    <row r="199">
      <c r="A199" s="1044"/>
      <c r="B199" s="1045"/>
      <c r="C199" s="1041"/>
      <c r="D199" s="1045"/>
      <c r="E199" s="1041"/>
      <c r="F199" s="1041"/>
      <c r="G199" s="28"/>
      <c r="H199" s="28"/>
      <c r="I199" s="28"/>
      <c r="J199" s="28"/>
      <c r="K199" s="28"/>
      <c r="L199" s="28"/>
      <c r="M199" s="28"/>
      <c r="N199" s="28"/>
      <c r="O199" s="28"/>
      <c r="P199" s="28"/>
      <c r="Q199" s="28"/>
      <c r="R199" s="28"/>
      <c r="S199" s="28"/>
      <c r="T199" s="28"/>
      <c r="U199" s="28"/>
      <c r="V199" s="28"/>
      <c r="W199" s="28"/>
      <c r="X199" s="28"/>
      <c r="Y199" s="28"/>
      <c r="Z199" s="28"/>
    </row>
    <row r="200">
      <c r="A200" s="1044"/>
      <c r="B200" s="1045"/>
      <c r="C200" s="1041"/>
      <c r="D200" s="1045"/>
      <c r="E200" s="1041"/>
      <c r="F200" s="1041"/>
      <c r="G200" s="28"/>
      <c r="H200" s="28"/>
      <c r="I200" s="28"/>
      <c r="J200" s="28"/>
      <c r="K200" s="28"/>
      <c r="L200" s="28"/>
      <c r="M200" s="28"/>
      <c r="N200" s="28"/>
      <c r="O200" s="28"/>
      <c r="P200" s="28"/>
      <c r="Q200" s="28"/>
      <c r="R200" s="28"/>
      <c r="S200" s="28"/>
      <c r="T200" s="28"/>
      <c r="U200" s="28"/>
      <c r="V200" s="28"/>
      <c r="W200" s="28"/>
      <c r="X200" s="28"/>
      <c r="Y200" s="28"/>
      <c r="Z200" s="28"/>
    </row>
    <row r="201">
      <c r="A201" s="1044"/>
      <c r="B201" s="1045"/>
      <c r="C201" s="1041"/>
      <c r="D201" s="1045"/>
      <c r="E201" s="1041"/>
      <c r="F201" s="1041"/>
      <c r="G201" s="28"/>
      <c r="H201" s="28"/>
      <c r="I201" s="28"/>
      <c r="J201" s="28"/>
      <c r="K201" s="28"/>
      <c r="L201" s="28"/>
      <c r="M201" s="28"/>
      <c r="N201" s="28"/>
      <c r="O201" s="28"/>
      <c r="P201" s="28"/>
      <c r="Q201" s="28"/>
      <c r="R201" s="28"/>
      <c r="S201" s="28"/>
      <c r="T201" s="28"/>
      <c r="U201" s="28"/>
      <c r="V201" s="28"/>
      <c r="W201" s="28"/>
      <c r="X201" s="28"/>
      <c r="Y201" s="28"/>
      <c r="Z201" s="28"/>
    </row>
    <row r="202">
      <c r="A202" s="1044"/>
      <c r="B202" s="1045"/>
      <c r="C202" s="1041"/>
      <c r="D202" s="1045"/>
      <c r="E202" s="1041"/>
      <c r="F202" s="1041"/>
      <c r="G202" s="28"/>
      <c r="H202" s="28"/>
      <c r="I202" s="28"/>
      <c r="J202" s="28"/>
      <c r="K202" s="28"/>
      <c r="L202" s="28"/>
      <c r="M202" s="28"/>
      <c r="N202" s="28"/>
      <c r="O202" s="28"/>
      <c r="P202" s="28"/>
      <c r="Q202" s="28"/>
      <c r="R202" s="28"/>
      <c r="S202" s="28"/>
      <c r="T202" s="28"/>
      <c r="U202" s="28"/>
      <c r="V202" s="28"/>
      <c r="W202" s="28"/>
      <c r="X202" s="28"/>
      <c r="Y202" s="28"/>
      <c r="Z202" s="28"/>
    </row>
    <row r="203">
      <c r="A203" s="1044"/>
      <c r="B203" s="1045"/>
      <c r="C203" s="1041"/>
      <c r="D203" s="1045"/>
      <c r="E203" s="1041"/>
      <c r="F203" s="1041"/>
      <c r="G203" s="28"/>
      <c r="H203" s="28"/>
      <c r="I203" s="28"/>
      <c r="J203" s="28"/>
      <c r="K203" s="28"/>
      <c r="L203" s="28"/>
      <c r="M203" s="28"/>
      <c r="N203" s="28"/>
      <c r="O203" s="28"/>
      <c r="P203" s="28"/>
      <c r="Q203" s="28"/>
      <c r="R203" s="28"/>
      <c r="S203" s="28"/>
      <c r="T203" s="28"/>
      <c r="U203" s="28"/>
      <c r="V203" s="28"/>
      <c r="W203" s="28"/>
      <c r="X203" s="28"/>
      <c r="Y203" s="28"/>
      <c r="Z203" s="28"/>
    </row>
    <row r="204">
      <c r="A204" s="1044"/>
      <c r="B204" s="1045"/>
      <c r="C204" s="1041"/>
      <c r="D204" s="1045"/>
      <c r="E204" s="1041"/>
      <c r="F204" s="1041"/>
      <c r="G204" s="28"/>
      <c r="H204" s="28"/>
      <c r="I204" s="28"/>
      <c r="J204" s="28"/>
      <c r="K204" s="28"/>
      <c r="L204" s="28"/>
      <c r="M204" s="28"/>
      <c r="N204" s="28"/>
      <c r="O204" s="28"/>
      <c r="P204" s="28"/>
      <c r="Q204" s="28"/>
      <c r="R204" s="28"/>
      <c r="S204" s="28"/>
      <c r="T204" s="28"/>
      <c r="U204" s="28"/>
      <c r="V204" s="28"/>
      <c r="W204" s="28"/>
      <c r="X204" s="28"/>
      <c r="Y204" s="28"/>
      <c r="Z204" s="28"/>
    </row>
    <row r="205">
      <c r="A205" s="1044"/>
      <c r="B205" s="1045"/>
      <c r="C205" s="1041"/>
      <c r="D205" s="1045"/>
      <c r="E205" s="1041"/>
      <c r="F205" s="1041"/>
      <c r="G205" s="28"/>
      <c r="H205" s="28"/>
      <c r="I205" s="28"/>
      <c r="J205" s="28"/>
      <c r="K205" s="28"/>
      <c r="L205" s="28"/>
      <c r="M205" s="28"/>
      <c r="N205" s="28"/>
      <c r="O205" s="28"/>
      <c r="P205" s="28"/>
      <c r="Q205" s="28"/>
      <c r="R205" s="28"/>
      <c r="S205" s="28"/>
      <c r="T205" s="28"/>
      <c r="U205" s="28"/>
      <c r="V205" s="28"/>
      <c r="W205" s="28"/>
      <c r="X205" s="28"/>
      <c r="Y205" s="28"/>
      <c r="Z205" s="28"/>
    </row>
    <row r="206">
      <c r="A206" s="1044"/>
      <c r="B206" s="1045"/>
      <c r="C206" s="1041"/>
      <c r="D206" s="1045"/>
      <c r="E206" s="1041"/>
      <c r="F206" s="1041"/>
      <c r="G206" s="28"/>
      <c r="H206" s="28"/>
      <c r="I206" s="28"/>
      <c r="J206" s="28"/>
      <c r="K206" s="28"/>
      <c r="L206" s="28"/>
      <c r="M206" s="28"/>
      <c r="N206" s="28"/>
      <c r="O206" s="28"/>
      <c r="P206" s="28"/>
      <c r="Q206" s="28"/>
      <c r="R206" s="28"/>
      <c r="S206" s="28"/>
      <c r="T206" s="28"/>
      <c r="U206" s="28"/>
      <c r="V206" s="28"/>
      <c r="W206" s="28"/>
      <c r="X206" s="28"/>
      <c r="Y206" s="28"/>
      <c r="Z206" s="28"/>
    </row>
    <row r="207">
      <c r="A207" s="1044"/>
      <c r="B207" s="1045"/>
      <c r="C207" s="1041"/>
      <c r="D207" s="1045"/>
      <c r="E207" s="1041"/>
      <c r="F207" s="1041"/>
      <c r="G207" s="28"/>
      <c r="H207" s="28"/>
      <c r="I207" s="28"/>
      <c r="J207" s="28"/>
      <c r="K207" s="28"/>
      <c r="L207" s="28"/>
      <c r="M207" s="28"/>
      <c r="N207" s="28"/>
      <c r="O207" s="28"/>
      <c r="P207" s="28"/>
      <c r="Q207" s="28"/>
      <c r="R207" s="28"/>
      <c r="S207" s="28"/>
      <c r="T207" s="28"/>
      <c r="U207" s="28"/>
      <c r="V207" s="28"/>
      <c r="W207" s="28"/>
      <c r="X207" s="28"/>
      <c r="Y207" s="28"/>
      <c r="Z207" s="28"/>
    </row>
    <row r="208">
      <c r="A208" s="1044"/>
      <c r="B208" s="1045"/>
      <c r="C208" s="1041"/>
      <c r="D208" s="1045"/>
      <c r="E208" s="1041"/>
      <c r="F208" s="1041"/>
      <c r="G208" s="28"/>
      <c r="H208" s="28"/>
      <c r="I208" s="28"/>
      <c r="J208" s="28"/>
      <c r="K208" s="28"/>
      <c r="L208" s="28"/>
      <c r="M208" s="28"/>
      <c r="N208" s="28"/>
      <c r="O208" s="28"/>
      <c r="P208" s="28"/>
      <c r="Q208" s="28"/>
      <c r="R208" s="28"/>
      <c r="S208" s="28"/>
      <c r="T208" s="28"/>
      <c r="U208" s="28"/>
      <c r="V208" s="28"/>
      <c r="W208" s="28"/>
      <c r="X208" s="28"/>
      <c r="Y208" s="28"/>
      <c r="Z208" s="28"/>
    </row>
    <row r="209">
      <c r="A209" s="1044"/>
      <c r="B209" s="1045"/>
      <c r="C209" s="1041"/>
      <c r="D209" s="1045"/>
      <c r="E209" s="1041"/>
      <c r="F209" s="1041"/>
      <c r="G209" s="28"/>
      <c r="H209" s="28"/>
      <c r="I209" s="28"/>
      <c r="J209" s="28"/>
      <c r="K209" s="28"/>
      <c r="L209" s="28"/>
      <c r="M209" s="28"/>
      <c r="N209" s="28"/>
      <c r="O209" s="28"/>
      <c r="P209" s="28"/>
      <c r="Q209" s="28"/>
      <c r="R209" s="28"/>
      <c r="S209" s="28"/>
      <c r="T209" s="28"/>
      <c r="U209" s="28"/>
      <c r="V209" s="28"/>
      <c r="W209" s="28"/>
      <c r="X209" s="28"/>
      <c r="Y209" s="28"/>
      <c r="Z209" s="28"/>
    </row>
    <row r="210">
      <c r="A210" s="1044"/>
      <c r="B210" s="1045"/>
      <c r="C210" s="1041"/>
      <c r="D210" s="1045"/>
      <c r="E210" s="1041"/>
      <c r="F210" s="1041"/>
      <c r="G210" s="28"/>
      <c r="H210" s="28"/>
      <c r="I210" s="28"/>
      <c r="J210" s="28"/>
      <c r="K210" s="28"/>
      <c r="L210" s="28"/>
      <c r="M210" s="28"/>
      <c r="N210" s="28"/>
      <c r="O210" s="28"/>
      <c r="P210" s="28"/>
      <c r="Q210" s="28"/>
      <c r="R210" s="28"/>
      <c r="S210" s="28"/>
      <c r="T210" s="28"/>
      <c r="U210" s="28"/>
      <c r="V210" s="28"/>
      <c r="W210" s="28"/>
      <c r="X210" s="28"/>
      <c r="Y210" s="28"/>
      <c r="Z210" s="28"/>
    </row>
    <row r="211">
      <c r="A211" s="1044"/>
      <c r="B211" s="1045"/>
      <c r="C211" s="1041"/>
      <c r="D211" s="1045"/>
      <c r="E211" s="1041"/>
      <c r="F211" s="1041"/>
      <c r="G211" s="28"/>
      <c r="H211" s="28"/>
      <c r="I211" s="28"/>
      <c r="J211" s="28"/>
      <c r="K211" s="28"/>
      <c r="L211" s="28"/>
      <c r="M211" s="28"/>
      <c r="N211" s="28"/>
      <c r="O211" s="28"/>
      <c r="P211" s="28"/>
      <c r="Q211" s="28"/>
      <c r="R211" s="28"/>
      <c r="S211" s="28"/>
      <c r="T211" s="28"/>
      <c r="U211" s="28"/>
      <c r="V211" s="28"/>
      <c r="W211" s="28"/>
      <c r="X211" s="28"/>
      <c r="Y211" s="28"/>
      <c r="Z211" s="28"/>
    </row>
    <row r="212">
      <c r="A212" s="1044"/>
      <c r="B212" s="1045"/>
      <c r="C212" s="1041"/>
      <c r="D212" s="1045"/>
      <c r="E212" s="1041"/>
      <c r="F212" s="1041"/>
      <c r="G212" s="28"/>
      <c r="H212" s="28"/>
      <c r="I212" s="28"/>
      <c r="J212" s="28"/>
      <c r="K212" s="28"/>
      <c r="L212" s="28"/>
      <c r="M212" s="28"/>
      <c r="N212" s="28"/>
      <c r="O212" s="28"/>
      <c r="P212" s="28"/>
      <c r="Q212" s="28"/>
      <c r="R212" s="28"/>
      <c r="S212" s="28"/>
      <c r="T212" s="28"/>
      <c r="U212" s="28"/>
      <c r="V212" s="28"/>
      <c r="W212" s="28"/>
      <c r="X212" s="28"/>
      <c r="Y212" s="28"/>
      <c r="Z212" s="28"/>
    </row>
    <row r="213">
      <c r="A213" s="1044"/>
      <c r="B213" s="1045"/>
      <c r="C213" s="1041"/>
      <c r="D213" s="1045"/>
      <c r="E213" s="1041"/>
      <c r="F213" s="1041"/>
      <c r="G213" s="28"/>
      <c r="H213" s="28"/>
      <c r="I213" s="28"/>
      <c r="J213" s="28"/>
      <c r="K213" s="28"/>
      <c r="L213" s="28"/>
      <c r="M213" s="28"/>
      <c r="N213" s="28"/>
      <c r="O213" s="28"/>
      <c r="P213" s="28"/>
      <c r="Q213" s="28"/>
      <c r="R213" s="28"/>
      <c r="S213" s="28"/>
      <c r="T213" s="28"/>
      <c r="U213" s="28"/>
      <c r="V213" s="28"/>
      <c r="W213" s="28"/>
      <c r="X213" s="28"/>
      <c r="Y213" s="28"/>
      <c r="Z213" s="28"/>
    </row>
    <row r="214">
      <c r="A214" s="1044"/>
      <c r="B214" s="1045"/>
      <c r="C214" s="1041"/>
      <c r="D214" s="1045"/>
      <c r="E214" s="1041"/>
      <c r="F214" s="1041"/>
      <c r="G214" s="28"/>
      <c r="H214" s="28"/>
      <c r="I214" s="28"/>
      <c r="J214" s="28"/>
      <c r="K214" s="28"/>
      <c r="L214" s="28"/>
      <c r="M214" s="28"/>
      <c r="N214" s="28"/>
      <c r="O214" s="28"/>
      <c r="P214" s="28"/>
      <c r="Q214" s="28"/>
      <c r="R214" s="28"/>
      <c r="S214" s="28"/>
      <c r="T214" s="28"/>
      <c r="U214" s="28"/>
      <c r="V214" s="28"/>
      <c r="W214" s="28"/>
      <c r="X214" s="28"/>
      <c r="Y214" s="28"/>
      <c r="Z214" s="28"/>
    </row>
    <row r="215">
      <c r="A215" s="1044"/>
      <c r="B215" s="1045"/>
      <c r="C215" s="1041"/>
      <c r="D215" s="1045"/>
      <c r="E215" s="1041"/>
      <c r="F215" s="1041"/>
      <c r="G215" s="28"/>
      <c r="H215" s="28"/>
      <c r="I215" s="28"/>
      <c r="J215" s="28"/>
      <c r="K215" s="28"/>
      <c r="L215" s="28"/>
      <c r="M215" s="28"/>
      <c r="N215" s="28"/>
      <c r="O215" s="28"/>
      <c r="P215" s="28"/>
      <c r="Q215" s="28"/>
      <c r="R215" s="28"/>
      <c r="S215" s="28"/>
      <c r="T215" s="28"/>
      <c r="U215" s="28"/>
      <c r="V215" s="28"/>
      <c r="W215" s="28"/>
      <c r="X215" s="28"/>
      <c r="Y215" s="28"/>
      <c r="Z215" s="28"/>
    </row>
    <row r="216">
      <c r="A216" s="1044"/>
      <c r="B216" s="1045"/>
      <c r="C216" s="1041"/>
      <c r="D216" s="1045"/>
      <c r="E216" s="1041"/>
      <c r="F216" s="1041"/>
      <c r="G216" s="28"/>
      <c r="H216" s="28"/>
      <c r="I216" s="28"/>
      <c r="J216" s="28"/>
      <c r="K216" s="28"/>
      <c r="L216" s="28"/>
      <c r="M216" s="28"/>
      <c r="N216" s="28"/>
      <c r="O216" s="28"/>
      <c r="P216" s="28"/>
      <c r="Q216" s="28"/>
      <c r="R216" s="28"/>
      <c r="S216" s="28"/>
      <c r="T216" s="28"/>
      <c r="U216" s="28"/>
      <c r="V216" s="28"/>
      <c r="W216" s="28"/>
      <c r="X216" s="28"/>
      <c r="Y216" s="28"/>
      <c r="Z216" s="28"/>
    </row>
    <row r="217">
      <c r="A217" s="1044"/>
      <c r="B217" s="1045"/>
      <c r="C217" s="1041"/>
      <c r="D217" s="1045"/>
      <c r="E217" s="1041"/>
      <c r="F217" s="1041"/>
      <c r="G217" s="28"/>
      <c r="H217" s="28"/>
      <c r="I217" s="28"/>
      <c r="J217" s="28"/>
      <c r="K217" s="28"/>
      <c r="L217" s="28"/>
      <c r="M217" s="28"/>
      <c r="N217" s="28"/>
      <c r="O217" s="28"/>
      <c r="P217" s="28"/>
      <c r="Q217" s="28"/>
      <c r="R217" s="28"/>
      <c r="S217" s="28"/>
      <c r="T217" s="28"/>
      <c r="U217" s="28"/>
      <c r="V217" s="28"/>
      <c r="W217" s="28"/>
      <c r="X217" s="28"/>
      <c r="Y217" s="28"/>
      <c r="Z217" s="28"/>
    </row>
    <row r="218">
      <c r="A218" s="1044"/>
      <c r="B218" s="1045"/>
      <c r="C218" s="1041"/>
      <c r="D218" s="1045"/>
      <c r="E218" s="1041"/>
      <c r="F218" s="1041"/>
      <c r="G218" s="28"/>
      <c r="H218" s="28"/>
      <c r="I218" s="28"/>
      <c r="J218" s="28"/>
      <c r="K218" s="28"/>
      <c r="L218" s="28"/>
      <c r="M218" s="28"/>
      <c r="N218" s="28"/>
      <c r="O218" s="28"/>
      <c r="P218" s="28"/>
      <c r="Q218" s="28"/>
      <c r="R218" s="28"/>
      <c r="S218" s="28"/>
      <c r="T218" s="28"/>
      <c r="U218" s="28"/>
      <c r="V218" s="28"/>
      <c r="W218" s="28"/>
      <c r="X218" s="28"/>
      <c r="Y218" s="28"/>
      <c r="Z218" s="28"/>
    </row>
    <row r="219">
      <c r="A219" s="1044"/>
      <c r="B219" s="1045"/>
      <c r="C219" s="1041"/>
      <c r="D219" s="1045"/>
      <c r="E219" s="1041"/>
      <c r="F219" s="1041"/>
      <c r="G219" s="28"/>
      <c r="H219" s="28"/>
      <c r="I219" s="28"/>
      <c r="J219" s="28"/>
      <c r="K219" s="28"/>
      <c r="L219" s="28"/>
      <c r="M219" s="28"/>
      <c r="N219" s="28"/>
      <c r="O219" s="28"/>
      <c r="P219" s="28"/>
      <c r="Q219" s="28"/>
      <c r="R219" s="28"/>
      <c r="S219" s="28"/>
      <c r="T219" s="28"/>
      <c r="U219" s="28"/>
      <c r="V219" s="28"/>
      <c r="W219" s="28"/>
      <c r="X219" s="28"/>
      <c r="Y219" s="28"/>
      <c r="Z219" s="28"/>
    </row>
    <row r="220">
      <c r="A220" s="1044"/>
      <c r="B220" s="1045"/>
      <c r="C220" s="1041"/>
      <c r="D220" s="1045"/>
      <c r="E220" s="1041"/>
      <c r="F220" s="1041"/>
      <c r="G220" s="28"/>
      <c r="H220" s="28"/>
      <c r="I220" s="28"/>
      <c r="J220" s="28"/>
      <c r="K220" s="28"/>
      <c r="L220" s="28"/>
      <c r="M220" s="28"/>
      <c r="N220" s="28"/>
      <c r="O220" s="28"/>
      <c r="P220" s="28"/>
      <c r="Q220" s="28"/>
      <c r="R220" s="28"/>
      <c r="S220" s="28"/>
      <c r="T220" s="28"/>
      <c r="U220" s="28"/>
      <c r="V220" s="28"/>
      <c r="W220" s="28"/>
      <c r="X220" s="28"/>
      <c r="Y220" s="28"/>
      <c r="Z220" s="28"/>
    </row>
    <row r="221">
      <c r="A221" s="1044"/>
      <c r="B221" s="1045"/>
      <c r="C221" s="1041"/>
      <c r="D221" s="1045"/>
      <c r="E221" s="1041"/>
      <c r="F221" s="1041"/>
      <c r="G221" s="28"/>
      <c r="H221" s="28"/>
      <c r="I221" s="28"/>
      <c r="J221" s="28"/>
      <c r="K221" s="28"/>
      <c r="L221" s="28"/>
      <c r="M221" s="28"/>
      <c r="N221" s="28"/>
      <c r="O221" s="28"/>
      <c r="P221" s="28"/>
      <c r="Q221" s="28"/>
      <c r="R221" s="28"/>
      <c r="S221" s="28"/>
      <c r="T221" s="28"/>
      <c r="U221" s="28"/>
      <c r="V221" s="28"/>
      <c r="W221" s="28"/>
      <c r="X221" s="28"/>
      <c r="Y221" s="28"/>
      <c r="Z221" s="28"/>
    </row>
    <row r="222">
      <c r="A222" s="1044"/>
      <c r="B222" s="1045"/>
      <c r="C222" s="1041"/>
      <c r="D222" s="1045"/>
      <c r="E222" s="1041"/>
      <c r="F222" s="1041"/>
      <c r="G222" s="28"/>
      <c r="H222" s="28"/>
      <c r="I222" s="28"/>
      <c r="J222" s="28"/>
      <c r="K222" s="28"/>
      <c r="L222" s="28"/>
      <c r="M222" s="28"/>
      <c r="N222" s="28"/>
      <c r="O222" s="28"/>
      <c r="P222" s="28"/>
      <c r="Q222" s="28"/>
      <c r="R222" s="28"/>
      <c r="S222" s="28"/>
      <c r="T222" s="28"/>
      <c r="U222" s="28"/>
      <c r="V222" s="28"/>
      <c r="W222" s="28"/>
      <c r="X222" s="28"/>
      <c r="Y222" s="28"/>
      <c r="Z222" s="28"/>
    </row>
    <row r="223">
      <c r="A223" s="1044"/>
      <c r="B223" s="1045"/>
      <c r="C223" s="1041"/>
      <c r="D223" s="1045"/>
      <c r="E223" s="1041"/>
      <c r="F223" s="1041"/>
      <c r="G223" s="28"/>
      <c r="H223" s="28"/>
      <c r="I223" s="28"/>
      <c r="J223" s="28"/>
      <c r="K223" s="28"/>
      <c r="L223" s="28"/>
      <c r="M223" s="28"/>
      <c r="N223" s="28"/>
      <c r="O223" s="28"/>
      <c r="P223" s="28"/>
      <c r="Q223" s="28"/>
      <c r="R223" s="28"/>
      <c r="S223" s="28"/>
      <c r="T223" s="28"/>
      <c r="U223" s="28"/>
      <c r="V223" s="28"/>
      <c r="W223" s="28"/>
      <c r="X223" s="28"/>
      <c r="Y223" s="28"/>
      <c r="Z223" s="28"/>
    </row>
    <row r="224">
      <c r="A224" s="1044"/>
      <c r="B224" s="1045"/>
      <c r="C224" s="1041"/>
      <c r="D224" s="1045"/>
      <c r="E224" s="1041"/>
      <c r="F224" s="1041"/>
      <c r="G224" s="28"/>
      <c r="H224" s="28"/>
      <c r="I224" s="28"/>
      <c r="J224" s="28"/>
      <c r="K224" s="28"/>
      <c r="L224" s="28"/>
      <c r="M224" s="28"/>
      <c r="N224" s="28"/>
      <c r="O224" s="28"/>
      <c r="P224" s="28"/>
      <c r="Q224" s="28"/>
      <c r="R224" s="28"/>
      <c r="S224" s="28"/>
      <c r="T224" s="28"/>
      <c r="U224" s="28"/>
      <c r="V224" s="28"/>
      <c r="W224" s="28"/>
      <c r="X224" s="28"/>
      <c r="Y224" s="28"/>
      <c r="Z224" s="28"/>
    </row>
    <row r="225">
      <c r="A225" s="1044"/>
      <c r="B225" s="1045"/>
      <c r="C225" s="1041"/>
      <c r="D225" s="1045"/>
      <c r="E225" s="1041"/>
      <c r="F225" s="1041"/>
      <c r="G225" s="28"/>
      <c r="H225" s="28"/>
      <c r="I225" s="28"/>
      <c r="J225" s="28"/>
      <c r="K225" s="28"/>
      <c r="L225" s="28"/>
      <c r="M225" s="28"/>
      <c r="N225" s="28"/>
      <c r="O225" s="28"/>
      <c r="P225" s="28"/>
      <c r="Q225" s="28"/>
      <c r="R225" s="28"/>
      <c r="S225" s="28"/>
      <c r="T225" s="28"/>
      <c r="U225" s="28"/>
      <c r="V225" s="28"/>
      <c r="W225" s="28"/>
      <c r="X225" s="28"/>
      <c r="Y225" s="28"/>
      <c r="Z225" s="28"/>
    </row>
    <row r="226">
      <c r="A226" s="1044"/>
      <c r="B226" s="1045"/>
      <c r="C226" s="1041"/>
      <c r="D226" s="1045"/>
      <c r="E226" s="1041"/>
      <c r="F226" s="1041"/>
      <c r="G226" s="28"/>
      <c r="H226" s="28"/>
      <c r="I226" s="28"/>
      <c r="J226" s="28"/>
      <c r="K226" s="28"/>
      <c r="L226" s="28"/>
      <c r="M226" s="28"/>
      <c r="N226" s="28"/>
      <c r="O226" s="28"/>
      <c r="P226" s="28"/>
      <c r="Q226" s="28"/>
      <c r="R226" s="28"/>
      <c r="S226" s="28"/>
      <c r="T226" s="28"/>
      <c r="U226" s="28"/>
      <c r="V226" s="28"/>
      <c r="W226" s="28"/>
      <c r="X226" s="28"/>
      <c r="Y226" s="28"/>
      <c r="Z226" s="28"/>
    </row>
    <row r="227">
      <c r="A227" s="1044"/>
      <c r="B227" s="1045"/>
      <c r="C227" s="1041"/>
      <c r="D227" s="1045"/>
      <c r="E227" s="1041"/>
      <c r="F227" s="1041"/>
      <c r="G227" s="28"/>
      <c r="H227" s="28"/>
      <c r="I227" s="28"/>
      <c r="J227" s="28"/>
      <c r="K227" s="28"/>
      <c r="L227" s="28"/>
      <c r="M227" s="28"/>
      <c r="N227" s="28"/>
      <c r="O227" s="28"/>
      <c r="P227" s="28"/>
      <c r="Q227" s="28"/>
      <c r="R227" s="28"/>
      <c r="S227" s="28"/>
      <c r="T227" s="28"/>
      <c r="U227" s="28"/>
      <c r="V227" s="28"/>
      <c r="W227" s="28"/>
      <c r="X227" s="28"/>
      <c r="Y227" s="28"/>
      <c r="Z227" s="28"/>
    </row>
    <row r="228">
      <c r="A228" s="1044"/>
      <c r="B228" s="1045"/>
      <c r="C228" s="1041"/>
      <c r="D228" s="1045"/>
      <c r="E228" s="1041"/>
      <c r="F228" s="1041"/>
      <c r="G228" s="28"/>
      <c r="H228" s="28"/>
      <c r="I228" s="28"/>
      <c r="J228" s="28"/>
      <c r="K228" s="28"/>
      <c r="L228" s="28"/>
      <c r="M228" s="28"/>
      <c r="N228" s="28"/>
      <c r="O228" s="28"/>
      <c r="P228" s="28"/>
      <c r="Q228" s="28"/>
      <c r="R228" s="28"/>
      <c r="S228" s="28"/>
      <c r="T228" s="28"/>
      <c r="U228" s="28"/>
      <c r="V228" s="28"/>
      <c r="W228" s="28"/>
      <c r="X228" s="28"/>
      <c r="Y228" s="28"/>
      <c r="Z228" s="28"/>
    </row>
    <row r="229">
      <c r="A229" s="1044"/>
      <c r="B229" s="1045"/>
      <c r="C229" s="1041"/>
      <c r="D229" s="1045"/>
      <c r="E229" s="1041"/>
      <c r="F229" s="1041"/>
      <c r="G229" s="28"/>
      <c r="H229" s="28"/>
      <c r="I229" s="28"/>
      <c r="J229" s="28"/>
      <c r="K229" s="28"/>
      <c r="L229" s="28"/>
      <c r="M229" s="28"/>
      <c r="N229" s="28"/>
      <c r="O229" s="28"/>
      <c r="P229" s="28"/>
      <c r="Q229" s="28"/>
      <c r="R229" s="28"/>
      <c r="S229" s="28"/>
      <c r="T229" s="28"/>
      <c r="U229" s="28"/>
      <c r="V229" s="28"/>
      <c r="W229" s="28"/>
      <c r="X229" s="28"/>
      <c r="Y229" s="28"/>
      <c r="Z229" s="28"/>
    </row>
    <row r="230">
      <c r="A230" s="1044"/>
      <c r="B230" s="1045"/>
      <c r="C230" s="1041"/>
      <c r="D230" s="1045"/>
      <c r="E230" s="1041"/>
      <c r="F230" s="1041"/>
      <c r="G230" s="28"/>
      <c r="H230" s="28"/>
      <c r="I230" s="28"/>
      <c r="J230" s="28"/>
      <c r="K230" s="28"/>
      <c r="L230" s="28"/>
      <c r="M230" s="28"/>
      <c r="N230" s="28"/>
      <c r="O230" s="28"/>
      <c r="P230" s="28"/>
      <c r="Q230" s="28"/>
      <c r="R230" s="28"/>
      <c r="S230" s="28"/>
      <c r="T230" s="28"/>
      <c r="U230" s="28"/>
      <c r="V230" s="28"/>
      <c r="W230" s="28"/>
      <c r="X230" s="28"/>
      <c r="Y230" s="28"/>
      <c r="Z230" s="28"/>
    </row>
    <row r="231">
      <c r="A231" s="1044"/>
      <c r="B231" s="1045"/>
      <c r="C231" s="1041"/>
      <c r="D231" s="1045"/>
      <c r="E231" s="1041"/>
      <c r="F231" s="1041"/>
      <c r="G231" s="28"/>
      <c r="H231" s="28"/>
      <c r="I231" s="28"/>
      <c r="J231" s="28"/>
      <c r="K231" s="28"/>
      <c r="L231" s="28"/>
      <c r="M231" s="28"/>
      <c r="N231" s="28"/>
      <c r="O231" s="28"/>
      <c r="P231" s="28"/>
      <c r="Q231" s="28"/>
      <c r="R231" s="28"/>
      <c r="S231" s="28"/>
      <c r="T231" s="28"/>
      <c r="U231" s="28"/>
      <c r="V231" s="28"/>
      <c r="W231" s="28"/>
      <c r="X231" s="28"/>
      <c r="Y231" s="28"/>
      <c r="Z231" s="28"/>
    </row>
    <row r="232">
      <c r="A232" s="1044"/>
      <c r="B232" s="1045"/>
      <c r="C232" s="1041"/>
      <c r="D232" s="1045"/>
      <c r="E232" s="1041"/>
      <c r="F232" s="1041"/>
      <c r="G232" s="28"/>
      <c r="H232" s="28"/>
      <c r="I232" s="28"/>
      <c r="J232" s="28"/>
      <c r="K232" s="28"/>
      <c r="L232" s="28"/>
      <c r="M232" s="28"/>
      <c r="N232" s="28"/>
      <c r="O232" s="28"/>
      <c r="P232" s="28"/>
      <c r="Q232" s="28"/>
      <c r="R232" s="28"/>
      <c r="S232" s="28"/>
      <c r="T232" s="28"/>
      <c r="U232" s="28"/>
      <c r="V232" s="28"/>
      <c r="W232" s="28"/>
      <c r="X232" s="28"/>
      <c r="Y232" s="28"/>
      <c r="Z232" s="28"/>
    </row>
    <row r="233">
      <c r="A233" s="1044"/>
      <c r="B233" s="1045"/>
      <c r="C233" s="1041"/>
      <c r="D233" s="1045"/>
      <c r="E233" s="1041"/>
      <c r="F233" s="1041"/>
      <c r="G233" s="28"/>
      <c r="H233" s="28"/>
      <c r="I233" s="28"/>
      <c r="J233" s="28"/>
      <c r="K233" s="28"/>
      <c r="L233" s="28"/>
      <c r="M233" s="28"/>
      <c r="N233" s="28"/>
      <c r="O233" s="28"/>
      <c r="P233" s="28"/>
      <c r="Q233" s="28"/>
      <c r="R233" s="28"/>
      <c r="S233" s="28"/>
      <c r="T233" s="28"/>
      <c r="U233" s="28"/>
      <c r="V233" s="28"/>
      <c r="W233" s="28"/>
      <c r="X233" s="28"/>
      <c r="Y233" s="28"/>
      <c r="Z233" s="28"/>
    </row>
    <row r="234">
      <c r="A234" s="1044"/>
      <c r="B234" s="1045"/>
      <c r="C234" s="1041"/>
      <c r="D234" s="1045"/>
      <c r="E234" s="1041"/>
      <c r="F234" s="1041"/>
      <c r="G234" s="28"/>
      <c r="H234" s="28"/>
      <c r="I234" s="28"/>
      <c r="J234" s="28"/>
      <c r="K234" s="28"/>
      <c r="L234" s="28"/>
      <c r="M234" s="28"/>
      <c r="N234" s="28"/>
      <c r="O234" s="28"/>
      <c r="P234" s="28"/>
      <c r="Q234" s="28"/>
      <c r="R234" s="28"/>
      <c r="S234" s="28"/>
      <c r="T234" s="28"/>
      <c r="U234" s="28"/>
      <c r="V234" s="28"/>
      <c r="W234" s="28"/>
      <c r="X234" s="28"/>
      <c r="Y234" s="28"/>
      <c r="Z234" s="28"/>
    </row>
    <row r="235">
      <c r="A235" s="1044"/>
      <c r="B235" s="1045"/>
      <c r="C235" s="1041"/>
      <c r="D235" s="1045"/>
      <c r="E235" s="1041"/>
      <c r="F235" s="1041"/>
      <c r="G235" s="28"/>
      <c r="H235" s="28"/>
      <c r="I235" s="28"/>
      <c r="J235" s="28"/>
      <c r="K235" s="28"/>
      <c r="L235" s="28"/>
      <c r="M235" s="28"/>
      <c r="N235" s="28"/>
      <c r="O235" s="28"/>
      <c r="P235" s="28"/>
      <c r="Q235" s="28"/>
      <c r="R235" s="28"/>
      <c r="S235" s="28"/>
      <c r="T235" s="28"/>
      <c r="U235" s="28"/>
      <c r="V235" s="28"/>
      <c r="W235" s="28"/>
      <c r="X235" s="28"/>
      <c r="Y235" s="28"/>
      <c r="Z235" s="28"/>
    </row>
    <row r="236">
      <c r="A236" s="1044"/>
      <c r="B236" s="1045"/>
      <c r="C236" s="1041"/>
      <c r="D236" s="1045"/>
      <c r="E236" s="1041"/>
      <c r="F236" s="1041"/>
      <c r="G236" s="28"/>
      <c r="H236" s="28"/>
      <c r="I236" s="28"/>
      <c r="J236" s="28"/>
      <c r="K236" s="28"/>
      <c r="L236" s="28"/>
      <c r="M236" s="28"/>
      <c r="N236" s="28"/>
      <c r="O236" s="28"/>
      <c r="P236" s="28"/>
      <c r="Q236" s="28"/>
      <c r="R236" s="28"/>
      <c r="S236" s="28"/>
      <c r="T236" s="28"/>
      <c r="U236" s="28"/>
      <c r="V236" s="28"/>
      <c r="W236" s="28"/>
      <c r="X236" s="28"/>
      <c r="Y236" s="28"/>
      <c r="Z236" s="28"/>
    </row>
    <row r="237">
      <c r="A237" s="1044"/>
      <c r="B237" s="1045"/>
      <c r="C237" s="1041"/>
      <c r="D237" s="1045"/>
      <c r="E237" s="1041"/>
      <c r="F237" s="1041"/>
      <c r="G237" s="28"/>
      <c r="H237" s="28"/>
      <c r="I237" s="28"/>
      <c r="J237" s="28"/>
      <c r="K237" s="28"/>
      <c r="L237" s="28"/>
      <c r="M237" s="28"/>
      <c r="N237" s="28"/>
      <c r="O237" s="28"/>
      <c r="P237" s="28"/>
      <c r="Q237" s="28"/>
      <c r="R237" s="28"/>
      <c r="S237" s="28"/>
      <c r="T237" s="28"/>
      <c r="U237" s="28"/>
      <c r="V237" s="28"/>
      <c r="W237" s="28"/>
      <c r="X237" s="28"/>
      <c r="Y237" s="28"/>
      <c r="Z237" s="28"/>
    </row>
    <row r="238">
      <c r="A238" s="1044"/>
      <c r="B238" s="1045"/>
      <c r="C238" s="1041"/>
      <c r="D238" s="1045"/>
      <c r="E238" s="1041"/>
      <c r="F238" s="1041"/>
      <c r="G238" s="28"/>
      <c r="H238" s="28"/>
      <c r="I238" s="28"/>
      <c r="J238" s="28"/>
      <c r="K238" s="28"/>
      <c r="L238" s="28"/>
      <c r="M238" s="28"/>
      <c r="N238" s="28"/>
      <c r="O238" s="28"/>
      <c r="P238" s="28"/>
      <c r="Q238" s="28"/>
      <c r="R238" s="28"/>
      <c r="S238" s="28"/>
      <c r="T238" s="28"/>
      <c r="U238" s="28"/>
      <c r="V238" s="28"/>
      <c r="W238" s="28"/>
      <c r="X238" s="28"/>
      <c r="Y238" s="28"/>
      <c r="Z238" s="28"/>
    </row>
    <row r="239">
      <c r="A239" s="1044"/>
      <c r="B239" s="1045"/>
      <c r="C239" s="1041"/>
      <c r="D239" s="1045"/>
      <c r="E239" s="1041"/>
      <c r="F239" s="1041"/>
      <c r="G239" s="28"/>
      <c r="H239" s="28"/>
      <c r="I239" s="28"/>
      <c r="J239" s="28"/>
      <c r="K239" s="28"/>
      <c r="L239" s="28"/>
      <c r="M239" s="28"/>
      <c r="N239" s="28"/>
      <c r="O239" s="28"/>
      <c r="P239" s="28"/>
      <c r="Q239" s="28"/>
      <c r="R239" s="28"/>
      <c r="S239" s="28"/>
      <c r="T239" s="28"/>
      <c r="U239" s="28"/>
      <c r="V239" s="28"/>
      <c r="W239" s="28"/>
      <c r="X239" s="28"/>
      <c r="Y239" s="28"/>
      <c r="Z239" s="28"/>
    </row>
    <row r="240">
      <c r="A240" s="1044"/>
      <c r="B240" s="1045"/>
      <c r="C240" s="1041"/>
      <c r="D240" s="1045"/>
      <c r="E240" s="1041"/>
      <c r="F240" s="1041"/>
      <c r="G240" s="28"/>
      <c r="H240" s="28"/>
      <c r="I240" s="28"/>
      <c r="J240" s="28"/>
      <c r="K240" s="28"/>
      <c r="L240" s="28"/>
      <c r="M240" s="28"/>
      <c r="N240" s="28"/>
      <c r="O240" s="28"/>
      <c r="P240" s="28"/>
      <c r="Q240" s="28"/>
      <c r="R240" s="28"/>
      <c r="S240" s="28"/>
      <c r="T240" s="28"/>
      <c r="U240" s="28"/>
      <c r="V240" s="28"/>
      <c r="W240" s="28"/>
      <c r="X240" s="28"/>
      <c r="Y240" s="28"/>
      <c r="Z240" s="28"/>
    </row>
    <row r="241">
      <c r="A241" s="1044"/>
      <c r="B241" s="1045"/>
      <c r="C241" s="1041"/>
      <c r="D241" s="1045"/>
      <c r="E241" s="1041"/>
      <c r="F241" s="1041"/>
      <c r="G241" s="28"/>
      <c r="H241" s="28"/>
      <c r="I241" s="28"/>
      <c r="J241" s="28"/>
      <c r="K241" s="28"/>
      <c r="L241" s="28"/>
      <c r="M241" s="28"/>
      <c r="N241" s="28"/>
      <c r="O241" s="28"/>
      <c r="P241" s="28"/>
      <c r="Q241" s="28"/>
      <c r="R241" s="28"/>
      <c r="S241" s="28"/>
      <c r="T241" s="28"/>
      <c r="U241" s="28"/>
      <c r="V241" s="28"/>
      <c r="W241" s="28"/>
      <c r="X241" s="28"/>
      <c r="Y241" s="28"/>
      <c r="Z241" s="28"/>
    </row>
    <row r="242">
      <c r="A242" s="1044"/>
      <c r="B242" s="1045"/>
      <c r="C242" s="1041"/>
      <c r="D242" s="1045"/>
      <c r="E242" s="1041"/>
      <c r="F242" s="1041"/>
      <c r="G242" s="28"/>
      <c r="H242" s="28"/>
      <c r="I242" s="28"/>
      <c r="J242" s="28"/>
      <c r="K242" s="28"/>
      <c r="L242" s="28"/>
      <c r="M242" s="28"/>
      <c r="N242" s="28"/>
      <c r="O242" s="28"/>
      <c r="P242" s="28"/>
      <c r="Q242" s="28"/>
      <c r="R242" s="28"/>
      <c r="S242" s="28"/>
      <c r="T242" s="28"/>
      <c r="U242" s="28"/>
      <c r="V242" s="28"/>
      <c r="W242" s="28"/>
      <c r="X242" s="28"/>
      <c r="Y242" s="28"/>
      <c r="Z242" s="28"/>
    </row>
    <row r="243">
      <c r="A243" s="1044"/>
      <c r="B243" s="1045"/>
      <c r="C243" s="1041"/>
      <c r="D243" s="1045"/>
      <c r="E243" s="1041"/>
      <c r="F243" s="1041"/>
      <c r="G243" s="28"/>
      <c r="H243" s="28"/>
      <c r="I243" s="28"/>
      <c r="J243" s="28"/>
      <c r="K243" s="28"/>
      <c r="L243" s="28"/>
      <c r="M243" s="28"/>
      <c r="N243" s="28"/>
      <c r="O243" s="28"/>
      <c r="P243" s="28"/>
      <c r="Q243" s="28"/>
      <c r="R243" s="28"/>
      <c r="S243" s="28"/>
      <c r="T243" s="28"/>
      <c r="U243" s="28"/>
      <c r="V243" s="28"/>
      <c r="W243" s="28"/>
      <c r="X243" s="28"/>
      <c r="Y243" s="28"/>
      <c r="Z243" s="28"/>
    </row>
    <row r="244">
      <c r="A244" s="1044"/>
      <c r="B244" s="1045"/>
      <c r="C244" s="1041"/>
      <c r="D244" s="1045"/>
      <c r="E244" s="1041"/>
      <c r="F244" s="1041"/>
      <c r="G244" s="28"/>
      <c r="H244" s="28"/>
      <c r="I244" s="28"/>
      <c r="J244" s="28"/>
      <c r="K244" s="28"/>
      <c r="L244" s="28"/>
      <c r="M244" s="28"/>
      <c r="N244" s="28"/>
      <c r="O244" s="28"/>
      <c r="P244" s="28"/>
      <c r="Q244" s="28"/>
      <c r="R244" s="28"/>
      <c r="S244" s="28"/>
      <c r="T244" s="28"/>
      <c r="U244" s="28"/>
      <c r="V244" s="28"/>
      <c r="W244" s="28"/>
      <c r="X244" s="28"/>
      <c r="Y244" s="28"/>
      <c r="Z244" s="28"/>
    </row>
    <row r="245">
      <c r="A245" s="1044"/>
      <c r="B245" s="1045"/>
      <c r="C245" s="1041"/>
      <c r="D245" s="1045"/>
      <c r="E245" s="1041"/>
      <c r="F245" s="1041"/>
      <c r="G245" s="28"/>
      <c r="H245" s="28"/>
      <c r="I245" s="28"/>
      <c r="J245" s="28"/>
      <c r="K245" s="28"/>
      <c r="L245" s="28"/>
      <c r="M245" s="28"/>
      <c r="N245" s="28"/>
      <c r="O245" s="28"/>
      <c r="P245" s="28"/>
      <c r="Q245" s="28"/>
      <c r="R245" s="28"/>
      <c r="S245" s="28"/>
      <c r="T245" s="28"/>
      <c r="U245" s="28"/>
      <c r="V245" s="28"/>
      <c r="W245" s="28"/>
      <c r="X245" s="28"/>
      <c r="Y245" s="28"/>
      <c r="Z245" s="28"/>
    </row>
    <row r="246">
      <c r="A246" s="1044"/>
      <c r="B246" s="1045"/>
      <c r="C246" s="1041"/>
      <c r="D246" s="1045"/>
      <c r="E246" s="1041"/>
      <c r="F246" s="1041"/>
      <c r="G246" s="28"/>
      <c r="H246" s="28"/>
      <c r="I246" s="28"/>
      <c r="J246" s="28"/>
      <c r="K246" s="28"/>
      <c r="L246" s="28"/>
      <c r="M246" s="28"/>
      <c r="N246" s="28"/>
      <c r="O246" s="28"/>
      <c r="P246" s="28"/>
      <c r="Q246" s="28"/>
      <c r="R246" s="28"/>
      <c r="S246" s="28"/>
      <c r="T246" s="28"/>
      <c r="U246" s="28"/>
      <c r="V246" s="28"/>
      <c r="W246" s="28"/>
      <c r="X246" s="28"/>
      <c r="Y246" s="28"/>
      <c r="Z246" s="28"/>
    </row>
    <row r="247">
      <c r="A247" s="1044"/>
      <c r="B247" s="1045"/>
      <c r="C247" s="1041"/>
      <c r="D247" s="1045"/>
      <c r="E247" s="1041"/>
      <c r="F247" s="1041"/>
      <c r="G247" s="28"/>
      <c r="H247" s="28"/>
      <c r="I247" s="28"/>
      <c r="J247" s="28"/>
      <c r="K247" s="28"/>
      <c r="L247" s="28"/>
      <c r="M247" s="28"/>
      <c r="N247" s="28"/>
      <c r="O247" s="28"/>
      <c r="P247" s="28"/>
      <c r="Q247" s="28"/>
      <c r="R247" s="28"/>
      <c r="S247" s="28"/>
      <c r="T247" s="28"/>
      <c r="U247" s="28"/>
      <c r="V247" s="28"/>
      <c r="W247" s="28"/>
      <c r="X247" s="28"/>
      <c r="Y247" s="28"/>
      <c r="Z247" s="28"/>
    </row>
    <row r="248">
      <c r="A248" s="1044"/>
      <c r="B248" s="1045"/>
      <c r="C248" s="1041"/>
      <c r="D248" s="1045"/>
      <c r="E248" s="1041"/>
      <c r="F248" s="1041"/>
      <c r="G248" s="28"/>
      <c r="H248" s="28"/>
      <c r="I248" s="28"/>
      <c r="J248" s="28"/>
      <c r="K248" s="28"/>
      <c r="L248" s="28"/>
      <c r="M248" s="28"/>
      <c r="N248" s="28"/>
      <c r="O248" s="28"/>
      <c r="P248" s="28"/>
      <c r="Q248" s="28"/>
      <c r="R248" s="28"/>
      <c r="S248" s="28"/>
      <c r="T248" s="28"/>
      <c r="U248" s="28"/>
      <c r="V248" s="28"/>
      <c r="W248" s="28"/>
      <c r="X248" s="28"/>
      <c r="Y248" s="28"/>
      <c r="Z248" s="28"/>
    </row>
    <row r="249">
      <c r="A249" s="1044"/>
      <c r="B249" s="1045"/>
      <c r="C249" s="1041"/>
      <c r="D249" s="1045"/>
      <c r="E249" s="1041"/>
      <c r="F249" s="1041"/>
      <c r="G249" s="28"/>
      <c r="H249" s="28"/>
      <c r="I249" s="28"/>
      <c r="J249" s="28"/>
      <c r="K249" s="28"/>
      <c r="L249" s="28"/>
      <c r="M249" s="28"/>
      <c r="N249" s="28"/>
      <c r="O249" s="28"/>
      <c r="P249" s="28"/>
      <c r="Q249" s="28"/>
      <c r="R249" s="28"/>
      <c r="S249" s="28"/>
      <c r="T249" s="28"/>
      <c r="U249" s="28"/>
      <c r="V249" s="28"/>
      <c r="W249" s="28"/>
      <c r="X249" s="28"/>
      <c r="Y249" s="28"/>
      <c r="Z249" s="28"/>
    </row>
    <row r="250">
      <c r="A250" s="1044"/>
      <c r="B250" s="1045"/>
      <c r="C250" s="1041"/>
      <c r="D250" s="1045"/>
      <c r="E250" s="1041"/>
      <c r="F250" s="1041"/>
      <c r="G250" s="28"/>
      <c r="H250" s="28"/>
      <c r="I250" s="28"/>
      <c r="J250" s="28"/>
      <c r="K250" s="28"/>
      <c r="L250" s="28"/>
      <c r="M250" s="28"/>
      <c r="N250" s="28"/>
      <c r="O250" s="28"/>
      <c r="P250" s="28"/>
      <c r="Q250" s="28"/>
      <c r="R250" s="28"/>
      <c r="S250" s="28"/>
      <c r="T250" s="28"/>
      <c r="U250" s="28"/>
      <c r="V250" s="28"/>
      <c r="W250" s="28"/>
      <c r="X250" s="28"/>
      <c r="Y250" s="28"/>
      <c r="Z250" s="28"/>
    </row>
    <row r="251">
      <c r="A251" s="1044"/>
      <c r="B251" s="1045"/>
      <c r="C251" s="1041"/>
      <c r="D251" s="1045"/>
      <c r="E251" s="1041"/>
      <c r="F251" s="1041"/>
      <c r="G251" s="28"/>
      <c r="H251" s="28"/>
      <c r="I251" s="28"/>
      <c r="J251" s="28"/>
      <c r="K251" s="28"/>
      <c r="L251" s="28"/>
      <c r="M251" s="28"/>
      <c r="N251" s="28"/>
      <c r="O251" s="28"/>
      <c r="P251" s="28"/>
      <c r="Q251" s="28"/>
      <c r="R251" s="28"/>
      <c r="S251" s="28"/>
      <c r="T251" s="28"/>
      <c r="U251" s="28"/>
      <c r="V251" s="28"/>
      <c r="W251" s="28"/>
      <c r="X251" s="28"/>
      <c r="Y251" s="28"/>
      <c r="Z251" s="28"/>
    </row>
    <row r="252">
      <c r="A252" s="1044"/>
      <c r="B252" s="1045"/>
      <c r="C252" s="1041"/>
      <c r="D252" s="1045"/>
      <c r="E252" s="1041"/>
      <c r="F252" s="1041"/>
      <c r="G252" s="28"/>
      <c r="H252" s="28"/>
      <c r="I252" s="28"/>
      <c r="J252" s="28"/>
      <c r="K252" s="28"/>
      <c r="L252" s="28"/>
      <c r="M252" s="28"/>
      <c r="N252" s="28"/>
      <c r="O252" s="28"/>
      <c r="P252" s="28"/>
      <c r="Q252" s="28"/>
      <c r="R252" s="28"/>
      <c r="S252" s="28"/>
      <c r="T252" s="28"/>
      <c r="U252" s="28"/>
      <c r="V252" s="28"/>
      <c r="W252" s="28"/>
      <c r="X252" s="28"/>
      <c r="Y252" s="28"/>
      <c r="Z252" s="28"/>
    </row>
    <row r="253">
      <c r="A253" s="1044"/>
      <c r="B253" s="1045"/>
      <c r="C253" s="1041"/>
      <c r="D253" s="1045"/>
      <c r="E253" s="1041"/>
      <c r="F253" s="1041"/>
      <c r="G253" s="28"/>
      <c r="H253" s="28"/>
      <c r="I253" s="28"/>
      <c r="J253" s="28"/>
      <c r="K253" s="28"/>
      <c r="L253" s="28"/>
      <c r="M253" s="28"/>
      <c r="N253" s="28"/>
      <c r="O253" s="28"/>
      <c r="P253" s="28"/>
      <c r="Q253" s="28"/>
      <c r="R253" s="28"/>
      <c r="S253" s="28"/>
      <c r="T253" s="28"/>
      <c r="U253" s="28"/>
      <c r="V253" s="28"/>
      <c r="W253" s="28"/>
      <c r="X253" s="28"/>
      <c r="Y253" s="28"/>
      <c r="Z253" s="28"/>
    </row>
    <row r="254">
      <c r="A254" s="1044"/>
      <c r="B254" s="1045"/>
      <c r="C254" s="1041"/>
      <c r="D254" s="1045"/>
      <c r="E254" s="1041"/>
      <c r="F254" s="1041"/>
      <c r="G254" s="28"/>
      <c r="H254" s="28"/>
      <c r="I254" s="28"/>
      <c r="J254" s="28"/>
      <c r="K254" s="28"/>
      <c r="L254" s="28"/>
      <c r="M254" s="28"/>
      <c r="N254" s="28"/>
      <c r="O254" s="28"/>
      <c r="P254" s="28"/>
      <c r="Q254" s="28"/>
      <c r="R254" s="28"/>
      <c r="S254" s="28"/>
      <c r="T254" s="28"/>
      <c r="U254" s="28"/>
      <c r="V254" s="28"/>
      <c r="W254" s="28"/>
      <c r="X254" s="28"/>
      <c r="Y254" s="28"/>
      <c r="Z254" s="28"/>
    </row>
    <row r="255">
      <c r="A255" s="1044"/>
      <c r="B255" s="1045"/>
      <c r="C255" s="1041"/>
      <c r="D255" s="1045"/>
      <c r="E255" s="1041"/>
      <c r="F255" s="1041"/>
      <c r="G255" s="28"/>
      <c r="H255" s="28"/>
      <c r="I255" s="28"/>
      <c r="J255" s="28"/>
      <c r="K255" s="28"/>
      <c r="L255" s="28"/>
      <c r="M255" s="28"/>
      <c r="N255" s="28"/>
      <c r="O255" s="28"/>
      <c r="P255" s="28"/>
      <c r="Q255" s="28"/>
      <c r="R255" s="28"/>
      <c r="S255" s="28"/>
      <c r="T255" s="28"/>
      <c r="U255" s="28"/>
      <c r="V255" s="28"/>
      <c r="W255" s="28"/>
      <c r="X255" s="28"/>
      <c r="Y255" s="28"/>
      <c r="Z255" s="28"/>
    </row>
    <row r="256">
      <c r="A256" s="1044"/>
      <c r="B256" s="1045"/>
      <c r="C256" s="1041"/>
      <c r="D256" s="1045"/>
      <c r="E256" s="1041"/>
      <c r="F256" s="1041"/>
      <c r="G256" s="28"/>
      <c r="H256" s="28"/>
      <c r="I256" s="28"/>
      <c r="J256" s="28"/>
      <c r="K256" s="28"/>
      <c r="L256" s="28"/>
      <c r="M256" s="28"/>
      <c r="N256" s="28"/>
      <c r="O256" s="28"/>
      <c r="P256" s="28"/>
      <c r="Q256" s="28"/>
      <c r="R256" s="28"/>
      <c r="S256" s="28"/>
      <c r="T256" s="28"/>
      <c r="U256" s="28"/>
      <c r="V256" s="28"/>
      <c r="W256" s="28"/>
      <c r="X256" s="28"/>
      <c r="Y256" s="28"/>
      <c r="Z256" s="28"/>
    </row>
    <row r="257">
      <c r="A257" s="1044"/>
      <c r="B257" s="1045"/>
      <c r="C257" s="1041"/>
      <c r="D257" s="1045"/>
      <c r="E257" s="1041"/>
      <c r="F257" s="1041"/>
      <c r="G257" s="28"/>
      <c r="H257" s="28"/>
      <c r="I257" s="28"/>
      <c r="J257" s="28"/>
      <c r="K257" s="28"/>
      <c r="L257" s="28"/>
      <c r="M257" s="28"/>
      <c r="N257" s="28"/>
      <c r="O257" s="28"/>
      <c r="P257" s="28"/>
      <c r="Q257" s="28"/>
      <c r="R257" s="28"/>
      <c r="S257" s="28"/>
      <c r="T257" s="28"/>
      <c r="U257" s="28"/>
      <c r="V257" s="28"/>
      <c r="W257" s="28"/>
      <c r="X257" s="28"/>
      <c r="Y257" s="28"/>
      <c r="Z257" s="28"/>
    </row>
    <row r="258">
      <c r="A258" s="1044"/>
      <c r="B258" s="1045"/>
      <c r="C258" s="1041"/>
      <c r="D258" s="1045"/>
      <c r="E258" s="1041"/>
      <c r="F258" s="1041"/>
      <c r="G258" s="28"/>
      <c r="H258" s="28"/>
      <c r="I258" s="28"/>
      <c r="J258" s="28"/>
      <c r="K258" s="28"/>
      <c r="L258" s="28"/>
      <c r="M258" s="28"/>
      <c r="N258" s="28"/>
      <c r="O258" s="28"/>
      <c r="P258" s="28"/>
      <c r="Q258" s="28"/>
      <c r="R258" s="28"/>
      <c r="S258" s="28"/>
      <c r="T258" s="28"/>
      <c r="U258" s="28"/>
      <c r="V258" s="28"/>
      <c r="W258" s="28"/>
      <c r="X258" s="28"/>
      <c r="Y258" s="28"/>
      <c r="Z258" s="28"/>
    </row>
    <row r="259">
      <c r="A259" s="1044"/>
      <c r="B259" s="1045"/>
      <c r="C259" s="1041"/>
      <c r="D259" s="1045"/>
      <c r="E259" s="1041"/>
      <c r="F259" s="1041"/>
      <c r="G259" s="28"/>
      <c r="H259" s="28"/>
      <c r="I259" s="28"/>
      <c r="J259" s="28"/>
      <c r="K259" s="28"/>
      <c r="L259" s="28"/>
      <c r="M259" s="28"/>
      <c r="N259" s="28"/>
      <c r="O259" s="28"/>
      <c r="P259" s="28"/>
      <c r="Q259" s="28"/>
      <c r="R259" s="28"/>
      <c r="S259" s="28"/>
      <c r="T259" s="28"/>
      <c r="U259" s="28"/>
      <c r="V259" s="28"/>
      <c r="W259" s="28"/>
      <c r="X259" s="28"/>
      <c r="Y259" s="28"/>
      <c r="Z259" s="28"/>
    </row>
    <row r="260">
      <c r="A260" s="1044"/>
      <c r="B260" s="1045"/>
      <c r="C260" s="1041"/>
      <c r="D260" s="1045"/>
      <c r="E260" s="1041"/>
      <c r="F260" s="1041"/>
      <c r="G260" s="28"/>
      <c r="H260" s="28"/>
      <c r="I260" s="28"/>
      <c r="J260" s="28"/>
      <c r="K260" s="28"/>
      <c r="L260" s="28"/>
      <c r="M260" s="28"/>
      <c r="N260" s="28"/>
      <c r="O260" s="28"/>
      <c r="P260" s="28"/>
      <c r="Q260" s="28"/>
      <c r="R260" s="28"/>
      <c r="S260" s="28"/>
      <c r="T260" s="28"/>
      <c r="U260" s="28"/>
      <c r="V260" s="28"/>
      <c r="W260" s="28"/>
      <c r="X260" s="28"/>
      <c r="Y260" s="28"/>
      <c r="Z260" s="28"/>
    </row>
    <row r="261">
      <c r="A261" s="1044"/>
      <c r="B261" s="1045"/>
      <c r="C261" s="1041"/>
      <c r="D261" s="1045"/>
      <c r="E261" s="1041"/>
      <c r="F261" s="1041"/>
      <c r="G261" s="28"/>
      <c r="H261" s="28"/>
      <c r="I261" s="28"/>
      <c r="J261" s="28"/>
      <c r="K261" s="28"/>
      <c r="L261" s="28"/>
      <c r="M261" s="28"/>
      <c r="N261" s="28"/>
      <c r="O261" s="28"/>
      <c r="P261" s="28"/>
      <c r="Q261" s="28"/>
      <c r="R261" s="28"/>
      <c r="S261" s="28"/>
      <c r="T261" s="28"/>
      <c r="U261" s="28"/>
      <c r="V261" s="28"/>
      <c r="W261" s="28"/>
      <c r="X261" s="28"/>
      <c r="Y261" s="28"/>
      <c r="Z261" s="28"/>
    </row>
    <row r="262">
      <c r="A262" s="1044"/>
      <c r="B262" s="1045"/>
      <c r="C262" s="1041"/>
      <c r="D262" s="1045"/>
      <c r="E262" s="1041"/>
      <c r="F262" s="1041"/>
      <c r="G262" s="28"/>
      <c r="H262" s="28"/>
      <c r="I262" s="28"/>
      <c r="J262" s="28"/>
      <c r="K262" s="28"/>
      <c r="L262" s="28"/>
      <c r="M262" s="28"/>
      <c r="N262" s="28"/>
      <c r="O262" s="28"/>
      <c r="P262" s="28"/>
      <c r="Q262" s="28"/>
      <c r="R262" s="28"/>
      <c r="S262" s="28"/>
      <c r="T262" s="28"/>
      <c r="U262" s="28"/>
      <c r="V262" s="28"/>
      <c r="W262" s="28"/>
      <c r="X262" s="28"/>
      <c r="Y262" s="28"/>
      <c r="Z262" s="28"/>
    </row>
    <row r="263">
      <c r="A263" s="1044"/>
      <c r="B263" s="1045"/>
      <c r="C263" s="1041"/>
      <c r="D263" s="1045"/>
      <c r="E263" s="1041"/>
      <c r="F263" s="1041"/>
      <c r="G263" s="28"/>
      <c r="H263" s="28"/>
      <c r="I263" s="28"/>
      <c r="J263" s="28"/>
      <c r="K263" s="28"/>
      <c r="L263" s="28"/>
      <c r="M263" s="28"/>
      <c r="N263" s="28"/>
      <c r="O263" s="28"/>
      <c r="P263" s="28"/>
      <c r="Q263" s="28"/>
      <c r="R263" s="28"/>
      <c r="S263" s="28"/>
      <c r="T263" s="28"/>
      <c r="U263" s="28"/>
      <c r="V263" s="28"/>
      <c r="W263" s="28"/>
      <c r="X263" s="28"/>
      <c r="Y263" s="28"/>
      <c r="Z263" s="28"/>
    </row>
    <row r="264">
      <c r="A264" s="1044"/>
      <c r="B264" s="1045"/>
      <c r="C264" s="1041"/>
      <c r="D264" s="1045"/>
      <c r="E264" s="1041"/>
      <c r="F264" s="1041"/>
      <c r="G264" s="28"/>
      <c r="H264" s="28"/>
      <c r="I264" s="28"/>
      <c r="J264" s="28"/>
      <c r="K264" s="28"/>
      <c r="L264" s="28"/>
      <c r="M264" s="28"/>
      <c r="N264" s="28"/>
      <c r="O264" s="28"/>
      <c r="P264" s="28"/>
      <c r="Q264" s="28"/>
      <c r="R264" s="28"/>
      <c r="S264" s="28"/>
      <c r="T264" s="28"/>
      <c r="U264" s="28"/>
      <c r="V264" s="28"/>
      <c r="W264" s="28"/>
      <c r="X264" s="28"/>
      <c r="Y264" s="28"/>
      <c r="Z264" s="28"/>
    </row>
    <row r="265">
      <c r="A265" s="1044"/>
      <c r="B265" s="1045"/>
      <c r="C265" s="1041"/>
      <c r="D265" s="1045"/>
      <c r="E265" s="1041"/>
      <c r="F265" s="1041"/>
      <c r="G265" s="28"/>
      <c r="H265" s="28"/>
      <c r="I265" s="28"/>
      <c r="J265" s="28"/>
      <c r="K265" s="28"/>
      <c r="L265" s="28"/>
      <c r="M265" s="28"/>
      <c r="N265" s="28"/>
      <c r="O265" s="28"/>
      <c r="P265" s="28"/>
      <c r="Q265" s="28"/>
      <c r="R265" s="28"/>
      <c r="S265" s="28"/>
      <c r="T265" s="28"/>
      <c r="U265" s="28"/>
      <c r="V265" s="28"/>
      <c r="W265" s="28"/>
      <c r="X265" s="28"/>
      <c r="Y265" s="28"/>
      <c r="Z265" s="28"/>
    </row>
    <row r="266">
      <c r="A266" s="1044"/>
      <c r="B266" s="1045"/>
      <c r="C266" s="1041"/>
      <c r="D266" s="1045"/>
      <c r="E266" s="1041"/>
      <c r="F266" s="1041"/>
      <c r="G266" s="28"/>
      <c r="H266" s="28"/>
      <c r="I266" s="28"/>
      <c r="J266" s="28"/>
      <c r="K266" s="28"/>
      <c r="L266" s="28"/>
      <c r="M266" s="28"/>
      <c r="N266" s="28"/>
      <c r="O266" s="28"/>
      <c r="P266" s="28"/>
      <c r="Q266" s="28"/>
      <c r="R266" s="28"/>
      <c r="S266" s="28"/>
      <c r="T266" s="28"/>
      <c r="U266" s="28"/>
      <c r="V266" s="28"/>
      <c r="W266" s="28"/>
      <c r="X266" s="28"/>
      <c r="Y266" s="28"/>
      <c r="Z266" s="28"/>
    </row>
    <row r="267">
      <c r="A267" s="1044"/>
      <c r="B267" s="1045"/>
      <c r="C267" s="1041"/>
      <c r="D267" s="1045"/>
      <c r="E267" s="1041"/>
      <c r="F267" s="1041"/>
      <c r="G267" s="28"/>
      <c r="H267" s="28"/>
      <c r="I267" s="28"/>
      <c r="J267" s="28"/>
      <c r="K267" s="28"/>
      <c r="L267" s="28"/>
      <c r="M267" s="28"/>
      <c r="N267" s="28"/>
      <c r="O267" s="28"/>
      <c r="P267" s="28"/>
      <c r="Q267" s="28"/>
      <c r="R267" s="28"/>
      <c r="S267" s="28"/>
      <c r="T267" s="28"/>
      <c r="U267" s="28"/>
      <c r="V267" s="28"/>
      <c r="W267" s="28"/>
      <c r="X267" s="28"/>
      <c r="Y267" s="28"/>
      <c r="Z267" s="28"/>
    </row>
    <row r="268">
      <c r="A268" s="1044"/>
      <c r="B268" s="1045"/>
      <c r="C268" s="1041"/>
      <c r="D268" s="1045"/>
      <c r="E268" s="1041"/>
      <c r="F268" s="1041"/>
      <c r="G268" s="28"/>
      <c r="H268" s="28"/>
      <c r="I268" s="28"/>
      <c r="J268" s="28"/>
      <c r="K268" s="28"/>
      <c r="L268" s="28"/>
      <c r="M268" s="28"/>
      <c r="N268" s="28"/>
      <c r="O268" s="28"/>
      <c r="P268" s="28"/>
      <c r="Q268" s="28"/>
      <c r="R268" s="28"/>
      <c r="S268" s="28"/>
      <c r="T268" s="28"/>
      <c r="U268" s="28"/>
      <c r="V268" s="28"/>
      <c r="W268" s="28"/>
      <c r="X268" s="28"/>
      <c r="Y268" s="28"/>
      <c r="Z268" s="28"/>
    </row>
    <row r="269">
      <c r="A269" s="1044"/>
      <c r="B269" s="1045"/>
      <c r="C269" s="1041"/>
      <c r="D269" s="1045"/>
      <c r="E269" s="1041"/>
      <c r="F269" s="1041"/>
      <c r="G269" s="28"/>
      <c r="H269" s="28"/>
      <c r="I269" s="28"/>
      <c r="J269" s="28"/>
      <c r="K269" s="28"/>
      <c r="L269" s="28"/>
      <c r="M269" s="28"/>
      <c r="N269" s="28"/>
      <c r="O269" s="28"/>
      <c r="P269" s="28"/>
      <c r="Q269" s="28"/>
      <c r="R269" s="28"/>
      <c r="S269" s="28"/>
      <c r="T269" s="28"/>
      <c r="U269" s="28"/>
      <c r="V269" s="28"/>
      <c r="W269" s="28"/>
      <c r="X269" s="28"/>
      <c r="Y269" s="28"/>
      <c r="Z269" s="28"/>
    </row>
    <row r="270">
      <c r="A270" s="1044"/>
      <c r="B270" s="1045"/>
      <c r="C270" s="1041"/>
      <c r="D270" s="1045"/>
      <c r="E270" s="1041"/>
      <c r="F270" s="1041"/>
      <c r="G270" s="28"/>
      <c r="H270" s="28"/>
      <c r="I270" s="28"/>
      <c r="J270" s="28"/>
      <c r="K270" s="28"/>
      <c r="L270" s="28"/>
      <c r="M270" s="28"/>
      <c r="N270" s="28"/>
      <c r="O270" s="28"/>
      <c r="P270" s="28"/>
      <c r="Q270" s="28"/>
      <c r="R270" s="28"/>
      <c r="S270" s="28"/>
      <c r="T270" s="28"/>
      <c r="U270" s="28"/>
      <c r="V270" s="28"/>
      <c r="W270" s="28"/>
      <c r="X270" s="28"/>
      <c r="Y270" s="28"/>
      <c r="Z270" s="28"/>
    </row>
    <row r="271">
      <c r="A271" s="1044"/>
      <c r="B271" s="1045"/>
      <c r="C271" s="1041"/>
      <c r="D271" s="1045"/>
      <c r="E271" s="1041"/>
      <c r="F271" s="1041"/>
      <c r="G271" s="28"/>
      <c r="H271" s="28"/>
      <c r="I271" s="28"/>
      <c r="J271" s="28"/>
      <c r="K271" s="28"/>
      <c r="L271" s="28"/>
      <c r="M271" s="28"/>
      <c r="N271" s="28"/>
      <c r="O271" s="28"/>
      <c r="P271" s="28"/>
      <c r="Q271" s="28"/>
      <c r="R271" s="28"/>
      <c r="S271" s="28"/>
      <c r="T271" s="28"/>
      <c r="U271" s="28"/>
      <c r="V271" s="28"/>
      <c r="W271" s="28"/>
      <c r="X271" s="28"/>
      <c r="Y271" s="28"/>
      <c r="Z271" s="28"/>
    </row>
    <row r="272">
      <c r="A272" s="1044"/>
      <c r="B272" s="1045"/>
      <c r="C272" s="1041"/>
      <c r="D272" s="1045"/>
      <c r="E272" s="1041"/>
      <c r="F272" s="1041"/>
      <c r="G272" s="28"/>
      <c r="H272" s="28"/>
      <c r="I272" s="28"/>
      <c r="J272" s="28"/>
      <c r="K272" s="28"/>
      <c r="L272" s="28"/>
      <c r="M272" s="28"/>
      <c r="N272" s="28"/>
      <c r="O272" s="28"/>
      <c r="P272" s="28"/>
      <c r="Q272" s="28"/>
      <c r="R272" s="28"/>
      <c r="S272" s="28"/>
      <c r="T272" s="28"/>
      <c r="U272" s="28"/>
      <c r="V272" s="28"/>
      <c r="W272" s="28"/>
      <c r="X272" s="28"/>
      <c r="Y272" s="28"/>
      <c r="Z272" s="28"/>
    </row>
    <row r="273">
      <c r="A273" s="1044"/>
      <c r="B273" s="1045"/>
      <c r="C273" s="1041"/>
      <c r="D273" s="1045"/>
      <c r="E273" s="1041"/>
      <c r="F273" s="1041"/>
      <c r="G273" s="28"/>
      <c r="H273" s="28"/>
      <c r="I273" s="28"/>
      <c r="J273" s="28"/>
      <c r="K273" s="28"/>
      <c r="L273" s="28"/>
      <c r="M273" s="28"/>
      <c r="N273" s="28"/>
      <c r="O273" s="28"/>
      <c r="P273" s="28"/>
      <c r="Q273" s="28"/>
      <c r="R273" s="28"/>
      <c r="S273" s="28"/>
      <c r="T273" s="28"/>
      <c r="U273" s="28"/>
      <c r="V273" s="28"/>
      <c r="W273" s="28"/>
      <c r="X273" s="28"/>
      <c r="Y273" s="28"/>
      <c r="Z273" s="28"/>
    </row>
    <row r="274">
      <c r="A274" s="1044"/>
      <c r="B274" s="1045"/>
      <c r="C274" s="1041"/>
      <c r="D274" s="1045"/>
      <c r="E274" s="1041"/>
      <c r="F274" s="1041"/>
      <c r="G274" s="28"/>
      <c r="H274" s="28"/>
      <c r="I274" s="28"/>
      <c r="J274" s="28"/>
      <c r="K274" s="28"/>
      <c r="L274" s="28"/>
      <c r="M274" s="28"/>
      <c r="N274" s="28"/>
      <c r="O274" s="28"/>
      <c r="P274" s="28"/>
      <c r="Q274" s="28"/>
      <c r="R274" s="28"/>
      <c r="S274" s="28"/>
      <c r="T274" s="28"/>
      <c r="U274" s="28"/>
      <c r="V274" s="28"/>
      <c r="W274" s="28"/>
      <c r="X274" s="28"/>
      <c r="Y274" s="28"/>
      <c r="Z274" s="28"/>
    </row>
    <row r="275">
      <c r="A275" s="1044"/>
      <c r="B275" s="1045"/>
      <c r="C275" s="1041"/>
      <c r="D275" s="1045"/>
      <c r="E275" s="1041"/>
      <c r="F275" s="1041"/>
      <c r="G275" s="28"/>
      <c r="H275" s="28"/>
      <c r="I275" s="28"/>
      <c r="J275" s="28"/>
      <c r="K275" s="28"/>
      <c r="L275" s="28"/>
      <c r="M275" s="28"/>
      <c r="N275" s="28"/>
      <c r="O275" s="28"/>
      <c r="P275" s="28"/>
      <c r="Q275" s="28"/>
      <c r="R275" s="28"/>
      <c r="S275" s="28"/>
      <c r="T275" s="28"/>
      <c r="U275" s="28"/>
      <c r="V275" s="28"/>
      <c r="W275" s="28"/>
      <c r="X275" s="28"/>
      <c r="Y275" s="28"/>
      <c r="Z275" s="28"/>
    </row>
    <row r="276">
      <c r="A276" s="1044"/>
      <c r="B276" s="1045"/>
      <c r="C276" s="1041"/>
      <c r="D276" s="1045"/>
      <c r="E276" s="1041"/>
      <c r="F276" s="1041"/>
      <c r="G276" s="28"/>
      <c r="H276" s="28"/>
      <c r="I276" s="28"/>
      <c r="J276" s="28"/>
      <c r="K276" s="28"/>
      <c r="L276" s="28"/>
      <c r="M276" s="28"/>
      <c r="N276" s="28"/>
      <c r="O276" s="28"/>
      <c r="P276" s="28"/>
      <c r="Q276" s="28"/>
      <c r="R276" s="28"/>
      <c r="S276" s="28"/>
      <c r="T276" s="28"/>
      <c r="U276" s="28"/>
      <c r="V276" s="28"/>
      <c r="W276" s="28"/>
      <c r="X276" s="28"/>
      <c r="Y276" s="28"/>
      <c r="Z276" s="28"/>
    </row>
    <row r="277">
      <c r="A277" s="1044"/>
      <c r="B277" s="1045"/>
      <c r="C277" s="1041"/>
      <c r="D277" s="1045"/>
      <c r="E277" s="1041"/>
      <c r="F277" s="1041"/>
      <c r="G277" s="28"/>
      <c r="H277" s="28"/>
      <c r="I277" s="28"/>
      <c r="J277" s="28"/>
      <c r="K277" s="28"/>
      <c r="L277" s="28"/>
      <c r="M277" s="28"/>
      <c r="N277" s="28"/>
      <c r="O277" s="28"/>
      <c r="P277" s="28"/>
      <c r="Q277" s="28"/>
      <c r="R277" s="28"/>
      <c r="S277" s="28"/>
      <c r="T277" s="28"/>
      <c r="U277" s="28"/>
      <c r="V277" s="28"/>
      <c r="W277" s="28"/>
      <c r="X277" s="28"/>
      <c r="Y277" s="28"/>
      <c r="Z277" s="28"/>
    </row>
    <row r="278">
      <c r="A278" s="1044"/>
      <c r="B278" s="1045"/>
      <c r="C278" s="1041"/>
      <c r="D278" s="1045"/>
      <c r="E278" s="1041"/>
      <c r="F278" s="1041"/>
      <c r="G278" s="28"/>
      <c r="H278" s="28"/>
      <c r="I278" s="28"/>
      <c r="J278" s="28"/>
      <c r="K278" s="28"/>
      <c r="L278" s="28"/>
      <c r="M278" s="28"/>
      <c r="N278" s="28"/>
      <c r="O278" s="28"/>
      <c r="P278" s="28"/>
      <c r="Q278" s="28"/>
      <c r="R278" s="28"/>
      <c r="S278" s="28"/>
      <c r="T278" s="28"/>
      <c r="U278" s="28"/>
      <c r="V278" s="28"/>
      <c r="W278" s="28"/>
      <c r="X278" s="28"/>
      <c r="Y278" s="28"/>
      <c r="Z278" s="28"/>
    </row>
    <row r="279">
      <c r="A279" s="1044"/>
      <c r="B279" s="1045"/>
      <c r="C279" s="1041"/>
      <c r="D279" s="1045"/>
      <c r="E279" s="1041"/>
      <c r="F279" s="1041"/>
      <c r="G279" s="28"/>
      <c r="H279" s="28"/>
      <c r="I279" s="28"/>
      <c r="J279" s="28"/>
      <c r="K279" s="28"/>
      <c r="L279" s="28"/>
      <c r="M279" s="28"/>
      <c r="N279" s="28"/>
      <c r="O279" s="28"/>
      <c r="P279" s="28"/>
      <c r="Q279" s="28"/>
      <c r="R279" s="28"/>
      <c r="S279" s="28"/>
      <c r="T279" s="28"/>
      <c r="U279" s="28"/>
      <c r="V279" s="28"/>
      <c r="W279" s="28"/>
      <c r="X279" s="28"/>
      <c r="Y279" s="28"/>
      <c r="Z279" s="28"/>
    </row>
    <row r="280">
      <c r="A280" s="1044"/>
      <c r="B280" s="1045"/>
      <c r="C280" s="1041"/>
      <c r="D280" s="1045"/>
      <c r="E280" s="1041"/>
      <c r="F280" s="1041"/>
      <c r="G280" s="28"/>
      <c r="H280" s="28"/>
      <c r="I280" s="28"/>
      <c r="J280" s="28"/>
      <c r="K280" s="28"/>
      <c r="L280" s="28"/>
      <c r="M280" s="28"/>
      <c r="N280" s="28"/>
      <c r="O280" s="28"/>
      <c r="P280" s="28"/>
      <c r="Q280" s="28"/>
      <c r="R280" s="28"/>
      <c r="S280" s="28"/>
      <c r="T280" s="28"/>
      <c r="U280" s="28"/>
      <c r="V280" s="28"/>
      <c r="W280" s="28"/>
      <c r="X280" s="28"/>
      <c r="Y280" s="28"/>
      <c r="Z280" s="28"/>
    </row>
    <row r="281">
      <c r="A281" s="1044"/>
      <c r="B281" s="1045"/>
      <c r="C281" s="1041"/>
      <c r="D281" s="1045"/>
      <c r="E281" s="1041"/>
      <c r="F281" s="1041"/>
      <c r="G281" s="28"/>
      <c r="H281" s="28"/>
      <c r="I281" s="28"/>
      <c r="J281" s="28"/>
      <c r="K281" s="28"/>
      <c r="L281" s="28"/>
      <c r="M281" s="28"/>
      <c r="N281" s="28"/>
      <c r="O281" s="28"/>
      <c r="P281" s="28"/>
      <c r="Q281" s="28"/>
      <c r="R281" s="28"/>
      <c r="S281" s="28"/>
      <c r="T281" s="28"/>
      <c r="U281" s="28"/>
      <c r="V281" s="28"/>
      <c r="W281" s="28"/>
      <c r="X281" s="28"/>
      <c r="Y281" s="28"/>
      <c r="Z281" s="28"/>
    </row>
    <row r="282">
      <c r="A282" s="1044"/>
      <c r="B282" s="1045"/>
      <c r="C282" s="1041"/>
      <c r="D282" s="1045"/>
      <c r="E282" s="1041"/>
      <c r="F282" s="1041"/>
      <c r="G282" s="28"/>
      <c r="H282" s="28"/>
      <c r="I282" s="28"/>
      <c r="J282" s="28"/>
      <c r="K282" s="28"/>
      <c r="L282" s="28"/>
      <c r="M282" s="28"/>
      <c r="N282" s="28"/>
      <c r="O282" s="28"/>
      <c r="P282" s="28"/>
      <c r="Q282" s="28"/>
      <c r="R282" s="28"/>
      <c r="S282" s="28"/>
      <c r="T282" s="28"/>
      <c r="U282" s="28"/>
      <c r="V282" s="28"/>
      <c r="W282" s="28"/>
      <c r="X282" s="28"/>
      <c r="Y282" s="28"/>
      <c r="Z282" s="28"/>
    </row>
    <row r="283">
      <c r="A283" s="1044"/>
      <c r="B283" s="1045"/>
      <c r="C283" s="1041"/>
      <c r="D283" s="1045"/>
      <c r="E283" s="1041"/>
      <c r="F283" s="1041"/>
      <c r="G283" s="28"/>
      <c r="H283" s="28"/>
      <c r="I283" s="28"/>
      <c r="J283" s="28"/>
      <c r="K283" s="28"/>
      <c r="L283" s="28"/>
      <c r="M283" s="28"/>
      <c r="N283" s="28"/>
      <c r="O283" s="28"/>
      <c r="P283" s="28"/>
      <c r="Q283" s="28"/>
      <c r="R283" s="28"/>
      <c r="S283" s="28"/>
      <c r="T283" s="28"/>
      <c r="U283" s="28"/>
      <c r="V283" s="28"/>
      <c r="W283" s="28"/>
      <c r="X283" s="28"/>
      <c r="Y283" s="28"/>
      <c r="Z283" s="28"/>
    </row>
    <row r="284">
      <c r="A284" s="1044"/>
      <c r="B284" s="1045"/>
      <c r="C284" s="1041"/>
      <c r="D284" s="1045"/>
      <c r="E284" s="1041"/>
      <c r="F284" s="1041"/>
      <c r="G284" s="28"/>
      <c r="H284" s="28"/>
      <c r="I284" s="28"/>
      <c r="J284" s="28"/>
      <c r="K284" s="28"/>
      <c r="L284" s="28"/>
      <c r="M284" s="28"/>
      <c r="N284" s="28"/>
      <c r="O284" s="28"/>
      <c r="P284" s="28"/>
      <c r="Q284" s="28"/>
      <c r="R284" s="28"/>
      <c r="S284" s="28"/>
      <c r="T284" s="28"/>
      <c r="U284" s="28"/>
      <c r="V284" s="28"/>
      <c r="W284" s="28"/>
      <c r="X284" s="28"/>
      <c r="Y284" s="28"/>
      <c r="Z284" s="28"/>
    </row>
    <row r="285">
      <c r="A285" s="1044"/>
      <c r="B285" s="1045"/>
      <c r="C285" s="1041"/>
      <c r="D285" s="1045"/>
      <c r="E285" s="1041"/>
      <c r="F285" s="1041"/>
      <c r="G285" s="28"/>
      <c r="H285" s="28"/>
      <c r="I285" s="28"/>
      <c r="J285" s="28"/>
      <c r="K285" s="28"/>
      <c r="L285" s="28"/>
      <c r="M285" s="28"/>
      <c r="N285" s="28"/>
      <c r="O285" s="28"/>
      <c r="P285" s="28"/>
      <c r="Q285" s="28"/>
      <c r="R285" s="28"/>
      <c r="S285" s="28"/>
      <c r="T285" s="28"/>
      <c r="U285" s="28"/>
      <c r="V285" s="28"/>
      <c r="W285" s="28"/>
      <c r="X285" s="28"/>
      <c r="Y285" s="28"/>
      <c r="Z285" s="28"/>
    </row>
    <row r="286">
      <c r="A286" s="1044"/>
      <c r="B286" s="1045"/>
      <c r="C286" s="1041"/>
      <c r="D286" s="1045"/>
      <c r="E286" s="1041"/>
      <c r="F286" s="1041"/>
      <c r="G286" s="28"/>
      <c r="H286" s="28"/>
      <c r="I286" s="28"/>
      <c r="J286" s="28"/>
      <c r="K286" s="28"/>
      <c r="L286" s="28"/>
      <c r="M286" s="28"/>
      <c r="N286" s="28"/>
      <c r="O286" s="28"/>
      <c r="P286" s="28"/>
      <c r="Q286" s="28"/>
      <c r="R286" s="28"/>
      <c r="S286" s="28"/>
      <c r="T286" s="28"/>
      <c r="U286" s="28"/>
      <c r="V286" s="28"/>
      <c r="W286" s="28"/>
      <c r="X286" s="28"/>
      <c r="Y286" s="28"/>
      <c r="Z286" s="28"/>
    </row>
    <row r="287">
      <c r="A287" s="1044"/>
      <c r="B287" s="1045"/>
      <c r="C287" s="1041"/>
      <c r="D287" s="1045"/>
      <c r="E287" s="1041"/>
      <c r="F287" s="1041"/>
      <c r="G287" s="28"/>
      <c r="H287" s="28"/>
      <c r="I287" s="28"/>
      <c r="J287" s="28"/>
      <c r="K287" s="28"/>
      <c r="L287" s="28"/>
      <c r="M287" s="28"/>
      <c r="N287" s="28"/>
      <c r="O287" s="28"/>
      <c r="P287" s="28"/>
      <c r="Q287" s="28"/>
      <c r="R287" s="28"/>
      <c r="S287" s="28"/>
      <c r="T287" s="28"/>
      <c r="U287" s="28"/>
      <c r="V287" s="28"/>
      <c r="W287" s="28"/>
      <c r="X287" s="28"/>
      <c r="Y287" s="28"/>
      <c r="Z287" s="28"/>
    </row>
    <row r="288">
      <c r="A288" s="1044"/>
      <c r="B288" s="1045"/>
      <c r="C288" s="1041"/>
      <c r="D288" s="1045"/>
      <c r="E288" s="1041"/>
      <c r="F288" s="1041"/>
      <c r="G288" s="28"/>
      <c r="H288" s="28"/>
      <c r="I288" s="28"/>
      <c r="J288" s="28"/>
      <c r="K288" s="28"/>
      <c r="L288" s="28"/>
      <c r="M288" s="28"/>
      <c r="N288" s="28"/>
      <c r="O288" s="28"/>
      <c r="P288" s="28"/>
      <c r="Q288" s="28"/>
      <c r="R288" s="28"/>
      <c r="S288" s="28"/>
      <c r="T288" s="28"/>
      <c r="U288" s="28"/>
      <c r="V288" s="28"/>
      <c r="W288" s="28"/>
      <c r="X288" s="28"/>
      <c r="Y288" s="28"/>
      <c r="Z288" s="28"/>
    </row>
    <row r="289">
      <c r="A289" s="1044"/>
      <c r="B289" s="1045"/>
      <c r="C289" s="1041"/>
      <c r="D289" s="1045"/>
      <c r="E289" s="1041"/>
      <c r="F289" s="1041"/>
      <c r="G289" s="28"/>
      <c r="H289" s="28"/>
      <c r="I289" s="28"/>
      <c r="J289" s="28"/>
      <c r="K289" s="28"/>
      <c r="L289" s="28"/>
      <c r="M289" s="28"/>
      <c r="N289" s="28"/>
      <c r="O289" s="28"/>
      <c r="P289" s="28"/>
      <c r="Q289" s="28"/>
      <c r="R289" s="28"/>
      <c r="S289" s="28"/>
      <c r="T289" s="28"/>
      <c r="U289" s="28"/>
      <c r="V289" s="28"/>
      <c r="W289" s="28"/>
      <c r="X289" s="28"/>
      <c r="Y289" s="28"/>
      <c r="Z289" s="28"/>
    </row>
    <row r="290">
      <c r="A290" s="1044"/>
      <c r="B290" s="1045"/>
      <c r="C290" s="1041"/>
      <c r="D290" s="1045"/>
      <c r="E290" s="1041"/>
      <c r="F290" s="1041"/>
      <c r="G290" s="28"/>
      <c r="H290" s="28"/>
      <c r="I290" s="28"/>
      <c r="J290" s="28"/>
      <c r="K290" s="28"/>
      <c r="L290" s="28"/>
      <c r="M290" s="28"/>
      <c r="N290" s="28"/>
      <c r="O290" s="28"/>
      <c r="P290" s="28"/>
      <c r="Q290" s="28"/>
      <c r="R290" s="28"/>
      <c r="S290" s="28"/>
      <c r="T290" s="28"/>
      <c r="U290" s="28"/>
      <c r="V290" s="28"/>
      <c r="W290" s="28"/>
      <c r="X290" s="28"/>
      <c r="Y290" s="28"/>
      <c r="Z290" s="28"/>
    </row>
    <row r="291">
      <c r="A291" s="1044"/>
      <c r="B291" s="1045"/>
      <c r="C291" s="1041"/>
      <c r="D291" s="1045"/>
      <c r="E291" s="1041"/>
      <c r="F291" s="1041"/>
      <c r="G291" s="28"/>
      <c r="H291" s="28"/>
      <c r="I291" s="28"/>
      <c r="J291" s="28"/>
      <c r="K291" s="28"/>
      <c r="L291" s="28"/>
      <c r="M291" s="28"/>
      <c r="N291" s="28"/>
      <c r="O291" s="28"/>
      <c r="P291" s="28"/>
      <c r="Q291" s="28"/>
      <c r="R291" s="28"/>
      <c r="S291" s="28"/>
      <c r="T291" s="28"/>
      <c r="U291" s="28"/>
      <c r="V291" s="28"/>
      <c r="W291" s="28"/>
      <c r="X291" s="28"/>
      <c r="Y291" s="28"/>
      <c r="Z291" s="28"/>
    </row>
    <row r="292">
      <c r="A292" s="1044"/>
      <c r="B292" s="1045"/>
      <c r="C292" s="1041"/>
      <c r="D292" s="1045"/>
      <c r="E292" s="1041"/>
      <c r="F292" s="1041"/>
      <c r="G292" s="28"/>
      <c r="H292" s="28"/>
      <c r="I292" s="28"/>
      <c r="J292" s="28"/>
      <c r="K292" s="28"/>
      <c r="L292" s="28"/>
      <c r="M292" s="28"/>
      <c r="N292" s="28"/>
      <c r="O292" s="28"/>
      <c r="P292" s="28"/>
      <c r="Q292" s="28"/>
      <c r="R292" s="28"/>
      <c r="S292" s="28"/>
      <c r="T292" s="28"/>
      <c r="U292" s="28"/>
      <c r="V292" s="28"/>
      <c r="W292" s="28"/>
      <c r="X292" s="28"/>
      <c r="Y292" s="28"/>
      <c r="Z292" s="28"/>
    </row>
    <row r="293">
      <c r="A293" s="1044"/>
      <c r="B293" s="1045"/>
      <c r="C293" s="1041"/>
      <c r="D293" s="1045"/>
      <c r="E293" s="1041"/>
      <c r="F293" s="1041"/>
      <c r="G293" s="28"/>
      <c r="H293" s="28"/>
      <c r="I293" s="28"/>
      <c r="J293" s="28"/>
      <c r="K293" s="28"/>
      <c r="L293" s="28"/>
      <c r="M293" s="28"/>
      <c r="N293" s="28"/>
      <c r="O293" s="28"/>
      <c r="P293" s="28"/>
      <c r="Q293" s="28"/>
      <c r="R293" s="28"/>
      <c r="S293" s="28"/>
      <c r="T293" s="28"/>
      <c r="U293" s="28"/>
      <c r="V293" s="28"/>
      <c r="W293" s="28"/>
      <c r="X293" s="28"/>
      <c r="Y293" s="28"/>
      <c r="Z293" s="28"/>
    </row>
    <row r="294">
      <c r="A294" s="1044"/>
      <c r="B294" s="1045"/>
      <c r="C294" s="1041"/>
      <c r="D294" s="1045"/>
      <c r="E294" s="1041"/>
      <c r="F294" s="1041"/>
      <c r="G294" s="28"/>
      <c r="H294" s="28"/>
      <c r="I294" s="28"/>
      <c r="J294" s="28"/>
      <c r="K294" s="28"/>
      <c r="L294" s="28"/>
      <c r="M294" s="28"/>
      <c r="N294" s="28"/>
      <c r="O294" s="28"/>
      <c r="P294" s="28"/>
      <c r="Q294" s="28"/>
      <c r="R294" s="28"/>
      <c r="S294" s="28"/>
      <c r="T294" s="28"/>
      <c r="U294" s="28"/>
      <c r="V294" s="28"/>
      <c r="W294" s="28"/>
      <c r="X294" s="28"/>
      <c r="Y294" s="28"/>
      <c r="Z294" s="28"/>
    </row>
    <row r="295">
      <c r="A295" s="1044"/>
      <c r="B295" s="1045"/>
      <c r="C295" s="1041"/>
      <c r="D295" s="1045"/>
      <c r="E295" s="1041"/>
      <c r="F295" s="1041"/>
      <c r="G295" s="28"/>
      <c r="H295" s="28"/>
      <c r="I295" s="28"/>
      <c r="J295" s="28"/>
      <c r="K295" s="28"/>
      <c r="L295" s="28"/>
      <c r="M295" s="28"/>
      <c r="N295" s="28"/>
      <c r="O295" s="28"/>
      <c r="P295" s="28"/>
      <c r="Q295" s="28"/>
      <c r="R295" s="28"/>
      <c r="S295" s="28"/>
      <c r="T295" s="28"/>
      <c r="U295" s="28"/>
      <c r="V295" s="28"/>
      <c r="W295" s="28"/>
      <c r="X295" s="28"/>
      <c r="Y295" s="28"/>
      <c r="Z295" s="28"/>
    </row>
    <row r="296">
      <c r="A296" s="1044"/>
      <c r="B296" s="1045"/>
      <c r="C296" s="1041"/>
      <c r="D296" s="1045"/>
      <c r="E296" s="1041"/>
      <c r="F296" s="1041"/>
      <c r="G296" s="28"/>
      <c r="H296" s="28"/>
      <c r="I296" s="28"/>
      <c r="J296" s="28"/>
      <c r="K296" s="28"/>
      <c r="L296" s="28"/>
      <c r="M296" s="28"/>
      <c r="N296" s="28"/>
      <c r="O296" s="28"/>
      <c r="P296" s="28"/>
      <c r="Q296" s="28"/>
      <c r="R296" s="28"/>
      <c r="S296" s="28"/>
      <c r="T296" s="28"/>
      <c r="U296" s="28"/>
      <c r="V296" s="28"/>
      <c r="W296" s="28"/>
      <c r="X296" s="28"/>
      <c r="Y296" s="28"/>
      <c r="Z296" s="28"/>
    </row>
    <row r="297">
      <c r="A297" s="1044"/>
      <c r="B297" s="1045"/>
      <c r="C297" s="1041"/>
      <c r="D297" s="1045"/>
      <c r="E297" s="1041"/>
      <c r="F297" s="1041"/>
      <c r="G297" s="28"/>
      <c r="H297" s="28"/>
      <c r="I297" s="28"/>
      <c r="J297" s="28"/>
      <c r="K297" s="28"/>
      <c r="L297" s="28"/>
      <c r="M297" s="28"/>
      <c r="N297" s="28"/>
      <c r="O297" s="28"/>
      <c r="P297" s="28"/>
      <c r="Q297" s="28"/>
      <c r="R297" s="28"/>
      <c r="S297" s="28"/>
      <c r="T297" s="28"/>
      <c r="U297" s="28"/>
      <c r="V297" s="28"/>
      <c r="W297" s="28"/>
      <c r="X297" s="28"/>
      <c r="Y297" s="28"/>
      <c r="Z297" s="28"/>
    </row>
    <row r="298">
      <c r="A298" s="1044"/>
      <c r="B298" s="1045"/>
      <c r="C298" s="1041"/>
      <c r="D298" s="1045"/>
      <c r="E298" s="1041"/>
      <c r="F298" s="1041"/>
      <c r="G298" s="28"/>
      <c r="H298" s="28"/>
      <c r="I298" s="28"/>
      <c r="J298" s="28"/>
      <c r="K298" s="28"/>
      <c r="L298" s="28"/>
      <c r="M298" s="28"/>
      <c r="N298" s="28"/>
      <c r="O298" s="28"/>
      <c r="P298" s="28"/>
      <c r="Q298" s="28"/>
      <c r="R298" s="28"/>
      <c r="S298" s="28"/>
      <c r="T298" s="28"/>
      <c r="U298" s="28"/>
      <c r="V298" s="28"/>
      <c r="W298" s="28"/>
      <c r="X298" s="28"/>
      <c r="Y298" s="28"/>
      <c r="Z298" s="28"/>
    </row>
    <row r="299">
      <c r="A299" s="1044"/>
      <c r="B299" s="1045"/>
      <c r="C299" s="1041"/>
      <c r="D299" s="1045"/>
      <c r="E299" s="1041"/>
      <c r="F299" s="1041"/>
      <c r="G299" s="28"/>
      <c r="H299" s="28"/>
      <c r="I299" s="28"/>
      <c r="J299" s="28"/>
      <c r="K299" s="28"/>
      <c r="L299" s="28"/>
      <c r="M299" s="28"/>
      <c r="N299" s="28"/>
      <c r="O299" s="28"/>
      <c r="P299" s="28"/>
      <c r="Q299" s="28"/>
      <c r="R299" s="28"/>
      <c r="S299" s="28"/>
      <c r="T299" s="28"/>
      <c r="U299" s="28"/>
      <c r="V299" s="28"/>
      <c r="W299" s="28"/>
      <c r="X299" s="28"/>
      <c r="Y299" s="28"/>
      <c r="Z299" s="28"/>
    </row>
    <row r="300">
      <c r="A300" s="1044"/>
      <c r="B300" s="1045"/>
      <c r="C300" s="1041"/>
      <c r="D300" s="1045"/>
      <c r="E300" s="1041"/>
      <c r="F300" s="1041"/>
      <c r="G300" s="28"/>
      <c r="H300" s="28"/>
      <c r="I300" s="28"/>
      <c r="J300" s="28"/>
      <c r="K300" s="28"/>
      <c r="L300" s="28"/>
      <c r="M300" s="28"/>
      <c r="N300" s="28"/>
      <c r="O300" s="28"/>
      <c r="P300" s="28"/>
      <c r="Q300" s="28"/>
      <c r="R300" s="28"/>
      <c r="S300" s="28"/>
      <c r="T300" s="28"/>
      <c r="U300" s="28"/>
      <c r="V300" s="28"/>
      <c r="W300" s="28"/>
      <c r="X300" s="28"/>
      <c r="Y300" s="28"/>
      <c r="Z300" s="28"/>
    </row>
    <row r="301">
      <c r="A301" s="1044"/>
      <c r="B301" s="1045"/>
      <c r="C301" s="1041"/>
      <c r="D301" s="1045"/>
      <c r="E301" s="1041"/>
      <c r="F301" s="1041"/>
      <c r="G301" s="28"/>
      <c r="H301" s="28"/>
      <c r="I301" s="28"/>
      <c r="J301" s="28"/>
      <c r="K301" s="28"/>
      <c r="L301" s="28"/>
      <c r="M301" s="28"/>
      <c r="N301" s="28"/>
      <c r="O301" s="28"/>
      <c r="P301" s="28"/>
      <c r="Q301" s="28"/>
      <c r="R301" s="28"/>
      <c r="S301" s="28"/>
      <c r="T301" s="28"/>
      <c r="U301" s="28"/>
      <c r="V301" s="28"/>
      <c r="W301" s="28"/>
      <c r="X301" s="28"/>
      <c r="Y301" s="28"/>
      <c r="Z301" s="28"/>
    </row>
    <row r="302">
      <c r="A302" s="1044"/>
      <c r="B302" s="1045"/>
      <c r="C302" s="1041"/>
      <c r="D302" s="1045"/>
      <c r="E302" s="1041"/>
      <c r="F302" s="1041"/>
      <c r="G302" s="28"/>
      <c r="H302" s="28"/>
      <c r="I302" s="28"/>
      <c r="J302" s="28"/>
      <c r="K302" s="28"/>
      <c r="L302" s="28"/>
      <c r="M302" s="28"/>
      <c r="N302" s="28"/>
      <c r="O302" s="28"/>
      <c r="P302" s="28"/>
      <c r="Q302" s="28"/>
      <c r="R302" s="28"/>
      <c r="S302" s="28"/>
      <c r="T302" s="28"/>
      <c r="U302" s="28"/>
      <c r="V302" s="28"/>
      <c r="W302" s="28"/>
      <c r="X302" s="28"/>
      <c r="Y302" s="28"/>
      <c r="Z302" s="28"/>
    </row>
    <row r="303">
      <c r="A303" s="1044"/>
      <c r="B303" s="1045"/>
      <c r="C303" s="1041"/>
      <c r="D303" s="1045"/>
      <c r="E303" s="1041"/>
      <c r="F303" s="1041"/>
      <c r="G303" s="28"/>
      <c r="H303" s="28"/>
      <c r="I303" s="28"/>
      <c r="J303" s="28"/>
      <c r="K303" s="28"/>
      <c r="L303" s="28"/>
      <c r="M303" s="28"/>
      <c r="N303" s="28"/>
      <c r="O303" s="28"/>
      <c r="P303" s="28"/>
      <c r="Q303" s="28"/>
      <c r="R303" s="28"/>
      <c r="S303" s="28"/>
      <c r="T303" s="28"/>
      <c r="U303" s="28"/>
      <c r="V303" s="28"/>
      <c r="W303" s="28"/>
      <c r="X303" s="28"/>
      <c r="Y303" s="28"/>
      <c r="Z303" s="28"/>
    </row>
    <row r="304">
      <c r="A304" s="1044"/>
      <c r="B304" s="1045"/>
      <c r="C304" s="1041"/>
      <c r="D304" s="1045"/>
      <c r="E304" s="1041"/>
      <c r="F304" s="1041"/>
      <c r="G304" s="28"/>
      <c r="H304" s="28"/>
      <c r="I304" s="28"/>
      <c r="J304" s="28"/>
      <c r="K304" s="28"/>
      <c r="L304" s="28"/>
      <c r="M304" s="28"/>
      <c r="N304" s="28"/>
      <c r="O304" s="28"/>
      <c r="P304" s="28"/>
      <c r="Q304" s="28"/>
      <c r="R304" s="28"/>
      <c r="S304" s="28"/>
      <c r="T304" s="28"/>
      <c r="U304" s="28"/>
      <c r="V304" s="28"/>
      <c r="W304" s="28"/>
      <c r="X304" s="28"/>
      <c r="Y304" s="28"/>
      <c r="Z304" s="28"/>
    </row>
    <row r="305">
      <c r="A305" s="1044"/>
      <c r="B305" s="1045"/>
      <c r="C305" s="1041"/>
      <c r="D305" s="1045"/>
      <c r="E305" s="1041"/>
      <c r="F305" s="1041"/>
      <c r="G305" s="28"/>
      <c r="H305" s="28"/>
      <c r="I305" s="28"/>
      <c r="J305" s="28"/>
      <c r="K305" s="28"/>
      <c r="L305" s="28"/>
      <c r="M305" s="28"/>
      <c r="N305" s="28"/>
      <c r="O305" s="28"/>
      <c r="P305" s="28"/>
      <c r="Q305" s="28"/>
      <c r="R305" s="28"/>
      <c r="S305" s="28"/>
      <c r="T305" s="28"/>
      <c r="U305" s="28"/>
      <c r="V305" s="28"/>
      <c r="W305" s="28"/>
      <c r="X305" s="28"/>
      <c r="Y305" s="28"/>
      <c r="Z305" s="28"/>
    </row>
    <row r="306">
      <c r="A306" s="1044"/>
      <c r="B306" s="1045"/>
      <c r="C306" s="1041"/>
      <c r="D306" s="1045"/>
      <c r="E306" s="1041"/>
      <c r="F306" s="1041"/>
      <c r="G306" s="28"/>
      <c r="H306" s="28"/>
      <c r="I306" s="28"/>
      <c r="J306" s="28"/>
      <c r="K306" s="28"/>
      <c r="L306" s="28"/>
      <c r="M306" s="28"/>
      <c r="N306" s="28"/>
      <c r="O306" s="28"/>
      <c r="P306" s="28"/>
      <c r="Q306" s="28"/>
      <c r="R306" s="28"/>
      <c r="S306" s="28"/>
      <c r="T306" s="28"/>
      <c r="U306" s="28"/>
      <c r="V306" s="28"/>
      <c r="W306" s="28"/>
      <c r="X306" s="28"/>
      <c r="Y306" s="28"/>
      <c r="Z306" s="28"/>
    </row>
    <row r="307">
      <c r="A307" s="1044"/>
      <c r="B307" s="1045"/>
      <c r="C307" s="1041"/>
      <c r="D307" s="1045"/>
      <c r="E307" s="1041"/>
      <c r="F307" s="1041"/>
      <c r="G307" s="28"/>
      <c r="H307" s="28"/>
      <c r="I307" s="28"/>
      <c r="J307" s="28"/>
      <c r="K307" s="28"/>
      <c r="L307" s="28"/>
      <c r="M307" s="28"/>
      <c r="N307" s="28"/>
      <c r="O307" s="28"/>
      <c r="P307" s="28"/>
      <c r="Q307" s="28"/>
      <c r="R307" s="28"/>
      <c r="S307" s="28"/>
      <c r="T307" s="28"/>
      <c r="U307" s="28"/>
      <c r="V307" s="28"/>
      <c r="W307" s="28"/>
      <c r="X307" s="28"/>
      <c r="Y307" s="28"/>
      <c r="Z307" s="28"/>
    </row>
    <row r="308">
      <c r="A308" s="1044"/>
      <c r="B308" s="1045"/>
      <c r="C308" s="1041"/>
      <c r="D308" s="1045"/>
      <c r="E308" s="1041"/>
      <c r="F308" s="1041"/>
      <c r="G308" s="28"/>
      <c r="H308" s="28"/>
      <c r="I308" s="28"/>
      <c r="J308" s="28"/>
      <c r="K308" s="28"/>
      <c r="L308" s="28"/>
      <c r="M308" s="28"/>
      <c r="N308" s="28"/>
      <c r="O308" s="28"/>
      <c r="P308" s="28"/>
      <c r="Q308" s="28"/>
      <c r="R308" s="28"/>
      <c r="S308" s="28"/>
      <c r="T308" s="28"/>
      <c r="U308" s="28"/>
      <c r="V308" s="28"/>
      <c r="W308" s="28"/>
      <c r="X308" s="28"/>
      <c r="Y308" s="28"/>
      <c r="Z308" s="28"/>
    </row>
    <row r="309">
      <c r="A309" s="1044"/>
      <c r="B309" s="1045"/>
      <c r="C309" s="1041"/>
      <c r="D309" s="1045"/>
      <c r="E309" s="1041"/>
      <c r="F309" s="1041"/>
      <c r="G309" s="28"/>
      <c r="H309" s="28"/>
      <c r="I309" s="28"/>
      <c r="J309" s="28"/>
      <c r="K309" s="28"/>
      <c r="L309" s="28"/>
      <c r="M309" s="28"/>
      <c r="N309" s="28"/>
      <c r="O309" s="28"/>
      <c r="P309" s="28"/>
      <c r="Q309" s="28"/>
      <c r="R309" s="28"/>
      <c r="S309" s="28"/>
      <c r="T309" s="28"/>
      <c r="U309" s="28"/>
      <c r="V309" s="28"/>
      <c r="W309" s="28"/>
      <c r="X309" s="28"/>
      <c r="Y309" s="28"/>
      <c r="Z309" s="28"/>
    </row>
    <row r="310">
      <c r="A310" s="1044"/>
      <c r="B310" s="1045"/>
      <c r="C310" s="1041"/>
      <c r="D310" s="1045"/>
      <c r="E310" s="1041"/>
      <c r="F310" s="1041"/>
      <c r="G310" s="28"/>
      <c r="H310" s="28"/>
      <c r="I310" s="28"/>
      <c r="J310" s="28"/>
      <c r="K310" s="28"/>
      <c r="L310" s="28"/>
      <c r="M310" s="28"/>
      <c r="N310" s="28"/>
      <c r="O310" s="28"/>
      <c r="P310" s="28"/>
      <c r="Q310" s="28"/>
      <c r="R310" s="28"/>
      <c r="S310" s="28"/>
      <c r="T310" s="28"/>
      <c r="U310" s="28"/>
      <c r="V310" s="28"/>
      <c r="W310" s="28"/>
      <c r="X310" s="28"/>
      <c r="Y310" s="28"/>
      <c r="Z310" s="28"/>
    </row>
    <row r="311">
      <c r="A311" s="1044"/>
      <c r="B311" s="1045"/>
      <c r="C311" s="1041"/>
      <c r="D311" s="1045"/>
      <c r="E311" s="1041"/>
      <c r="F311" s="1041"/>
      <c r="G311" s="28"/>
      <c r="H311" s="28"/>
      <c r="I311" s="28"/>
      <c r="J311" s="28"/>
      <c r="K311" s="28"/>
      <c r="L311" s="28"/>
      <c r="M311" s="28"/>
      <c r="N311" s="28"/>
      <c r="O311" s="28"/>
      <c r="P311" s="28"/>
      <c r="Q311" s="28"/>
      <c r="R311" s="28"/>
      <c r="S311" s="28"/>
      <c r="T311" s="28"/>
      <c r="U311" s="28"/>
      <c r="V311" s="28"/>
      <c r="W311" s="28"/>
      <c r="X311" s="28"/>
      <c r="Y311" s="28"/>
      <c r="Z311" s="28"/>
    </row>
    <row r="312">
      <c r="A312" s="1044"/>
      <c r="B312" s="1045"/>
      <c r="C312" s="1041"/>
      <c r="D312" s="1045"/>
      <c r="E312" s="1041"/>
      <c r="F312" s="1041"/>
      <c r="G312" s="28"/>
      <c r="H312" s="28"/>
      <c r="I312" s="28"/>
      <c r="J312" s="28"/>
      <c r="K312" s="28"/>
      <c r="L312" s="28"/>
      <c r="M312" s="28"/>
      <c r="N312" s="28"/>
      <c r="O312" s="28"/>
      <c r="P312" s="28"/>
      <c r="Q312" s="28"/>
      <c r="R312" s="28"/>
      <c r="S312" s="28"/>
      <c r="T312" s="28"/>
      <c r="U312" s="28"/>
      <c r="V312" s="28"/>
      <c r="W312" s="28"/>
      <c r="X312" s="28"/>
      <c r="Y312" s="28"/>
      <c r="Z312" s="28"/>
    </row>
    <row r="313">
      <c r="A313" s="1044"/>
      <c r="B313" s="1045"/>
      <c r="C313" s="1041"/>
      <c r="D313" s="1045"/>
      <c r="E313" s="1041"/>
      <c r="F313" s="1041"/>
      <c r="G313" s="28"/>
      <c r="H313" s="28"/>
      <c r="I313" s="28"/>
      <c r="J313" s="28"/>
      <c r="K313" s="28"/>
      <c r="L313" s="28"/>
      <c r="M313" s="28"/>
      <c r="N313" s="28"/>
      <c r="O313" s="28"/>
      <c r="P313" s="28"/>
      <c r="Q313" s="28"/>
      <c r="R313" s="28"/>
      <c r="S313" s="28"/>
      <c r="T313" s="28"/>
      <c r="U313" s="28"/>
      <c r="V313" s="28"/>
      <c r="W313" s="28"/>
      <c r="X313" s="28"/>
      <c r="Y313" s="28"/>
      <c r="Z313" s="28"/>
    </row>
    <row r="314">
      <c r="A314" s="1044"/>
      <c r="B314" s="1045"/>
      <c r="C314" s="1041"/>
      <c r="D314" s="1045"/>
      <c r="E314" s="1041"/>
      <c r="F314" s="1041"/>
      <c r="G314" s="28"/>
      <c r="H314" s="28"/>
      <c r="I314" s="28"/>
      <c r="J314" s="28"/>
      <c r="K314" s="28"/>
      <c r="L314" s="28"/>
      <c r="M314" s="28"/>
      <c r="N314" s="28"/>
      <c r="O314" s="28"/>
      <c r="P314" s="28"/>
      <c r="Q314" s="28"/>
      <c r="R314" s="28"/>
      <c r="S314" s="28"/>
      <c r="T314" s="28"/>
      <c r="U314" s="28"/>
      <c r="V314" s="28"/>
      <c r="W314" s="28"/>
      <c r="X314" s="28"/>
      <c r="Y314" s="28"/>
      <c r="Z314" s="28"/>
    </row>
    <row r="315">
      <c r="A315" s="1044"/>
      <c r="B315" s="1045"/>
      <c r="C315" s="1041"/>
      <c r="D315" s="1045"/>
      <c r="E315" s="1041"/>
      <c r="F315" s="1041"/>
      <c r="G315" s="28"/>
      <c r="H315" s="28"/>
      <c r="I315" s="28"/>
      <c r="J315" s="28"/>
      <c r="K315" s="28"/>
      <c r="L315" s="28"/>
      <c r="M315" s="28"/>
      <c r="N315" s="28"/>
      <c r="O315" s="28"/>
      <c r="P315" s="28"/>
      <c r="Q315" s="28"/>
      <c r="R315" s="28"/>
      <c r="S315" s="28"/>
      <c r="T315" s="28"/>
      <c r="U315" s="28"/>
      <c r="V315" s="28"/>
      <c r="W315" s="28"/>
      <c r="X315" s="28"/>
      <c r="Y315" s="28"/>
      <c r="Z315" s="28"/>
    </row>
    <row r="316">
      <c r="A316" s="1044"/>
      <c r="B316" s="1045"/>
      <c r="C316" s="1041"/>
      <c r="D316" s="1045"/>
      <c r="E316" s="1041"/>
      <c r="F316" s="1041"/>
      <c r="G316" s="28"/>
      <c r="H316" s="28"/>
      <c r="I316" s="28"/>
      <c r="J316" s="28"/>
      <c r="K316" s="28"/>
      <c r="L316" s="28"/>
      <c r="M316" s="28"/>
      <c r="N316" s="28"/>
      <c r="O316" s="28"/>
      <c r="P316" s="28"/>
      <c r="Q316" s="28"/>
      <c r="R316" s="28"/>
      <c r="S316" s="28"/>
      <c r="T316" s="28"/>
      <c r="U316" s="28"/>
      <c r="V316" s="28"/>
      <c r="W316" s="28"/>
      <c r="X316" s="28"/>
      <c r="Y316" s="28"/>
      <c r="Z316" s="28"/>
    </row>
    <row r="317">
      <c r="A317" s="1044"/>
      <c r="B317" s="1045"/>
      <c r="C317" s="1041"/>
      <c r="D317" s="1045"/>
      <c r="E317" s="1041"/>
      <c r="F317" s="1041"/>
      <c r="G317" s="28"/>
      <c r="H317" s="28"/>
      <c r="I317" s="28"/>
      <c r="J317" s="28"/>
      <c r="K317" s="28"/>
      <c r="L317" s="28"/>
      <c r="M317" s="28"/>
      <c r="N317" s="28"/>
      <c r="O317" s="28"/>
      <c r="P317" s="28"/>
      <c r="Q317" s="28"/>
      <c r="R317" s="28"/>
      <c r="S317" s="28"/>
      <c r="T317" s="28"/>
      <c r="U317" s="28"/>
      <c r="V317" s="28"/>
      <c r="W317" s="28"/>
      <c r="X317" s="28"/>
      <c r="Y317" s="28"/>
      <c r="Z317" s="28"/>
    </row>
    <row r="318">
      <c r="A318" s="1044"/>
      <c r="B318" s="1045"/>
      <c r="C318" s="1041"/>
      <c r="D318" s="1045"/>
      <c r="E318" s="1041"/>
      <c r="F318" s="1041"/>
      <c r="G318" s="28"/>
      <c r="H318" s="28"/>
      <c r="I318" s="28"/>
      <c r="J318" s="28"/>
      <c r="K318" s="28"/>
      <c r="L318" s="28"/>
      <c r="M318" s="28"/>
      <c r="N318" s="28"/>
      <c r="O318" s="28"/>
      <c r="P318" s="28"/>
      <c r="Q318" s="28"/>
      <c r="R318" s="28"/>
      <c r="S318" s="28"/>
      <c r="T318" s="28"/>
      <c r="U318" s="28"/>
      <c r="V318" s="28"/>
      <c r="W318" s="28"/>
      <c r="X318" s="28"/>
      <c r="Y318" s="28"/>
      <c r="Z318" s="28"/>
    </row>
    <row r="319">
      <c r="A319" s="1044"/>
      <c r="B319" s="1045"/>
      <c r="C319" s="1041"/>
      <c r="D319" s="1045"/>
      <c r="E319" s="1041"/>
      <c r="F319" s="1041"/>
      <c r="G319" s="28"/>
      <c r="H319" s="28"/>
      <c r="I319" s="28"/>
      <c r="J319" s="28"/>
      <c r="K319" s="28"/>
      <c r="L319" s="28"/>
      <c r="M319" s="28"/>
      <c r="N319" s="28"/>
      <c r="O319" s="28"/>
      <c r="P319" s="28"/>
      <c r="Q319" s="28"/>
      <c r="R319" s="28"/>
      <c r="S319" s="28"/>
      <c r="T319" s="28"/>
      <c r="U319" s="28"/>
      <c r="V319" s="28"/>
      <c r="W319" s="28"/>
      <c r="X319" s="28"/>
      <c r="Y319" s="28"/>
      <c r="Z319" s="28"/>
    </row>
    <row r="320">
      <c r="A320" s="1044"/>
      <c r="B320" s="1045"/>
      <c r="C320" s="1041"/>
      <c r="D320" s="1045"/>
      <c r="E320" s="1041"/>
      <c r="F320" s="1041"/>
      <c r="G320" s="28"/>
      <c r="H320" s="28"/>
      <c r="I320" s="28"/>
      <c r="J320" s="28"/>
      <c r="K320" s="28"/>
      <c r="L320" s="28"/>
      <c r="M320" s="28"/>
      <c r="N320" s="28"/>
      <c r="O320" s="28"/>
      <c r="P320" s="28"/>
      <c r="Q320" s="28"/>
      <c r="R320" s="28"/>
      <c r="S320" s="28"/>
      <c r="T320" s="28"/>
      <c r="U320" s="28"/>
      <c r="V320" s="28"/>
      <c r="W320" s="28"/>
      <c r="X320" s="28"/>
      <c r="Y320" s="28"/>
      <c r="Z320" s="28"/>
    </row>
    <row r="321">
      <c r="A321" s="1044"/>
      <c r="B321" s="1045"/>
      <c r="C321" s="1041"/>
      <c r="D321" s="1045"/>
      <c r="E321" s="1041"/>
      <c r="F321" s="1041"/>
      <c r="G321" s="28"/>
      <c r="H321" s="28"/>
      <c r="I321" s="28"/>
      <c r="J321" s="28"/>
      <c r="K321" s="28"/>
      <c r="L321" s="28"/>
      <c r="M321" s="28"/>
      <c r="N321" s="28"/>
      <c r="O321" s="28"/>
      <c r="P321" s="28"/>
      <c r="Q321" s="28"/>
      <c r="R321" s="28"/>
      <c r="S321" s="28"/>
      <c r="T321" s="28"/>
      <c r="U321" s="28"/>
      <c r="V321" s="28"/>
      <c r="W321" s="28"/>
      <c r="X321" s="28"/>
      <c r="Y321" s="28"/>
      <c r="Z321" s="28"/>
    </row>
    <row r="322">
      <c r="A322" s="1044"/>
      <c r="B322" s="1045"/>
      <c r="C322" s="1041"/>
      <c r="D322" s="1045"/>
      <c r="E322" s="1041"/>
      <c r="F322" s="1041"/>
      <c r="G322" s="28"/>
      <c r="H322" s="28"/>
      <c r="I322" s="28"/>
      <c r="J322" s="28"/>
      <c r="K322" s="28"/>
      <c r="L322" s="28"/>
      <c r="M322" s="28"/>
      <c r="N322" s="28"/>
      <c r="O322" s="28"/>
      <c r="P322" s="28"/>
      <c r="Q322" s="28"/>
      <c r="R322" s="28"/>
      <c r="S322" s="28"/>
      <c r="T322" s="28"/>
      <c r="U322" s="28"/>
      <c r="V322" s="28"/>
      <c r="W322" s="28"/>
      <c r="X322" s="28"/>
      <c r="Y322" s="28"/>
      <c r="Z322" s="28"/>
    </row>
    <row r="323">
      <c r="A323" s="1044"/>
      <c r="B323" s="1045"/>
      <c r="C323" s="1041"/>
      <c r="D323" s="1045"/>
      <c r="E323" s="1041"/>
      <c r="F323" s="1041"/>
      <c r="G323" s="28"/>
      <c r="H323" s="28"/>
      <c r="I323" s="28"/>
      <c r="J323" s="28"/>
      <c r="K323" s="28"/>
      <c r="L323" s="28"/>
      <c r="M323" s="28"/>
      <c r="N323" s="28"/>
      <c r="O323" s="28"/>
      <c r="P323" s="28"/>
      <c r="Q323" s="28"/>
      <c r="R323" s="28"/>
      <c r="S323" s="28"/>
      <c r="T323" s="28"/>
      <c r="U323" s="28"/>
      <c r="V323" s="28"/>
      <c r="W323" s="28"/>
      <c r="X323" s="28"/>
      <c r="Y323" s="28"/>
      <c r="Z323" s="28"/>
    </row>
    <row r="324">
      <c r="A324" s="1044"/>
      <c r="B324" s="1045"/>
      <c r="C324" s="1041"/>
      <c r="D324" s="1045"/>
      <c r="E324" s="1041"/>
      <c r="F324" s="1041"/>
      <c r="G324" s="28"/>
      <c r="H324" s="28"/>
      <c r="I324" s="28"/>
      <c r="J324" s="28"/>
      <c r="K324" s="28"/>
      <c r="L324" s="28"/>
      <c r="M324" s="28"/>
      <c r="N324" s="28"/>
      <c r="O324" s="28"/>
      <c r="P324" s="28"/>
      <c r="Q324" s="28"/>
      <c r="R324" s="28"/>
      <c r="S324" s="28"/>
      <c r="T324" s="28"/>
      <c r="U324" s="28"/>
      <c r="V324" s="28"/>
      <c r="W324" s="28"/>
      <c r="X324" s="28"/>
      <c r="Y324" s="28"/>
      <c r="Z324" s="28"/>
    </row>
    <row r="325">
      <c r="A325" s="1044"/>
      <c r="B325" s="1045"/>
      <c r="C325" s="1041"/>
      <c r="D325" s="1045"/>
      <c r="E325" s="1041"/>
      <c r="F325" s="1041"/>
      <c r="G325" s="28"/>
      <c r="H325" s="28"/>
      <c r="I325" s="28"/>
      <c r="J325" s="28"/>
      <c r="K325" s="28"/>
      <c r="L325" s="28"/>
      <c r="M325" s="28"/>
      <c r="N325" s="28"/>
      <c r="O325" s="28"/>
      <c r="P325" s="28"/>
      <c r="Q325" s="28"/>
      <c r="R325" s="28"/>
      <c r="S325" s="28"/>
      <c r="T325" s="28"/>
      <c r="U325" s="28"/>
      <c r="V325" s="28"/>
      <c r="W325" s="28"/>
      <c r="X325" s="28"/>
      <c r="Y325" s="28"/>
      <c r="Z325" s="28"/>
    </row>
    <row r="326">
      <c r="A326" s="1044"/>
      <c r="B326" s="1045"/>
      <c r="C326" s="1041"/>
      <c r="D326" s="1045"/>
      <c r="E326" s="1041"/>
      <c r="F326" s="1041"/>
      <c r="G326" s="28"/>
      <c r="H326" s="28"/>
      <c r="I326" s="28"/>
      <c r="J326" s="28"/>
      <c r="K326" s="28"/>
      <c r="L326" s="28"/>
      <c r="M326" s="28"/>
      <c r="N326" s="28"/>
      <c r="O326" s="28"/>
      <c r="P326" s="28"/>
      <c r="Q326" s="28"/>
      <c r="R326" s="28"/>
      <c r="S326" s="28"/>
      <c r="T326" s="28"/>
      <c r="U326" s="28"/>
      <c r="V326" s="28"/>
      <c r="W326" s="28"/>
      <c r="X326" s="28"/>
      <c r="Y326" s="28"/>
      <c r="Z326" s="28"/>
    </row>
    <row r="327">
      <c r="A327" s="1044"/>
      <c r="B327" s="1045"/>
      <c r="C327" s="1041"/>
      <c r="D327" s="1045"/>
      <c r="E327" s="1041"/>
      <c r="F327" s="1041"/>
      <c r="G327" s="28"/>
      <c r="H327" s="28"/>
      <c r="I327" s="28"/>
      <c r="J327" s="28"/>
      <c r="K327" s="28"/>
      <c r="L327" s="28"/>
      <c r="M327" s="28"/>
      <c r="N327" s="28"/>
      <c r="O327" s="28"/>
      <c r="P327" s="28"/>
      <c r="Q327" s="28"/>
      <c r="R327" s="28"/>
      <c r="S327" s="28"/>
      <c r="T327" s="28"/>
      <c r="U327" s="28"/>
      <c r="V327" s="28"/>
      <c r="W327" s="28"/>
      <c r="X327" s="28"/>
      <c r="Y327" s="28"/>
      <c r="Z327" s="28"/>
    </row>
    <row r="328">
      <c r="A328" s="1044"/>
      <c r="B328" s="1045"/>
      <c r="C328" s="1041"/>
      <c r="D328" s="1045"/>
      <c r="E328" s="1041"/>
      <c r="F328" s="1041"/>
      <c r="G328" s="28"/>
      <c r="H328" s="28"/>
      <c r="I328" s="28"/>
      <c r="J328" s="28"/>
      <c r="K328" s="28"/>
      <c r="L328" s="28"/>
      <c r="M328" s="28"/>
      <c r="N328" s="28"/>
      <c r="O328" s="28"/>
      <c r="P328" s="28"/>
      <c r="Q328" s="28"/>
      <c r="R328" s="28"/>
      <c r="S328" s="28"/>
      <c r="T328" s="28"/>
      <c r="U328" s="28"/>
      <c r="V328" s="28"/>
      <c r="W328" s="28"/>
      <c r="X328" s="28"/>
      <c r="Y328" s="28"/>
      <c r="Z328" s="28"/>
    </row>
    <row r="329">
      <c r="A329" s="1044"/>
      <c r="B329" s="1045"/>
      <c r="C329" s="1041"/>
      <c r="D329" s="1045"/>
      <c r="E329" s="1041"/>
      <c r="F329" s="1041"/>
      <c r="G329" s="28"/>
      <c r="H329" s="28"/>
      <c r="I329" s="28"/>
      <c r="J329" s="28"/>
      <c r="K329" s="28"/>
      <c r="L329" s="28"/>
      <c r="M329" s="28"/>
      <c r="N329" s="28"/>
      <c r="O329" s="28"/>
      <c r="P329" s="28"/>
      <c r="Q329" s="28"/>
      <c r="R329" s="28"/>
      <c r="S329" s="28"/>
      <c r="T329" s="28"/>
      <c r="U329" s="28"/>
      <c r="V329" s="28"/>
      <c r="W329" s="28"/>
      <c r="X329" s="28"/>
      <c r="Y329" s="28"/>
      <c r="Z329" s="28"/>
    </row>
    <row r="330">
      <c r="A330" s="1044"/>
      <c r="B330" s="1045"/>
      <c r="C330" s="1041"/>
      <c r="D330" s="1045"/>
      <c r="E330" s="1041"/>
      <c r="F330" s="1041"/>
      <c r="G330" s="28"/>
      <c r="H330" s="28"/>
      <c r="I330" s="28"/>
      <c r="J330" s="28"/>
      <c r="K330" s="28"/>
      <c r="L330" s="28"/>
      <c r="M330" s="28"/>
      <c r="N330" s="28"/>
      <c r="O330" s="28"/>
      <c r="P330" s="28"/>
      <c r="Q330" s="28"/>
      <c r="R330" s="28"/>
      <c r="S330" s="28"/>
      <c r="T330" s="28"/>
      <c r="U330" s="28"/>
      <c r="V330" s="28"/>
      <c r="W330" s="28"/>
      <c r="X330" s="28"/>
      <c r="Y330" s="28"/>
      <c r="Z330" s="28"/>
    </row>
    <row r="331">
      <c r="A331" s="1044"/>
      <c r="B331" s="1045"/>
      <c r="C331" s="1041"/>
      <c r="D331" s="1045"/>
      <c r="E331" s="1041"/>
      <c r="F331" s="1041"/>
      <c r="G331" s="28"/>
      <c r="H331" s="28"/>
      <c r="I331" s="28"/>
      <c r="J331" s="28"/>
      <c r="K331" s="28"/>
      <c r="L331" s="28"/>
      <c r="M331" s="28"/>
      <c r="N331" s="28"/>
      <c r="O331" s="28"/>
      <c r="P331" s="28"/>
      <c r="Q331" s="28"/>
      <c r="R331" s="28"/>
      <c r="S331" s="28"/>
      <c r="T331" s="28"/>
      <c r="U331" s="28"/>
      <c r="V331" s="28"/>
      <c r="W331" s="28"/>
      <c r="X331" s="28"/>
      <c r="Y331" s="28"/>
      <c r="Z331" s="28"/>
    </row>
    <row r="332">
      <c r="A332" s="1044"/>
      <c r="B332" s="1045"/>
      <c r="C332" s="1041"/>
      <c r="D332" s="1045"/>
      <c r="E332" s="1041"/>
      <c r="F332" s="1041"/>
      <c r="G332" s="28"/>
      <c r="H332" s="28"/>
      <c r="I332" s="28"/>
      <c r="J332" s="28"/>
      <c r="K332" s="28"/>
      <c r="L332" s="28"/>
      <c r="M332" s="28"/>
      <c r="N332" s="28"/>
      <c r="O332" s="28"/>
      <c r="P332" s="28"/>
      <c r="Q332" s="28"/>
      <c r="R332" s="28"/>
      <c r="S332" s="28"/>
      <c r="T332" s="28"/>
      <c r="U332" s="28"/>
      <c r="V332" s="28"/>
      <c r="W332" s="28"/>
      <c r="X332" s="28"/>
      <c r="Y332" s="28"/>
      <c r="Z332" s="28"/>
    </row>
    <row r="333">
      <c r="A333" s="1044"/>
      <c r="B333" s="1045"/>
      <c r="C333" s="1041"/>
      <c r="D333" s="1045"/>
      <c r="E333" s="1041"/>
      <c r="F333" s="1041"/>
      <c r="G333" s="28"/>
      <c r="H333" s="28"/>
      <c r="I333" s="28"/>
      <c r="J333" s="28"/>
      <c r="K333" s="28"/>
      <c r="L333" s="28"/>
      <c r="M333" s="28"/>
      <c r="N333" s="28"/>
      <c r="O333" s="28"/>
      <c r="P333" s="28"/>
      <c r="Q333" s="28"/>
      <c r="R333" s="28"/>
      <c r="S333" s="28"/>
      <c r="T333" s="28"/>
      <c r="U333" s="28"/>
      <c r="V333" s="28"/>
      <c r="W333" s="28"/>
      <c r="X333" s="28"/>
      <c r="Y333" s="28"/>
      <c r="Z333" s="28"/>
    </row>
    <row r="334">
      <c r="A334" s="1044"/>
      <c r="B334" s="1045"/>
      <c r="C334" s="1041"/>
      <c r="D334" s="1045"/>
      <c r="E334" s="1041"/>
      <c r="F334" s="1041"/>
      <c r="G334" s="28"/>
      <c r="H334" s="28"/>
      <c r="I334" s="28"/>
      <c r="J334" s="28"/>
      <c r="K334" s="28"/>
      <c r="L334" s="28"/>
      <c r="M334" s="28"/>
      <c r="N334" s="28"/>
      <c r="O334" s="28"/>
      <c r="P334" s="28"/>
      <c r="Q334" s="28"/>
      <c r="R334" s="28"/>
      <c r="S334" s="28"/>
      <c r="T334" s="28"/>
      <c r="U334" s="28"/>
      <c r="V334" s="28"/>
      <c r="W334" s="28"/>
      <c r="X334" s="28"/>
      <c r="Y334" s="28"/>
      <c r="Z334" s="28"/>
    </row>
    <row r="335">
      <c r="A335" s="1044"/>
      <c r="B335" s="1045"/>
      <c r="C335" s="1041"/>
      <c r="D335" s="1045"/>
      <c r="E335" s="1041"/>
      <c r="F335" s="1041"/>
      <c r="G335" s="28"/>
      <c r="H335" s="28"/>
      <c r="I335" s="28"/>
      <c r="J335" s="28"/>
      <c r="K335" s="28"/>
      <c r="L335" s="28"/>
      <c r="M335" s="28"/>
      <c r="N335" s="28"/>
      <c r="O335" s="28"/>
      <c r="P335" s="28"/>
      <c r="Q335" s="28"/>
      <c r="R335" s="28"/>
      <c r="S335" s="28"/>
      <c r="T335" s="28"/>
      <c r="U335" s="28"/>
      <c r="V335" s="28"/>
      <c r="W335" s="28"/>
      <c r="X335" s="28"/>
      <c r="Y335" s="28"/>
      <c r="Z335" s="28"/>
    </row>
    <row r="336">
      <c r="A336" s="1044"/>
      <c r="B336" s="1045"/>
      <c r="C336" s="1041"/>
      <c r="D336" s="1045"/>
      <c r="E336" s="1041"/>
      <c r="F336" s="1041"/>
      <c r="G336" s="28"/>
      <c r="H336" s="28"/>
      <c r="I336" s="28"/>
      <c r="J336" s="28"/>
      <c r="K336" s="28"/>
      <c r="L336" s="28"/>
      <c r="M336" s="28"/>
      <c r="N336" s="28"/>
      <c r="O336" s="28"/>
      <c r="P336" s="28"/>
      <c r="Q336" s="28"/>
      <c r="R336" s="28"/>
      <c r="S336" s="28"/>
      <c r="T336" s="28"/>
      <c r="U336" s="28"/>
      <c r="V336" s="28"/>
      <c r="W336" s="28"/>
      <c r="X336" s="28"/>
      <c r="Y336" s="28"/>
      <c r="Z336" s="28"/>
    </row>
    <row r="337">
      <c r="A337" s="1044"/>
      <c r="B337" s="1045"/>
      <c r="C337" s="1041"/>
      <c r="D337" s="1045"/>
      <c r="E337" s="1041"/>
      <c r="F337" s="1041"/>
      <c r="G337" s="28"/>
      <c r="H337" s="28"/>
      <c r="I337" s="28"/>
      <c r="J337" s="28"/>
      <c r="K337" s="28"/>
      <c r="L337" s="28"/>
      <c r="M337" s="28"/>
      <c r="N337" s="28"/>
      <c r="O337" s="28"/>
      <c r="P337" s="28"/>
      <c r="Q337" s="28"/>
      <c r="R337" s="28"/>
      <c r="S337" s="28"/>
      <c r="T337" s="28"/>
      <c r="U337" s="28"/>
      <c r="V337" s="28"/>
      <c r="W337" s="28"/>
      <c r="X337" s="28"/>
      <c r="Y337" s="28"/>
      <c r="Z337" s="28"/>
    </row>
    <row r="338">
      <c r="A338" s="1044"/>
      <c r="B338" s="1045"/>
      <c r="C338" s="1041"/>
      <c r="D338" s="1045"/>
      <c r="E338" s="1041"/>
      <c r="F338" s="1041"/>
      <c r="G338" s="28"/>
      <c r="H338" s="28"/>
      <c r="I338" s="28"/>
      <c r="J338" s="28"/>
      <c r="K338" s="28"/>
      <c r="L338" s="28"/>
      <c r="M338" s="28"/>
      <c r="N338" s="28"/>
      <c r="O338" s="28"/>
      <c r="P338" s="28"/>
      <c r="Q338" s="28"/>
      <c r="R338" s="28"/>
      <c r="S338" s="28"/>
      <c r="T338" s="28"/>
      <c r="U338" s="28"/>
      <c r="V338" s="28"/>
      <c r="W338" s="28"/>
      <c r="X338" s="28"/>
      <c r="Y338" s="28"/>
      <c r="Z338" s="28"/>
    </row>
    <row r="339">
      <c r="A339" s="1044"/>
      <c r="B339" s="1045"/>
      <c r="C339" s="1041"/>
      <c r="D339" s="1045"/>
      <c r="E339" s="1041"/>
      <c r="F339" s="1041"/>
      <c r="G339" s="28"/>
      <c r="H339" s="28"/>
      <c r="I339" s="28"/>
      <c r="J339" s="28"/>
      <c r="K339" s="28"/>
      <c r="L339" s="28"/>
      <c r="M339" s="28"/>
      <c r="N339" s="28"/>
      <c r="O339" s="28"/>
      <c r="P339" s="28"/>
      <c r="Q339" s="28"/>
      <c r="R339" s="28"/>
      <c r="S339" s="28"/>
      <c r="T339" s="28"/>
      <c r="U339" s="28"/>
      <c r="V339" s="28"/>
      <c r="W339" s="28"/>
      <c r="X339" s="28"/>
      <c r="Y339" s="28"/>
      <c r="Z339" s="28"/>
    </row>
    <row r="340">
      <c r="A340" s="1044"/>
      <c r="B340" s="1045"/>
      <c r="C340" s="1041"/>
      <c r="D340" s="1045"/>
      <c r="E340" s="1041"/>
      <c r="F340" s="1041"/>
      <c r="G340" s="28"/>
      <c r="H340" s="28"/>
      <c r="I340" s="28"/>
      <c r="J340" s="28"/>
      <c r="K340" s="28"/>
      <c r="L340" s="28"/>
      <c r="M340" s="28"/>
      <c r="N340" s="28"/>
      <c r="O340" s="28"/>
      <c r="P340" s="28"/>
      <c r="Q340" s="28"/>
      <c r="R340" s="28"/>
      <c r="S340" s="28"/>
      <c r="T340" s="28"/>
      <c r="U340" s="28"/>
      <c r="V340" s="28"/>
      <c r="W340" s="28"/>
      <c r="X340" s="28"/>
      <c r="Y340" s="28"/>
      <c r="Z340" s="28"/>
    </row>
    <row r="341">
      <c r="A341" s="1044"/>
      <c r="B341" s="1045"/>
      <c r="C341" s="1041"/>
      <c r="D341" s="1045"/>
      <c r="E341" s="1041"/>
      <c r="F341" s="1041"/>
      <c r="G341" s="28"/>
      <c r="H341" s="28"/>
      <c r="I341" s="28"/>
      <c r="J341" s="28"/>
      <c r="K341" s="28"/>
      <c r="L341" s="28"/>
      <c r="M341" s="28"/>
      <c r="N341" s="28"/>
      <c r="O341" s="28"/>
      <c r="P341" s="28"/>
      <c r="Q341" s="28"/>
      <c r="R341" s="28"/>
      <c r="S341" s="28"/>
      <c r="T341" s="28"/>
      <c r="U341" s="28"/>
      <c r="V341" s="28"/>
      <c r="W341" s="28"/>
      <c r="X341" s="28"/>
      <c r="Y341" s="28"/>
      <c r="Z341" s="28"/>
    </row>
    <row r="342">
      <c r="A342" s="1044"/>
      <c r="B342" s="1045"/>
      <c r="C342" s="1041"/>
      <c r="D342" s="1045"/>
      <c r="E342" s="1041"/>
      <c r="F342" s="1041"/>
      <c r="G342" s="28"/>
      <c r="H342" s="28"/>
      <c r="I342" s="28"/>
      <c r="J342" s="28"/>
      <c r="K342" s="28"/>
      <c r="L342" s="28"/>
      <c r="M342" s="28"/>
      <c r="N342" s="28"/>
      <c r="O342" s="28"/>
      <c r="P342" s="28"/>
      <c r="Q342" s="28"/>
      <c r="R342" s="28"/>
      <c r="S342" s="28"/>
      <c r="T342" s="28"/>
      <c r="U342" s="28"/>
      <c r="V342" s="28"/>
      <c r="W342" s="28"/>
      <c r="X342" s="28"/>
      <c r="Y342" s="28"/>
      <c r="Z342" s="28"/>
    </row>
    <row r="343">
      <c r="A343" s="1044"/>
      <c r="B343" s="1045"/>
      <c r="C343" s="1041"/>
      <c r="D343" s="1045"/>
      <c r="E343" s="1041"/>
      <c r="F343" s="1041"/>
      <c r="G343" s="28"/>
      <c r="H343" s="28"/>
      <c r="I343" s="28"/>
      <c r="J343" s="28"/>
      <c r="K343" s="28"/>
      <c r="L343" s="28"/>
      <c r="M343" s="28"/>
      <c r="N343" s="28"/>
      <c r="O343" s="28"/>
      <c r="P343" s="28"/>
      <c r="Q343" s="28"/>
      <c r="R343" s="28"/>
      <c r="S343" s="28"/>
      <c r="T343" s="28"/>
      <c r="U343" s="28"/>
      <c r="V343" s="28"/>
      <c r="W343" s="28"/>
      <c r="X343" s="28"/>
      <c r="Y343" s="28"/>
      <c r="Z343" s="28"/>
    </row>
    <row r="344">
      <c r="A344" s="1044"/>
      <c r="B344" s="1045"/>
      <c r="C344" s="1041"/>
      <c r="D344" s="1045"/>
      <c r="E344" s="1041"/>
      <c r="F344" s="1041"/>
      <c r="G344" s="28"/>
      <c r="H344" s="28"/>
      <c r="I344" s="28"/>
      <c r="J344" s="28"/>
      <c r="K344" s="28"/>
      <c r="L344" s="28"/>
      <c r="M344" s="28"/>
      <c r="N344" s="28"/>
      <c r="O344" s="28"/>
      <c r="P344" s="28"/>
      <c r="Q344" s="28"/>
      <c r="R344" s="28"/>
      <c r="S344" s="28"/>
      <c r="T344" s="28"/>
      <c r="U344" s="28"/>
      <c r="V344" s="28"/>
      <c r="W344" s="28"/>
      <c r="X344" s="28"/>
      <c r="Y344" s="28"/>
      <c r="Z344" s="28"/>
    </row>
    <row r="345">
      <c r="A345" s="1044"/>
      <c r="B345" s="1045"/>
      <c r="C345" s="1041"/>
      <c r="D345" s="1045"/>
      <c r="E345" s="1041"/>
      <c r="F345" s="1041"/>
      <c r="G345" s="28"/>
      <c r="H345" s="28"/>
      <c r="I345" s="28"/>
      <c r="J345" s="28"/>
      <c r="K345" s="28"/>
      <c r="L345" s="28"/>
      <c r="M345" s="28"/>
      <c r="N345" s="28"/>
      <c r="O345" s="28"/>
      <c r="P345" s="28"/>
      <c r="Q345" s="28"/>
      <c r="R345" s="28"/>
      <c r="S345" s="28"/>
      <c r="T345" s="28"/>
      <c r="U345" s="28"/>
      <c r="V345" s="28"/>
      <c r="W345" s="28"/>
      <c r="X345" s="28"/>
      <c r="Y345" s="28"/>
      <c r="Z345" s="28"/>
    </row>
    <row r="346">
      <c r="A346" s="1044"/>
      <c r="B346" s="1045"/>
      <c r="C346" s="1041"/>
      <c r="D346" s="1045"/>
      <c r="E346" s="1041"/>
      <c r="F346" s="1041"/>
      <c r="G346" s="28"/>
      <c r="H346" s="28"/>
      <c r="I346" s="28"/>
      <c r="J346" s="28"/>
      <c r="K346" s="28"/>
      <c r="L346" s="28"/>
      <c r="M346" s="28"/>
      <c r="N346" s="28"/>
      <c r="O346" s="28"/>
      <c r="P346" s="28"/>
      <c r="Q346" s="28"/>
      <c r="R346" s="28"/>
      <c r="S346" s="28"/>
      <c r="T346" s="28"/>
      <c r="U346" s="28"/>
      <c r="V346" s="28"/>
      <c r="W346" s="28"/>
      <c r="X346" s="28"/>
      <c r="Y346" s="28"/>
      <c r="Z346" s="28"/>
    </row>
    <row r="347">
      <c r="A347" s="1044"/>
      <c r="B347" s="1045"/>
      <c r="C347" s="1041"/>
      <c r="D347" s="1045"/>
      <c r="E347" s="1041"/>
      <c r="F347" s="1041"/>
      <c r="G347" s="28"/>
      <c r="H347" s="28"/>
      <c r="I347" s="28"/>
      <c r="J347" s="28"/>
      <c r="K347" s="28"/>
      <c r="L347" s="28"/>
      <c r="M347" s="28"/>
      <c r="N347" s="28"/>
      <c r="O347" s="28"/>
      <c r="P347" s="28"/>
      <c r="Q347" s="28"/>
      <c r="R347" s="28"/>
      <c r="S347" s="28"/>
      <c r="T347" s="28"/>
      <c r="U347" s="28"/>
      <c r="V347" s="28"/>
      <c r="W347" s="28"/>
      <c r="X347" s="28"/>
      <c r="Y347" s="28"/>
      <c r="Z347" s="28"/>
    </row>
    <row r="348">
      <c r="A348" s="1044"/>
      <c r="B348" s="1045"/>
      <c r="C348" s="1041"/>
      <c r="D348" s="1045"/>
      <c r="E348" s="1041"/>
      <c r="F348" s="1041"/>
      <c r="G348" s="28"/>
      <c r="H348" s="28"/>
      <c r="I348" s="28"/>
      <c r="J348" s="28"/>
      <c r="K348" s="28"/>
      <c r="L348" s="28"/>
      <c r="M348" s="28"/>
      <c r="N348" s="28"/>
      <c r="O348" s="28"/>
      <c r="P348" s="28"/>
      <c r="Q348" s="28"/>
      <c r="R348" s="28"/>
      <c r="S348" s="28"/>
      <c r="T348" s="28"/>
      <c r="U348" s="28"/>
      <c r="V348" s="28"/>
      <c r="W348" s="28"/>
      <c r="X348" s="28"/>
      <c r="Y348" s="28"/>
      <c r="Z348" s="28"/>
    </row>
    <row r="349">
      <c r="A349" s="1044"/>
      <c r="B349" s="1045"/>
      <c r="C349" s="1041"/>
      <c r="D349" s="1045"/>
      <c r="E349" s="1041"/>
      <c r="F349" s="1041"/>
      <c r="G349" s="28"/>
      <c r="H349" s="28"/>
      <c r="I349" s="28"/>
      <c r="J349" s="28"/>
      <c r="K349" s="28"/>
      <c r="L349" s="28"/>
      <c r="M349" s="28"/>
      <c r="N349" s="28"/>
      <c r="O349" s="28"/>
      <c r="P349" s="28"/>
      <c r="Q349" s="28"/>
      <c r="R349" s="28"/>
      <c r="S349" s="28"/>
      <c r="T349" s="28"/>
      <c r="U349" s="28"/>
      <c r="V349" s="28"/>
      <c r="W349" s="28"/>
      <c r="X349" s="28"/>
      <c r="Y349" s="28"/>
      <c r="Z349" s="28"/>
    </row>
    <row r="350">
      <c r="A350" s="1044"/>
      <c r="B350" s="1045"/>
      <c r="C350" s="1041"/>
      <c r="D350" s="1045"/>
      <c r="E350" s="1041"/>
      <c r="F350" s="1041"/>
      <c r="G350" s="28"/>
      <c r="H350" s="28"/>
      <c r="I350" s="28"/>
      <c r="J350" s="28"/>
      <c r="K350" s="28"/>
      <c r="L350" s="28"/>
      <c r="M350" s="28"/>
      <c r="N350" s="28"/>
      <c r="O350" s="28"/>
      <c r="P350" s="28"/>
      <c r="Q350" s="28"/>
      <c r="R350" s="28"/>
      <c r="S350" s="28"/>
      <c r="T350" s="28"/>
      <c r="U350" s="28"/>
      <c r="V350" s="28"/>
      <c r="W350" s="28"/>
      <c r="X350" s="28"/>
      <c r="Y350" s="28"/>
      <c r="Z350" s="28"/>
    </row>
    <row r="351">
      <c r="A351" s="1044"/>
      <c r="B351" s="1045"/>
      <c r="C351" s="1041"/>
      <c r="D351" s="1045"/>
      <c r="E351" s="1041"/>
      <c r="F351" s="1041"/>
      <c r="G351" s="28"/>
      <c r="H351" s="28"/>
      <c r="I351" s="28"/>
      <c r="J351" s="28"/>
      <c r="K351" s="28"/>
      <c r="L351" s="28"/>
      <c r="M351" s="28"/>
      <c r="N351" s="28"/>
      <c r="O351" s="28"/>
      <c r="P351" s="28"/>
      <c r="Q351" s="28"/>
      <c r="R351" s="28"/>
      <c r="S351" s="28"/>
      <c r="T351" s="28"/>
      <c r="U351" s="28"/>
      <c r="V351" s="28"/>
      <c r="W351" s="28"/>
      <c r="X351" s="28"/>
      <c r="Y351" s="28"/>
      <c r="Z351" s="28"/>
    </row>
    <row r="352">
      <c r="A352" s="1044"/>
      <c r="B352" s="1045"/>
      <c r="C352" s="1041"/>
      <c r="D352" s="1045"/>
      <c r="E352" s="1041"/>
      <c r="F352" s="1041"/>
      <c r="G352" s="28"/>
      <c r="H352" s="28"/>
      <c r="I352" s="28"/>
      <c r="J352" s="28"/>
      <c r="K352" s="28"/>
      <c r="L352" s="28"/>
      <c r="M352" s="28"/>
      <c r="N352" s="28"/>
      <c r="O352" s="28"/>
      <c r="P352" s="28"/>
      <c r="Q352" s="28"/>
      <c r="R352" s="28"/>
      <c r="S352" s="28"/>
      <c r="T352" s="28"/>
      <c r="U352" s="28"/>
      <c r="V352" s="28"/>
      <c r="W352" s="28"/>
      <c r="X352" s="28"/>
      <c r="Y352" s="28"/>
      <c r="Z352" s="28"/>
    </row>
    <row r="353">
      <c r="A353" s="1044"/>
      <c r="B353" s="1045"/>
      <c r="C353" s="1041"/>
      <c r="D353" s="1045"/>
      <c r="E353" s="1041"/>
      <c r="F353" s="1041"/>
      <c r="G353" s="28"/>
      <c r="H353" s="28"/>
      <c r="I353" s="28"/>
      <c r="J353" s="28"/>
      <c r="K353" s="28"/>
      <c r="L353" s="28"/>
      <c r="M353" s="28"/>
      <c r="N353" s="28"/>
      <c r="O353" s="28"/>
      <c r="P353" s="28"/>
      <c r="Q353" s="28"/>
      <c r="R353" s="28"/>
      <c r="S353" s="28"/>
      <c r="T353" s="28"/>
      <c r="U353" s="28"/>
      <c r="V353" s="28"/>
      <c r="W353" s="28"/>
      <c r="X353" s="28"/>
      <c r="Y353" s="28"/>
      <c r="Z353" s="28"/>
    </row>
    <row r="354">
      <c r="A354" s="1044"/>
      <c r="B354" s="1045"/>
      <c r="C354" s="1041"/>
      <c r="D354" s="1045"/>
      <c r="E354" s="1041"/>
      <c r="F354" s="1041"/>
      <c r="G354" s="28"/>
      <c r="H354" s="28"/>
      <c r="I354" s="28"/>
      <c r="J354" s="28"/>
      <c r="K354" s="28"/>
      <c r="L354" s="28"/>
      <c r="M354" s="28"/>
      <c r="N354" s="28"/>
      <c r="O354" s="28"/>
      <c r="P354" s="28"/>
      <c r="Q354" s="28"/>
      <c r="R354" s="28"/>
      <c r="S354" s="28"/>
      <c r="T354" s="28"/>
      <c r="U354" s="28"/>
      <c r="V354" s="28"/>
      <c r="W354" s="28"/>
      <c r="X354" s="28"/>
      <c r="Y354" s="28"/>
      <c r="Z354" s="28"/>
    </row>
    <row r="355">
      <c r="A355" s="1044"/>
      <c r="B355" s="1045"/>
      <c r="C355" s="1041"/>
      <c r="D355" s="1045"/>
      <c r="E355" s="1041"/>
      <c r="F355" s="1041"/>
      <c r="G355" s="28"/>
      <c r="H355" s="28"/>
      <c r="I355" s="28"/>
      <c r="J355" s="28"/>
      <c r="K355" s="28"/>
      <c r="L355" s="28"/>
      <c r="M355" s="28"/>
      <c r="N355" s="28"/>
      <c r="O355" s="28"/>
      <c r="P355" s="28"/>
      <c r="Q355" s="28"/>
      <c r="R355" s="28"/>
      <c r="S355" s="28"/>
      <c r="T355" s="28"/>
      <c r="U355" s="28"/>
      <c r="V355" s="28"/>
      <c r="W355" s="28"/>
      <c r="X355" s="28"/>
      <c r="Y355" s="28"/>
      <c r="Z355" s="28"/>
    </row>
    <row r="356">
      <c r="A356" s="1044"/>
      <c r="B356" s="1045"/>
      <c r="C356" s="1041"/>
      <c r="D356" s="1045"/>
      <c r="E356" s="1041"/>
      <c r="F356" s="1041"/>
      <c r="G356" s="28"/>
      <c r="H356" s="28"/>
      <c r="I356" s="28"/>
      <c r="J356" s="28"/>
      <c r="K356" s="28"/>
      <c r="L356" s="28"/>
      <c r="M356" s="28"/>
      <c r="N356" s="28"/>
      <c r="O356" s="28"/>
      <c r="P356" s="28"/>
      <c r="Q356" s="28"/>
      <c r="R356" s="28"/>
      <c r="S356" s="28"/>
      <c r="T356" s="28"/>
      <c r="U356" s="28"/>
      <c r="V356" s="28"/>
      <c r="W356" s="28"/>
      <c r="X356" s="28"/>
      <c r="Y356" s="28"/>
      <c r="Z356" s="28"/>
    </row>
    <row r="357">
      <c r="A357" s="1044"/>
      <c r="B357" s="1045"/>
      <c r="C357" s="1041"/>
      <c r="D357" s="1045"/>
      <c r="E357" s="1041"/>
      <c r="F357" s="1041"/>
      <c r="G357" s="28"/>
      <c r="H357" s="28"/>
      <c r="I357" s="28"/>
      <c r="J357" s="28"/>
      <c r="K357" s="28"/>
      <c r="L357" s="28"/>
      <c r="M357" s="28"/>
      <c r="N357" s="28"/>
      <c r="O357" s="28"/>
      <c r="P357" s="28"/>
      <c r="Q357" s="28"/>
      <c r="R357" s="28"/>
      <c r="S357" s="28"/>
      <c r="T357" s="28"/>
      <c r="U357" s="28"/>
      <c r="V357" s="28"/>
      <c r="W357" s="28"/>
      <c r="X357" s="28"/>
      <c r="Y357" s="28"/>
      <c r="Z357" s="28"/>
    </row>
    <row r="358">
      <c r="A358" s="1044"/>
      <c r="B358" s="1045"/>
      <c r="C358" s="1041"/>
      <c r="D358" s="1045"/>
      <c r="E358" s="1041"/>
      <c r="F358" s="1041"/>
      <c r="G358" s="28"/>
      <c r="H358" s="28"/>
      <c r="I358" s="28"/>
      <c r="J358" s="28"/>
      <c r="K358" s="28"/>
      <c r="L358" s="28"/>
      <c r="M358" s="28"/>
      <c r="N358" s="28"/>
      <c r="O358" s="28"/>
      <c r="P358" s="28"/>
      <c r="Q358" s="28"/>
      <c r="R358" s="28"/>
      <c r="S358" s="28"/>
      <c r="T358" s="28"/>
      <c r="U358" s="28"/>
      <c r="V358" s="28"/>
      <c r="W358" s="28"/>
      <c r="X358" s="28"/>
      <c r="Y358" s="28"/>
      <c r="Z358" s="28"/>
    </row>
    <row r="359">
      <c r="A359" s="1044"/>
      <c r="B359" s="1045"/>
      <c r="C359" s="1041"/>
      <c r="D359" s="1045"/>
      <c r="E359" s="1041"/>
      <c r="F359" s="1041"/>
      <c r="G359" s="28"/>
      <c r="H359" s="28"/>
      <c r="I359" s="28"/>
      <c r="J359" s="28"/>
      <c r="K359" s="28"/>
      <c r="L359" s="28"/>
      <c r="M359" s="28"/>
      <c r="N359" s="28"/>
      <c r="O359" s="28"/>
      <c r="P359" s="28"/>
      <c r="Q359" s="28"/>
      <c r="R359" s="28"/>
      <c r="S359" s="28"/>
      <c r="T359" s="28"/>
      <c r="U359" s="28"/>
      <c r="V359" s="28"/>
      <c r="W359" s="28"/>
      <c r="X359" s="28"/>
      <c r="Y359" s="28"/>
      <c r="Z359" s="28"/>
    </row>
    <row r="360">
      <c r="A360" s="1044"/>
      <c r="B360" s="1045"/>
      <c r="C360" s="1041"/>
      <c r="D360" s="1045"/>
      <c r="E360" s="1041"/>
      <c r="F360" s="1041"/>
      <c r="G360" s="28"/>
      <c r="H360" s="28"/>
      <c r="I360" s="28"/>
      <c r="J360" s="28"/>
      <c r="K360" s="28"/>
      <c r="L360" s="28"/>
      <c r="M360" s="28"/>
      <c r="N360" s="28"/>
      <c r="O360" s="28"/>
      <c r="P360" s="28"/>
      <c r="Q360" s="28"/>
      <c r="R360" s="28"/>
      <c r="S360" s="28"/>
      <c r="T360" s="28"/>
      <c r="U360" s="28"/>
      <c r="V360" s="28"/>
      <c r="W360" s="28"/>
      <c r="X360" s="28"/>
      <c r="Y360" s="28"/>
      <c r="Z360" s="28"/>
    </row>
    <row r="361">
      <c r="A361" s="1044"/>
      <c r="B361" s="1045"/>
      <c r="C361" s="1041"/>
      <c r="D361" s="1045"/>
      <c r="E361" s="1041"/>
      <c r="F361" s="1041"/>
      <c r="G361" s="28"/>
      <c r="H361" s="28"/>
      <c r="I361" s="28"/>
      <c r="J361" s="28"/>
      <c r="K361" s="28"/>
      <c r="L361" s="28"/>
      <c r="M361" s="28"/>
      <c r="N361" s="28"/>
      <c r="O361" s="28"/>
      <c r="P361" s="28"/>
      <c r="Q361" s="28"/>
      <c r="R361" s="28"/>
      <c r="S361" s="28"/>
      <c r="T361" s="28"/>
      <c r="U361" s="28"/>
      <c r="V361" s="28"/>
      <c r="W361" s="28"/>
      <c r="X361" s="28"/>
      <c r="Y361" s="28"/>
      <c r="Z361" s="28"/>
    </row>
    <row r="362">
      <c r="A362" s="1044"/>
      <c r="B362" s="1045"/>
      <c r="C362" s="1041"/>
      <c r="D362" s="1045"/>
      <c r="E362" s="1041"/>
      <c r="F362" s="1041"/>
      <c r="G362" s="28"/>
      <c r="H362" s="28"/>
      <c r="I362" s="28"/>
      <c r="J362" s="28"/>
      <c r="K362" s="28"/>
      <c r="L362" s="28"/>
      <c r="M362" s="28"/>
      <c r="N362" s="28"/>
      <c r="O362" s="28"/>
      <c r="P362" s="28"/>
      <c r="Q362" s="28"/>
      <c r="R362" s="28"/>
      <c r="S362" s="28"/>
      <c r="T362" s="28"/>
      <c r="U362" s="28"/>
      <c r="V362" s="28"/>
      <c r="W362" s="28"/>
      <c r="X362" s="28"/>
      <c r="Y362" s="28"/>
      <c r="Z362" s="28"/>
    </row>
    <row r="363">
      <c r="A363" s="1044"/>
      <c r="B363" s="1045"/>
      <c r="C363" s="1041"/>
      <c r="D363" s="1045"/>
      <c r="E363" s="1041"/>
      <c r="F363" s="1041"/>
      <c r="G363" s="28"/>
      <c r="H363" s="28"/>
      <c r="I363" s="28"/>
      <c r="J363" s="28"/>
      <c r="K363" s="28"/>
      <c r="L363" s="28"/>
      <c r="M363" s="28"/>
      <c r="N363" s="28"/>
      <c r="O363" s="28"/>
      <c r="P363" s="28"/>
      <c r="Q363" s="28"/>
      <c r="R363" s="28"/>
      <c r="S363" s="28"/>
      <c r="T363" s="28"/>
      <c r="U363" s="28"/>
      <c r="V363" s="28"/>
      <c r="W363" s="28"/>
      <c r="X363" s="28"/>
      <c r="Y363" s="28"/>
      <c r="Z363" s="28"/>
    </row>
    <row r="364">
      <c r="A364" s="1044"/>
      <c r="B364" s="1045"/>
      <c r="C364" s="1041"/>
      <c r="D364" s="1045"/>
      <c r="E364" s="1041"/>
      <c r="F364" s="1041"/>
      <c r="G364" s="28"/>
      <c r="H364" s="28"/>
      <c r="I364" s="28"/>
      <c r="J364" s="28"/>
      <c r="K364" s="28"/>
      <c r="L364" s="28"/>
      <c r="M364" s="28"/>
      <c r="N364" s="28"/>
      <c r="O364" s="28"/>
      <c r="P364" s="28"/>
      <c r="Q364" s="28"/>
      <c r="R364" s="28"/>
      <c r="S364" s="28"/>
      <c r="T364" s="28"/>
      <c r="U364" s="28"/>
      <c r="V364" s="28"/>
      <c r="W364" s="28"/>
      <c r="X364" s="28"/>
      <c r="Y364" s="28"/>
      <c r="Z364" s="28"/>
    </row>
    <row r="365">
      <c r="A365" s="1044"/>
      <c r="B365" s="1045"/>
      <c r="C365" s="1041"/>
      <c r="D365" s="1045"/>
      <c r="E365" s="1041"/>
      <c r="F365" s="1041"/>
      <c r="G365" s="28"/>
      <c r="H365" s="28"/>
      <c r="I365" s="28"/>
      <c r="J365" s="28"/>
      <c r="K365" s="28"/>
      <c r="L365" s="28"/>
      <c r="M365" s="28"/>
      <c r="N365" s="28"/>
      <c r="O365" s="28"/>
      <c r="P365" s="28"/>
      <c r="Q365" s="28"/>
      <c r="R365" s="28"/>
      <c r="S365" s="28"/>
      <c r="T365" s="28"/>
      <c r="U365" s="28"/>
      <c r="V365" s="28"/>
      <c r="W365" s="28"/>
      <c r="X365" s="28"/>
      <c r="Y365" s="28"/>
      <c r="Z365" s="28"/>
    </row>
    <row r="366">
      <c r="A366" s="1044"/>
      <c r="B366" s="1045"/>
      <c r="C366" s="1041"/>
      <c r="D366" s="1045"/>
      <c r="E366" s="1041"/>
      <c r="F366" s="1041"/>
      <c r="G366" s="28"/>
      <c r="H366" s="28"/>
      <c r="I366" s="28"/>
      <c r="J366" s="28"/>
      <c r="K366" s="28"/>
      <c r="L366" s="28"/>
      <c r="M366" s="28"/>
      <c r="N366" s="28"/>
      <c r="O366" s="28"/>
      <c r="P366" s="28"/>
      <c r="Q366" s="28"/>
      <c r="R366" s="28"/>
      <c r="S366" s="28"/>
      <c r="T366" s="28"/>
      <c r="U366" s="28"/>
      <c r="V366" s="28"/>
      <c r="W366" s="28"/>
      <c r="X366" s="28"/>
      <c r="Y366" s="28"/>
      <c r="Z366" s="28"/>
    </row>
    <row r="367">
      <c r="A367" s="1044"/>
      <c r="B367" s="1045"/>
      <c r="C367" s="1041"/>
      <c r="D367" s="1045"/>
      <c r="E367" s="1041"/>
      <c r="F367" s="1041"/>
      <c r="G367" s="28"/>
      <c r="H367" s="28"/>
      <c r="I367" s="28"/>
      <c r="J367" s="28"/>
      <c r="K367" s="28"/>
      <c r="L367" s="28"/>
      <c r="M367" s="28"/>
      <c r="N367" s="28"/>
      <c r="O367" s="28"/>
      <c r="P367" s="28"/>
      <c r="Q367" s="28"/>
      <c r="R367" s="28"/>
      <c r="S367" s="28"/>
      <c r="T367" s="28"/>
      <c r="U367" s="28"/>
      <c r="V367" s="28"/>
      <c r="W367" s="28"/>
      <c r="X367" s="28"/>
      <c r="Y367" s="28"/>
      <c r="Z367" s="28"/>
    </row>
    <row r="368">
      <c r="A368" s="1044"/>
      <c r="B368" s="1045"/>
      <c r="C368" s="1041"/>
      <c r="D368" s="1045"/>
      <c r="E368" s="1041"/>
      <c r="F368" s="1041"/>
      <c r="G368" s="28"/>
      <c r="H368" s="28"/>
      <c r="I368" s="28"/>
      <c r="J368" s="28"/>
      <c r="K368" s="28"/>
      <c r="L368" s="28"/>
      <c r="M368" s="28"/>
      <c r="N368" s="28"/>
      <c r="O368" s="28"/>
      <c r="P368" s="28"/>
      <c r="Q368" s="28"/>
      <c r="R368" s="28"/>
      <c r="S368" s="28"/>
      <c r="T368" s="28"/>
      <c r="U368" s="28"/>
      <c r="V368" s="28"/>
      <c r="W368" s="28"/>
      <c r="X368" s="28"/>
      <c r="Y368" s="28"/>
      <c r="Z368" s="28"/>
    </row>
    <row r="369">
      <c r="A369" s="1044"/>
      <c r="B369" s="1045"/>
      <c r="C369" s="1041"/>
      <c r="D369" s="1045"/>
      <c r="E369" s="1041"/>
      <c r="F369" s="1041"/>
      <c r="G369" s="28"/>
      <c r="H369" s="28"/>
      <c r="I369" s="28"/>
      <c r="J369" s="28"/>
      <c r="K369" s="28"/>
      <c r="L369" s="28"/>
      <c r="M369" s="28"/>
      <c r="N369" s="28"/>
      <c r="O369" s="28"/>
      <c r="P369" s="28"/>
      <c r="Q369" s="28"/>
      <c r="R369" s="28"/>
      <c r="S369" s="28"/>
      <c r="T369" s="28"/>
      <c r="U369" s="28"/>
      <c r="V369" s="28"/>
      <c r="W369" s="28"/>
      <c r="X369" s="28"/>
      <c r="Y369" s="28"/>
      <c r="Z369" s="28"/>
    </row>
    <row r="370">
      <c r="A370" s="1044"/>
      <c r="B370" s="1045"/>
      <c r="C370" s="1041"/>
      <c r="D370" s="1045"/>
      <c r="E370" s="1041"/>
      <c r="F370" s="1041"/>
      <c r="G370" s="28"/>
      <c r="H370" s="28"/>
      <c r="I370" s="28"/>
      <c r="J370" s="28"/>
      <c r="K370" s="28"/>
      <c r="L370" s="28"/>
      <c r="M370" s="28"/>
      <c r="N370" s="28"/>
      <c r="O370" s="28"/>
      <c r="P370" s="28"/>
      <c r="Q370" s="28"/>
      <c r="R370" s="28"/>
      <c r="S370" s="28"/>
      <c r="T370" s="28"/>
      <c r="U370" s="28"/>
      <c r="V370" s="28"/>
      <c r="W370" s="28"/>
      <c r="X370" s="28"/>
      <c r="Y370" s="28"/>
      <c r="Z370" s="28"/>
    </row>
    <row r="371">
      <c r="A371" s="1044"/>
      <c r="B371" s="1045"/>
      <c r="C371" s="1041"/>
      <c r="D371" s="1045"/>
      <c r="E371" s="1041"/>
      <c r="F371" s="1041"/>
      <c r="G371" s="28"/>
      <c r="H371" s="28"/>
      <c r="I371" s="28"/>
      <c r="J371" s="28"/>
      <c r="K371" s="28"/>
      <c r="L371" s="28"/>
      <c r="M371" s="28"/>
      <c r="N371" s="28"/>
      <c r="O371" s="28"/>
      <c r="P371" s="28"/>
      <c r="Q371" s="28"/>
      <c r="R371" s="28"/>
      <c r="S371" s="28"/>
      <c r="T371" s="28"/>
      <c r="U371" s="28"/>
      <c r="V371" s="28"/>
      <c r="W371" s="28"/>
      <c r="X371" s="28"/>
      <c r="Y371" s="28"/>
      <c r="Z371" s="28"/>
    </row>
    <row r="372">
      <c r="A372" s="1044"/>
      <c r="B372" s="1045"/>
      <c r="C372" s="1041"/>
      <c r="D372" s="1045"/>
      <c r="E372" s="1041"/>
      <c r="F372" s="1041"/>
      <c r="G372" s="28"/>
      <c r="H372" s="28"/>
      <c r="I372" s="28"/>
      <c r="J372" s="28"/>
      <c r="K372" s="28"/>
      <c r="L372" s="28"/>
      <c r="M372" s="28"/>
      <c r="N372" s="28"/>
      <c r="O372" s="28"/>
      <c r="P372" s="28"/>
      <c r="Q372" s="28"/>
      <c r="R372" s="28"/>
      <c r="S372" s="28"/>
      <c r="T372" s="28"/>
      <c r="U372" s="28"/>
      <c r="V372" s="28"/>
      <c r="W372" s="28"/>
      <c r="X372" s="28"/>
      <c r="Y372" s="28"/>
      <c r="Z372" s="28"/>
    </row>
    <row r="373">
      <c r="A373" s="1044"/>
      <c r="B373" s="1045"/>
      <c r="C373" s="1041"/>
      <c r="D373" s="1045"/>
      <c r="E373" s="1041"/>
      <c r="F373" s="1041"/>
      <c r="G373" s="28"/>
      <c r="H373" s="28"/>
      <c r="I373" s="28"/>
      <c r="J373" s="28"/>
      <c r="K373" s="28"/>
      <c r="L373" s="28"/>
      <c r="M373" s="28"/>
      <c r="N373" s="28"/>
      <c r="O373" s="28"/>
      <c r="P373" s="28"/>
      <c r="Q373" s="28"/>
      <c r="R373" s="28"/>
      <c r="S373" s="28"/>
      <c r="T373" s="28"/>
      <c r="U373" s="28"/>
      <c r="V373" s="28"/>
      <c r="W373" s="28"/>
      <c r="X373" s="28"/>
      <c r="Y373" s="28"/>
      <c r="Z373" s="28"/>
    </row>
    <row r="374">
      <c r="A374" s="1044"/>
      <c r="B374" s="1045"/>
      <c r="C374" s="1041"/>
      <c r="D374" s="1045"/>
      <c r="E374" s="1041"/>
      <c r="F374" s="1041"/>
      <c r="G374" s="28"/>
      <c r="H374" s="28"/>
      <c r="I374" s="28"/>
      <c r="J374" s="28"/>
      <c r="K374" s="28"/>
      <c r="L374" s="28"/>
      <c r="M374" s="28"/>
      <c r="N374" s="28"/>
      <c r="O374" s="28"/>
      <c r="P374" s="28"/>
      <c r="Q374" s="28"/>
      <c r="R374" s="28"/>
      <c r="S374" s="28"/>
      <c r="T374" s="28"/>
      <c r="U374" s="28"/>
      <c r="V374" s="28"/>
      <c r="W374" s="28"/>
      <c r="X374" s="28"/>
      <c r="Y374" s="28"/>
      <c r="Z374" s="28"/>
    </row>
    <row r="375">
      <c r="A375" s="1044"/>
      <c r="B375" s="1045"/>
      <c r="C375" s="1041"/>
      <c r="D375" s="1045"/>
      <c r="E375" s="1041"/>
      <c r="F375" s="1041"/>
      <c r="G375" s="28"/>
      <c r="H375" s="28"/>
      <c r="I375" s="28"/>
      <c r="J375" s="28"/>
      <c r="K375" s="28"/>
      <c r="L375" s="28"/>
      <c r="M375" s="28"/>
      <c r="N375" s="28"/>
      <c r="O375" s="28"/>
      <c r="P375" s="28"/>
      <c r="Q375" s="28"/>
      <c r="R375" s="28"/>
      <c r="S375" s="28"/>
      <c r="T375" s="28"/>
      <c r="U375" s="28"/>
      <c r="V375" s="28"/>
      <c r="W375" s="28"/>
      <c r="X375" s="28"/>
      <c r="Y375" s="28"/>
      <c r="Z375" s="28"/>
    </row>
    <row r="376">
      <c r="A376" s="1044"/>
      <c r="B376" s="1045"/>
      <c r="C376" s="1041"/>
      <c r="D376" s="1045"/>
      <c r="E376" s="1041"/>
      <c r="F376" s="1041"/>
      <c r="G376" s="28"/>
      <c r="H376" s="28"/>
      <c r="I376" s="28"/>
      <c r="J376" s="28"/>
      <c r="K376" s="28"/>
      <c r="L376" s="28"/>
      <c r="M376" s="28"/>
      <c r="N376" s="28"/>
      <c r="O376" s="28"/>
      <c r="P376" s="28"/>
      <c r="Q376" s="28"/>
      <c r="R376" s="28"/>
      <c r="S376" s="28"/>
      <c r="T376" s="28"/>
      <c r="U376" s="28"/>
      <c r="V376" s="28"/>
      <c r="W376" s="28"/>
      <c r="X376" s="28"/>
      <c r="Y376" s="28"/>
      <c r="Z376" s="28"/>
    </row>
    <row r="377">
      <c r="A377" s="1044"/>
      <c r="B377" s="1045"/>
      <c r="C377" s="1041"/>
      <c r="D377" s="1045"/>
      <c r="E377" s="1041"/>
      <c r="F377" s="1041"/>
      <c r="G377" s="28"/>
      <c r="H377" s="28"/>
      <c r="I377" s="28"/>
      <c r="J377" s="28"/>
      <c r="K377" s="28"/>
      <c r="L377" s="28"/>
      <c r="M377" s="28"/>
      <c r="N377" s="28"/>
      <c r="O377" s="28"/>
      <c r="P377" s="28"/>
      <c r="Q377" s="28"/>
      <c r="R377" s="28"/>
      <c r="S377" s="28"/>
      <c r="T377" s="28"/>
      <c r="U377" s="28"/>
      <c r="V377" s="28"/>
      <c r="W377" s="28"/>
      <c r="X377" s="28"/>
      <c r="Y377" s="28"/>
      <c r="Z377" s="28"/>
    </row>
    <row r="378">
      <c r="A378" s="1044"/>
      <c r="B378" s="1045"/>
      <c r="C378" s="1041"/>
      <c r="D378" s="1045"/>
      <c r="E378" s="1041"/>
      <c r="F378" s="1041"/>
      <c r="G378" s="28"/>
      <c r="H378" s="28"/>
      <c r="I378" s="28"/>
      <c r="J378" s="28"/>
      <c r="K378" s="28"/>
      <c r="L378" s="28"/>
      <c r="M378" s="28"/>
      <c r="N378" s="28"/>
      <c r="O378" s="28"/>
      <c r="P378" s="28"/>
      <c r="Q378" s="28"/>
      <c r="R378" s="28"/>
      <c r="S378" s="28"/>
      <c r="T378" s="28"/>
      <c r="U378" s="28"/>
      <c r="V378" s="28"/>
      <c r="W378" s="28"/>
      <c r="X378" s="28"/>
      <c r="Y378" s="28"/>
      <c r="Z378" s="28"/>
    </row>
    <row r="379">
      <c r="A379" s="1044"/>
      <c r="B379" s="1045"/>
      <c r="C379" s="1041"/>
      <c r="D379" s="1045"/>
      <c r="E379" s="1041"/>
      <c r="F379" s="1041"/>
      <c r="G379" s="28"/>
      <c r="H379" s="28"/>
      <c r="I379" s="28"/>
      <c r="J379" s="28"/>
      <c r="K379" s="28"/>
      <c r="L379" s="28"/>
      <c r="M379" s="28"/>
      <c r="N379" s="28"/>
      <c r="O379" s="28"/>
      <c r="P379" s="28"/>
      <c r="Q379" s="28"/>
      <c r="R379" s="28"/>
      <c r="S379" s="28"/>
      <c r="T379" s="28"/>
      <c r="U379" s="28"/>
      <c r="V379" s="28"/>
      <c r="W379" s="28"/>
      <c r="X379" s="28"/>
      <c r="Y379" s="28"/>
      <c r="Z379" s="28"/>
    </row>
    <row r="380">
      <c r="A380" s="1044"/>
      <c r="B380" s="1045"/>
      <c r="C380" s="1041"/>
      <c r="D380" s="1045"/>
      <c r="E380" s="1041"/>
      <c r="F380" s="1041"/>
      <c r="G380" s="28"/>
      <c r="H380" s="28"/>
      <c r="I380" s="28"/>
      <c r="J380" s="28"/>
      <c r="K380" s="28"/>
      <c r="L380" s="28"/>
      <c r="M380" s="28"/>
      <c r="N380" s="28"/>
      <c r="O380" s="28"/>
      <c r="P380" s="28"/>
      <c r="Q380" s="28"/>
      <c r="R380" s="28"/>
      <c r="S380" s="28"/>
      <c r="T380" s="28"/>
      <c r="U380" s="28"/>
      <c r="V380" s="28"/>
      <c r="W380" s="28"/>
      <c r="X380" s="28"/>
      <c r="Y380" s="28"/>
      <c r="Z380" s="28"/>
    </row>
    <row r="381">
      <c r="A381" s="1044"/>
      <c r="B381" s="1045"/>
      <c r="C381" s="1041"/>
      <c r="D381" s="1045"/>
      <c r="E381" s="1041"/>
      <c r="F381" s="1041"/>
      <c r="G381" s="28"/>
      <c r="H381" s="28"/>
      <c r="I381" s="28"/>
      <c r="J381" s="28"/>
      <c r="K381" s="28"/>
      <c r="L381" s="28"/>
      <c r="M381" s="28"/>
      <c r="N381" s="28"/>
      <c r="O381" s="28"/>
      <c r="P381" s="28"/>
      <c r="Q381" s="28"/>
      <c r="R381" s="28"/>
      <c r="S381" s="28"/>
      <c r="T381" s="28"/>
      <c r="U381" s="28"/>
      <c r="V381" s="28"/>
      <c r="W381" s="28"/>
      <c r="X381" s="28"/>
      <c r="Y381" s="28"/>
      <c r="Z381" s="28"/>
    </row>
    <row r="382">
      <c r="A382" s="1044"/>
      <c r="B382" s="1045"/>
      <c r="C382" s="1041"/>
      <c r="D382" s="1045"/>
      <c r="E382" s="1041"/>
      <c r="F382" s="1041"/>
      <c r="G382" s="28"/>
      <c r="H382" s="28"/>
      <c r="I382" s="28"/>
      <c r="J382" s="28"/>
      <c r="K382" s="28"/>
      <c r="L382" s="28"/>
      <c r="M382" s="28"/>
      <c r="N382" s="28"/>
      <c r="O382" s="28"/>
      <c r="P382" s="28"/>
      <c r="Q382" s="28"/>
      <c r="R382" s="28"/>
      <c r="S382" s="28"/>
      <c r="T382" s="28"/>
      <c r="U382" s="28"/>
      <c r="V382" s="28"/>
      <c r="W382" s="28"/>
      <c r="X382" s="28"/>
      <c r="Y382" s="28"/>
      <c r="Z382" s="28"/>
    </row>
    <row r="383">
      <c r="A383" s="1044"/>
      <c r="B383" s="1045"/>
      <c r="C383" s="1041"/>
      <c r="D383" s="1045"/>
      <c r="E383" s="1041"/>
      <c r="F383" s="1041"/>
      <c r="G383" s="28"/>
      <c r="H383" s="28"/>
      <c r="I383" s="28"/>
      <c r="J383" s="28"/>
      <c r="K383" s="28"/>
      <c r="L383" s="28"/>
      <c r="M383" s="28"/>
      <c r="N383" s="28"/>
      <c r="O383" s="28"/>
      <c r="P383" s="28"/>
      <c r="Q383" s="28"/>
      <c r="R383" s="28"/>
      <c r="S383" s="28"/>
      <c r="T383" s="28"/>
      <c r="U383" s="28"/>
      <c r="V383" s="28"/>
      <c r="W383" s="28"/>
      <c r="X383" s="28"/>
      <c r="Y383" s="28"/>
      <c r="Z383" s="28"/>
    </row>
    <row r="384">
      <c r="A384" s="1044"/>
      <c r="B384" s="1045"/>
      <c r="C384" s="1041"/>
      <c r="D384" s="1045"/>
      <c r="E384" s="1041"/>
      <c r="F384" s="1041"/>
      <c r="G384" s="28"/>
      <c r="H384" s="28"/>
      <c r="I384" s="28"/>
      <c r="J384" s="28"/>
      <c r="K384" s="28"/>
      <c r="L384" s="28"/>
      <c r="M384" s="28"/>
      <c r="N384" s="28"/>
      <c r="O384" s="28"/>
      <c r="P384" s="28"/>
      <c r="Q384" s="28"/>
      <c r="R384" s="28"/>
      <c r="S384" s="28"/>
      <c r="T384" s="28"/>
      <c r="U384" s="28"/>
      <c r="V384" s="28"/>
      <c r="W384" s="28"/>
      <c r="X384" s="28"/>
      <c r="Y384" s="28"/>
      <c r="Z384" s="28"/>
    </row>
    <row r="385">
      <c r="A385" s="1044"/>
      <c r="B385" s="1045"/>
      <c r="C385" s="1041"/>
      <c r="D385" s="1045"/>
      <c r="E385" s="1041"/>
      <c r="F385" s="1041"/>
      <c r="G385" s="28"/>
      <c r="H385" s="28"/>
      <c r="I385" s="28"/>
      <c r="J385" s="28"/>
      <c r="K385" s="28"/>
      <c r="L385" s="28"/>
      <c r="M385" s="28"/>
      <c r="N385" s="28"/>
      <c r="O385" s="28"/>
      <c r="P385" s="28"/>
      <c r="Q385" s="28"/>
      <c r="R385" s="28"/>
      <c r="S385" s="28"/>
      <c r="T385" s="28"/>
      <c r="U385" s="28"/>
      <c r="V385" s="28"/>
      <c r="W385" s="28"/>
      <c r="X385" s="28"/>
      <c r="Y385" s="28"/>
      <c r="Z385" s="28"/>
    </row>
    <row r="386">
      <c r="A386" s="1044"/>
      <c r="B386" s="1045"/>
      <c r="C386" s="1041"/>
      <c r="D386" s="1045"/>
      <c r="E386" s="1041"/>
      <c r="F386" s="1041"/>
      <c r="G386" s="28"/>
      <c r="H386" s="28"/>
      <c r="I386" s="28"/>
      <c r="J386" s="28"/>
      <c r="K386" s="28"/>
      <c r="L386" s="28"/>
      <c r="M386" s="28"/>
      <c r="N386" s="28"/>
      <c r="O386" s="28"/>
      <c r="P386" s="28"/>
      <c r="Q386" s="28"/>
      <c r="R386" s="28"/>
      <c r="S386" s="28"/>
      <c r="T386" s="28"/>
      <c r="U386" s="28"/>
      <c r="V386" s="28"/>
      <c r="W386" s="28"/>
      <c r="X386" s="28"/>
      <c r="Y386" s="28"/>
      <c r="Z386" s="28"/>
    </row>
    <row r="387">
      <c r="A387" s="1044"/>
      <c r="B387" s="1045"/>
      <c r="C387" s="1041"/>
      <c r="D387" s="1045"/>
      <c r="E387" s="1041"/>
      <c r="F387" s="1041"/>
      <c r="G387" s="28"/>
      <c r="H387" s="28"/>
      <c r="I387" s="28"/>
      <c r="J387" s="28"/>
      <c r="K387" s="28"/>
      <c r="L387" s="28"/>
      <c r="M387" s="28"/>
      <c r="N387" s="28"/>
      <c r="O387" s="28"/>
      <c r="P387" s="28"/>
      <c r="Q387" s="28"/>
      <c r="R387" s="28"/>
      <c r="S387" s="28"/>
      <c r="T387" s="28"/>
      <c r="U387" s="28"/>
      <c r="V387" s="28"/>
      <c r="W387" s="28"/>
      <c r="X387" s="28"/>
      <c r="Y387" s="28"/>
      <c r="Z387" s="28"/>
    </row>
    <row r="388">
      <c r="A388" s="1044"/>
      <c r="B388" s="1045"/>
      <c r="C388" s="1041"/>
      <c r="D388" s="1045"/>
      <c r="E388" s="1041"/>
      <c r="F388" s="1041"/>
      <c r="G388" s="28"/>
      <c r="H388" s="28"/>
      <c r="I388" s="28"/>
      <c r="J388" s="28"/>
      <c r="K388" s="28"/>
      <c r="L388" s="28"/>
      <c r="M388" s="28"/>
      <c r="N388" s="28"/>
      <c r="O388" s="28"/>
      <c r="P388" s="28"/>
      <c r="Q388" s="28"/>
      <c r="R388" s="28"/>
      <c r="S388" s="28"/>
      <c r="T388" s="28"/>
      <c r="U388" s="28"/>
      <c r="V388" s="28"/>
      <c r="W388" s="28"/>
      <c r="X388" s="28"/>
      <c r="Y388" s="28"/>
      <c r="Z388" s="28"/>
    </row>
    <row r="389">
      <c r="A389" s="1044"/>
      <c r="B389" s="1045"/>
      <c r="C389" s="1041"/>
      <c r="D389" s="1045"/>
      <c r="E389" s="1041"/>
      <c r="F389" s="1041"/>
      <c r="G389" s="28"/>
      <c r="H389" s="28"/>
      <c r="I389" s="28"/>
      <c r="J389" s="28"/>
      <c r="K389" s="28"/>
      <c r="L389" s="28"/>
      <c r="M389" s="28"/>
      <c r="N389" s="28"/>
      <c r="O389" s="28"/>
      <c r="P389" s="28"/>
      <c r="Q389" s="28"/>
      <c r="R389" s="28"/>
      <c r="S389" s="28"/>
      <c r="T389" s="28"/>
      <c r="U389" s="28"/>
      <c r="V389" s="28"/>
      <c r="W389" s="28"/>
      <c r="X389" s="28"/>
      <c r="Y389" s="28"/>
      <c r="Z389" s="28"/>
    </row>
    <row r="390">
      <c r="A390" s="1044"/>
      <c r="B390" s="1045"/>
      <c r="C390" s="1041"/>
      <c r="D390" s="1045"/>
      <c r="E390" s="1041"/>
      <c r="F390" s="1041"/>
      <c r="G390" s="28"/>
      <c r="H390" s="28"/>
      <c r="I390" s="28"/>
      <c r="J390" s="28"/>
      <c r="K390" s="28"/>
      <c r="L390" s="28"/>
      <c r="M390" s="28"/>
      <c r="N390" s="28"/>
      <c r="O390" s="28"/>
      <c r="P390" s="28"/>
      <c r="Q390" s="28"/>
      <c r="R390" s="28"/>
      <c r="S390" s="28"/>
      <c r="T390" s="28"/>
      <c r="U390" s="28"/>
      <c r="V390" s="28"/>
      <c r="W390" s="28"/>
      <c r="X390" s="28"/>
      <c r="Y390" s="28"/>
      <c r="Z390" s="28"/>
    </row>
    <row r="391">
      <c r="A391" s="1044"/>
      <c r="B391" s="1045"/>
      <c r="C391" s="1041"/>
      <c r="D391" s="1045"/>
      <c r="E391" s="1041"/>
      <c r="F391" s="1041"/>
      <c r="G391" s="28"/>
      <c r="H391" s="28"/>
      <c r="I391" s="28"/>
      <c r="J391" s="28"/>
      <c r="K391" s="28"/>
      <c r="L391" s="28"/>
      <c r="M391" s="28"/>
      <c r="N391" s="28"/>
      <c r="O391" s="28"/>
      <c r="P391" s="28"/>
      <c r="Q391" s="28"/>
      <c r="R391" s="28"/>
      <c r="S391" s="28"/>
      <c r="T391" s="28"/>
      <c r="U391" s="28"/>
      <c r="V391" s="28"/>
      <c r="W391" s="28"/>
      <c r="X391" s="28"/>
      <c r="Y391" s="28"/>
      <c r="Z391" s="28"/>
    </row>
    <row r="392">
      <c r="A392" s="1044"/>
      <c r="B392" s="1045"/>
      <c r="C392" s="1041"/>
      <c r="D392" s="1045"/>
      <c r="E392" s="1041"/>
      <c r="F392" s="1041"/>
      <c r="G392" s="28"/>
      <c r="H392" s="28"/>
      <c r="I392" s="28"/>
      <c r="J392" s="28"/>
      <c r="K392" s="28"/>
      <c r="L392" s="28"/>
      <c r="M392" s="28"/>
      <c r="N392" s="28"/>
      <c r="O392" s="28"/>
      <c r="P392" s="28"/>
      <c r="Q392" s="28"/>
      <c r="R392" s="28"/>
      <c r="S392" s="28"/>
      <c r="T392" s="28"/>
      <c r="U392" s="28"/>
      <c r="V392" s="28"/>
      <c r="W392" s="28"/>
      <c r="X392" s="28"/>
      <c r="Y392" s="28"/>
      <c r="Z392" s="28"/>
    </row>
    <row r="393">
      <c r="A393" s="1044"/>
      <c r="B393" s="1045"/>
      <c r="C393" s="1041"/>
      <c r="D393" s="1045"/>
      <c r="E393" s="1041"/>
      <c r="F393" s="1041"/>
      <c r="G393" s="28"/>
      <c r="H393" s="28"/>
      <c r="I393" s="28"/>
      <c r="J393" s="28"/>
      <c r="K393" s="28"/>
      <c r="L393" s="28"/>
      <c r="M393" s="28"/>
      <c r="N393" s="28"/>
      <c r="O393" s="28"/>
      <c r="P393" s="28"/>
      <c r="Q393" s="28"/>
      <c r="R393" s="28"/>
      <c r="S393" s="28"/>
      <c r="T393" s="28"/>
      <c r="U393" s="28"/>
      <c r="V393" s="28"/>
      <c r="W393" s="28"/>
      <c r="X393" s="28"/>
      <c r="Y393" s="28"/>
      <c r="Z393" s="28"/>
    </row>
    <row r="394">
      <c r="A394" s="1044"/>
      <c r="B394" s="1045"/>
      <c r="C394" s="1041"/>
      <c r="D394" s="1045"/>
      <c r="E394" s="1041"/>
      <c r="F394" s="1041"/>
      <c r="G394" s="28"/>
      <c r="H394" s="28"/>
      <c r="I394" s="28"/>
      <c r="J394" s="28"/>
      <c r="K394" s="28"/>
      <c r="L394" s="28"/>
      <c r="M394" s="28"/>
      <c r="N394" s="28"/>
      <c r="O394" s="28"/>
      <c r="P394" s="28"/>
      <c r="Q394" s="28"/>
      <c r="R394" s="28"/>
      <c r="S394" s="28"/>
      <c r="T394" s="28"/>
      <c r="U394" s="28"/>
      <c r="V394" s="28"/>
      <c r="W394" s="28"/>
      <c r="X394" s="28"/>
      <c r="Y394" s="28"/>
      <c r="Z394" s="28"/>
    </row>
    <row r="395">
      <c r="A395" s="1044"/>
      <c r="B395" s="1045"/>
      <c r="C395" s="1041"/>
      <c r="D395" s="1045"/>
      <c r="E395" s="1041"/>
      <c r="F395" s="1041"/>
      <c r="G395" s="28"/>
      <c r="H395" s="28"/>
      <c r="I395" s="28"/>
      <c r="J395" s="28"/>
      <c r="K395" s="28"/>
      <c r="L395" s="28"/>
      <c r="M395" s="28"/>
      <c r="N395" s="28"/>
      <c r="O395" s="28"/>
      <c r="P395" s="28"/>
      <c r="Q395" s="28"/>
      <c r="R395" s="28"/>
      <c r="S395" s="28"/>
      <c r="T395" s="28"/>
      <c r="U395" s="28"/>
      <c r="V395" s="28"/>
      <c r="W395" s="28"/>
      <c r="X395" s="28"/>
      <c r="Y395" s="28"/>
      <c r="Z395" s="28"/>
    </row>
    <row r="396">
      <c r="A396" s="1044"/>
      <c r="B396" s="1045"/>
      <c r="C396" s="1041"/>
      <c r="D396" s="1045"/>
      <c r="E396" s="1041"/>
      <c r="F396" s="1041"/>
      <c r="G396" s="28"/>
      <c r="H396" s="28"/>
      <c r="I396" s="28"/>
      <c r="J396" s="28"/>
      <c r="K396" s="28"/>
      <c r="L396" s="28"/>
      <c r="M396" s="28"/>
      <c r="N396" s="28"/>
      <c r="O396" s="28"/>
      <c r="P396" s="28"/>
      <c r="Q396" s="28"/>
      <c r="R396" s="28"/>
      <c r="S396" s="28"/>
      <c r="T396" s="28"/>
      <c r="U396" s="28"/>
      <c r="V396" s="28"/>
      <c r="W396" s="28"/>
      <c r="X396" s="28"/>
      <c r="Y396" s="28"/>
      <c r="Z396" s="28"/>
    </row>
    <row r="397">
      <c r="A397" s="1044"/>
      <c r="B397" s="1045"/>
      <c r="C397" s="1041"/>
      <c r="D397" s="1045"/>
      <c r="E397" s="1041"/>
      <c r="F397" s="1041"/>
      <c r="G397" s="28"/>
      <c r="H397" s="28"/>
      <c r="I397" s="28"/>
      <c r="J397" s="28"/>
      <c r="K397" s="28"/>
      <c r="L397" s="28"/>
      <c r="M397" s="28"/>
      <c r="N397" s="28"/>
      <c r="O397" s="28"/>
      <c r="P397" s="28"/>
      <c r="Q397" s="28"/>
      <c r="R397" s="28"/>
      <c r="S397" s="28"/>
      <c r="T397" s="28"/>
      <c r="U397" s="28"/>
      <c r="V397" s="28"/>
      <c r="W397" s="28"/>
      <c r="X397" s="28"/>
      <c r="Y397" s="28"/>
      <c r="Z397" s="28"/>
    </row>
    <row r="398">
      <c r="A398" s="1044"/>
      <c r="B398" s="1045"/>
      <c r="C398" s="1041"/>
      <c r="D398" s="1045"/>
      <c r="E398" s="1041"/>
      <c r="F398" s="1041"/>
      <c r="G398" s="28"/>
      <c r="H398" s="28"/>
      <c r="I398" s="28"/>
      <c r="J398" s="28"/>
      <c r="K398" s="28"/>
      <c r="L398" s="28"/>
      <c r="M398" s="28"/>
      <c r="N398" s="28"/>
      <c r="O398" s="28"/>
      <c r="P398" s="28"/>
      <c r="Q398" s="28"/>
      <c r="R398" s="28"/>
      <c r="S398" s="28"/>
      <c r="T398" s="28"/>
      <c r="U398" s="28"/>
      <c r="V398" s="28"/>
      <c r="W398" s="28"/>
      <c r="X398" s="28"/>
      <c r="Y398" s="28"/>
      <c r="Z398" s="28"/>
    </row>
    <row r="399">
      <c r="A399" s="1044"/>
      <c r="B399" s="1045"/>
      <c r="C399" s="1041"/>
      <c r="D399" s="1045"/>
      <c r="E399" s="1041"/>
      <c r="F399" s="1041"/>
      <c r="G399" s="28"/>
      <c r="H399" s="28"/>
      <c r="I399" s="28"/>
      <c r="J399" s="28"/>
      <c r="K399" s="28"/>
      <c r="L399" s="28"/>
      <c r="M399" s="28"/>
      <c r="N399" s="28"/>
      <c r="O399" s="28"/>
      <c r="P399" s="28"/>
      <c r="Q399" s="28"/>
      <c r="R399" s="28"/>
      <c r="S399" s="28"/>
      <c r="T399" s="28"/>
      <c r="U399" s="28"/>
      <c r="V399" s="28"/>
      <c r="W399" s="28"/>
      <c r="X399" s="28"/>
      <c r="Y399" s="28"/>
      <c r="Z399" s="28"/>
    </row>
    <row r="400">
      <c r="A400" s="1044"/>
      <c r="B400" s="1045"/>
      <c r="C400" s="1041"/>
      <c r="D400" s="1045"/>
      <c r="E400" s="1041"/>
      <c r="F400" s="1041"/>
      <c r="G400" s="28"/>
      <c r="H400" s="28"/>
      <c r="I400" s="28"/>
      <c r="J400" s="28"/>
      <c r="K400" s="28"/>
      <c r="L400" s="28"/>
      <c r="M400" s="28"/>
      <c r="N400" s="28"/>
      <c r="O400" s="28"/>
      <c r="P400" s="28"/>
      <c r="Q400" s="28"/>
      <c r="R400" s="28"/>
      <c r="S400" s="28"/>
      <c r="T400" s="28"/>
      <c r="U400" s="28"/>
      <c r="V400" s="28"/>
      <c r="W400" s="28"/>
      <c r="X400" s="28"/>
      <c r="Y400" s="28"/>
      <c r="Z400" s="28"/>
    </row>
    <row r="401">
      <c r="A401" s="1044"/>
      <c r="B401" s="1045"/>
      <c r="C401" s="1041"/>
      <c r="D401" s="1045"/>
      <c r="E401" s="1041"/>
      <c r="F401" s="1041"/>
      <c r="G401" s="28"/>
      <c r="H401" s="28"/>
      <c r="I401" s="28"/>
      <c r="J401" s="28"/>
      <c r="K401" s="28"/>
      <c r="L401" s="28"/>
      <c r="M401" s="28"/>
      <c r="N401" s="28"/>
      <c r="O401" s="28"/>
      <c r="P401" s="28"/>
      <c r="Q401" s="28"/>
      <c r="R401" s="28"/>
      <c r="S401" s="28"/>
      <c r="T401" s="28"/>
      <c r="U401" s="28"/>
      <c r="V401" s="28"/>
      <c r="W401" s="28"/>
      <c r="X401" s="28"/>
      <c r="Y401" s="28"/>
      <c r="Z401" s="28"/>
    </row>
    <row r="402">
      <c r="A402" s="1044"/>
      <c r="B402" s="1045"/>
      <c r="C402" s="1041"/>
      <c r="D402" s="1045"/>
      <c r="E402" s="1041"/>
      <c r="F402" s="1041"/>
      <c r="G402" s="28"/>
      <c r="H402" s="28"/>
      <c r="I402" s="28"/>
      <c r="J402" s="28"/>
      <c r="K402" s="28"/>
      <c r="L402" s="28"/>
      <c r="M402" s="28"/>
      <c r="N402" s="28"/>
      <c r="O402" s="28"/>
      <c r="P402" s="28"/>
      <c r="Q402" s="28"/>
      <c r="R402" s="28"/>
      <c r="S402" s="28"/>
      <c r="T402" s="28"/>
      <c r="U402" s="28"/>
      <c r="V402" s="28"/>
      <c r="W402" s="28"/>
      <c r="X402" s="28"/>
      <c r="Y402" s="28"/>
      <c r="Z402" s="28"/>
    </row>
    <row r="403">
      <c r="A403" s="1044"/>
      <c r="B403" s="1045"/>
      <c r="C403" s="1041"/>
      <c r="D403" s="1045"/>
      <c r="E403" s="1041"/>
      <c r="F403" s="1041"/>
      <c r="G403" s="28"/>
      <c r="H403" s="28"/>
      <c r="I403" s="28"/>
      <c r="J403" s="28"/>
      <c r="K403" s="28"/>
      <c r="L403" s="28"/>
      <c r="M403" s="28"/>
      <c r="N403" s="28"/>
      <c r="O403" s="28"/>
      <c r="P403" s="28"/>
      <c r="Q403" s="28"/>
      <c r="R403" s="28"/>
      <c r="S403" s="28"/>
      <c r="T403" s="28"/>
      <c r="U403" s="28"/>
      <c r="V403" s="28"/>
      <c r="W403" s="28"/>
      <c r="X403" s="28"/>
      <c r="Y403" s="28"/>
      <c r="Z403" s="28"/>
    </row>
    <row r="404">
      <c r="A404" s="1044"/>
      <c r="B404" s="1045"/>
      <c r="C404" s="1041"/>
      <c r="D404" s="1045"/>
      <c r="E404" s="1041"/>
      <c r="F404" s="1041"/>
      <c r="G404" s="28"/>
      <c r="H404" s="28"/>
      <c r="I404" s="28"/>
      <c r="J404" s="28"/>
      <c r="K404" s="28"/>
      <c r="L404" s="28"/>
      <c r="M404" s="28"/>
      <c r="N404" s="28"/>
      <c r="O404" s="28"/>
      <c r="P404" s="28"/>
      <c r="Q404" s="28"/>
      <c r="R404" s="28"/>
      <c r="S404" s="28"/>
      <c r="T404" s="28"/>
      <c r="U404" s="28"/>
      <c r="V404" s="28"/>
      <c r="W404" s="28"/>
      <c r="X404" s="28"/>
      <c r="Y404" s="28"/>
      <c r="Z404" s="28"/>
    </row>
    <row r="405">
      <c r="A405" s="1044"/>
      <c r="B405" s="1045"/>
      <c r="C405" s="1041"/>
      <c r="D405" s="1045"/>
      <c r="E405" s="1041"/>
      <c r="F405" s="1041"/>
      <c r="G405" s="28"/>
      <c r="H405" s="28"/>
      <c r="I405" s="28"/>
      <c r="J405" s="28"/>
      <c r="K405" s="28"/>
      <c r="L405" s="28"/>
      <c r="M405" s="28"/>
      <c r="N405" s="28"/>
      <c r="O405" s="28"/>
      <c r="P405" s="28"/>
      <c r="Q405" s="28"/>
      <c r="R405" s="28"/>
      <c r="S405" s="28"/>
      <c r="T405" s="28"/>
      <c r="U405" s="28"/>
      <c r="V405" s="28"/>
      <c r="W405" s="28"/>
      <c r="X405" s="28"/>
      <c r="Y405" s="28"/>
      <c r="Z405" s="28"/>
    </row>
    <row r="406">
      <c r="A406" s="1044"/>
      <c r="B406" s="1045"/>
      <c r="C406" s="1041"/>
      <c r="D406" s="1045"/>
      <c r="E406" s="1041"/>
      <c r="F406" s="1041"/>
      <c r="G406" s="28"/>
      <c r="H406" s="28"/>
      <c r="I406" s="28"/>
      <c r="J406" s="28"/>
      <c r="K406" s="28"/>
      <c r="L406" s="28"/>
      <c r="M406" s="28"/>
      <c r="N406" s="28"/>
      <c r="O406" s="28"/>
      <c r="P406" s="28"/>
      <c r="Q406" s="28"/>
      <c r="R406" s="28"/>
      <c r="S406" s="28"/>
      <c r="T406" s="28"/>
      <c r="U406" s="28"/>
      <c r="V406" s="28"/>
      <c r="W406" s="28"/>
      <c r="X406" s="28"/>
      <c r="Y406" s="28"/>
      <c r="Z406" s="28"/>
    </row>
    <row r="407">
      <c r="A407" s="1044"/>
      <c r="B407" s="1045"/>
      <c r="C407" s="1041"/>
      <c r="D407" s="1045"/>
      <c r="E407" s="1041"/>
      <c r="F407" s="1041"/>
      <c r="G407" s="28"/>
      <c r="H407" s="28"/>
      <c r="I407" s="28"/>
      <c r="J407" s="28"/>
      <c r="K407" s="28"/>
      <c r="L407" s="28"/>
      <c r="M407" s="28"/>
      <c r="N407" s="28"/>
      <c r="O407" s="28"/>
      <c r="P407" s="28"/>
      <c r="Q407" s="28"/>
      <c r="R407" s="28"/>
      <c r="S407" s="28"/>
      <c r="T407" s="28"/>
      <c r="U407" s="28"/>
      <c r="V407" s="28"/>
      <c r="W407" s="28"/>
      <c r="X407" s="28"/>
      <c r="Y407" s="28"/>
      <c r="Z407" s="28"/>
    </row>
    <row r="408">
      <c r="A408" s="1044"/>
      <c r="B408" s="1045"/>
      <c r="C408" s="1041"/>
      <c r="D408" s="1045"/>
      <c r="E408" s="1041"/>
      <c r="F408" s="1041"/>
      <c r="G408" s="28"/>
      <c r="H408" s="28"/>
      <c r="I408" s="28"/>
      <c r="J408" s="28"/>
      <c r="K408" s="28"/>
      <c r="L408" s="28"/>
      <c r="M408" s="28"/>
      <c r="N408" s="28"/>
      <c r="O408" s="28"/>
      <c r="P408" s="28"/>
      <c r="Q408" s="28"/>
      <c r="R408" s="28"/>
      <c r="S408" s="28"/>
      <c r="T408" s="28"/>
      <c r="U408" s="28"/>
      <c r="V408" s="28"/>
      <c r="W408" s="28"/>
      <c r="X408" s="28"/>
      <c r="Y408" s="28"/>
      <c r="Z408" s="28"/>
    </row>
    <row r="409">
      <c r="A409" s="1044"/>
      <c r="B409" s="1045"/>
      <c r="C409" s="1041"/>
      <c r="D409" s="1045"/>
      <c r="E409" s="1041"/>
      <c r="F409" s="1041"/>
      <c r="G409" s="28"/>
      <c r="H409" s="28"/>
      <c r="I409" s="28"/>
      <c r="J409" s="28"/>
      <c r="K409" s="28"/>
      <c r="L409" s="28"/>
      <c r="M409" s="28"/>
      <c r="N409" s="28"/>
      <c r="O409" s="28"/>
      <c r="P409" s="28"/>
      <c r="Q409" s="28"/>
      <c r="R409" s="28"/>
      <c r="S409" s="28"/>
      <c r="T409" s="28"/>
      <c r="U409" s="28"/>
      <c r="V409" s="28"/>
      <c r="W409" s="28"/>
      <c r="X409" s="28"/>
      <c r="Y409" s="28"/>
      <c r="Z409" s="28"/>
    </row>
    <row r="410">
      <c r="A410" s="1044"/>
      <c r="B410" s="1045"/>
      <c r="C410" s="1041"/>
      <c r="D410" s="1045"/>
      <c r="E410" s="1041"/>
      <c r="F410" s="1041"/>
      <c r="G410" s="28"/>
      <c r="H410" s="28"/>
      <c r="I410" s="28"/>
      <c r="J410" s="28"/>
      <c r="K410" s="28"/>
      <c r="L410" s="28"/>
      <c r="M410" s="28"/>
      <c r="N410" s="28"/>
      <c r="O410" s="28"/>
      <c r="P410" s="28"/>
      <c r="Q410" s="28"/>
      <c r="R410" s="28"/>
      <c r="S410" s="28"/>
      <c r="T410" s="28"/>
      <c r="U410" s="28"/>
      <c r="V410" s="28"/>
      <c r="W410" s="28"/>
      <c r="X410" s="28"/>
      <c r="Y410" s="28"/>
      <c r="Z410" s="28"/>
    </row>
    <row r="411">
      <c r="A411" s="1044"/>
      <c r="B411" s="1045"/>
      <c r="C411" s="1041"/>
      <c r="D411" s="1045"/>
      <c r="E411" s="1041"/>
      <c r="F411" s="1041"/>
      <c r="G411" s="28"/>
      <c r="H411" s="28"/>
      <c r="I411" s="28"/>
      <c r="J411" s="28"/>
      <c r="K411" s="28"/>
      <c r="L411" s="28"/>
      <c r="M411" s="28"/>
      <c r="N411" s="28"/>
      <c r="O411" s="28"/>
      <c r="P411" s="28"/>
      <c r="Q411" s="28"/>
      <c r="R411" s="28"/>
      <c r="S411" s="28"/>
      <c r="T411" s="28"/>
      <c r="U411" s="28"/>
      <c r="V411" s="28"/>
      <c r="W411" s="28"/>
      <c r="X411" s="28"/>
      <c r="Y411" s="28"/>
      <c r="Z411" s="28"/>
    </row>
    <row r="412">
      <c r="A412" s="1044"/>
      <c r="B412" s="1045"/>
      <c r="C412" s="1041"/>
      <c r="D412" s="1045"/>
      <c r="E412" s="1041"/>
      <c r="F412" s="1041"/>
      <c r="G412" s="28"/>
      <c r="H412" s="28"/>
      <c r="I412" s="28"/>
      <c r="J412" s="28"/>
      <c r="K412" s="28"/>
      <c r="L412" s="28"/>
      <c r="M412" s="28"/>
      <c r="N412" s="28"/>
      <c r="O412" s="28"/>
      <c r="P412" s="28"/>
      <c r="Q412" s="28"/>
      <c r="R412" s="28"/>
      <c r="S412" s="28"/>
      <c r="T412" s="28"/>
      <c r="U412" s="28"/>
      <c r="V412" s="28"/>
      <c r="W412" s="28"/>
      <c r="X412" s="28"/>
      <c r="Y412" s="28"/>
      <c r="Z412" s="28"/>
    </row>
    <row r="413">
      <c r="A413" s="1044"/>
      <c r="B413" s="1045"/>
      <c r="C413" s="1041"/>
      <c r="D413" s="1045"/>
      <c r="E413" s="1041"/>
      <c r="F413" s="1041"/>
      <c r="G413" s="28"/>
      <c r="H413" s="28"/>
      <c r="I413" s="28"/>
      <c r="J413" s="28"/>
      <c r="K413" s="28"/>
      <c r="L413" s="28"/>
      <c r="M413" s="28"/>
      <c r="N413" s="28"/>
      <c r="O413" s="28"/>
      <c r="P413" s="28"/>
      <c r="Q413" s="28"/>
      <c r="R413" s="28"/>
      <c r="S413" s="28"/>
      <c r="T413" s="28"/>
      <c r="U413" s="28"/>
      <c r="V413" s="28"/>
      <c r="W413" s="28"/>
      <c r="X413" s="28"/>
      <c r="Y413" s="28"/>
      <c r="Z413" s="28"/>
    </row>
    <row r="414">
      <c r="A414" s="1044"/>
      <c r="B414" s="1045"/>
      <c r="C414" s="1041"/>
      <c r="D414" s="1045"/>
      <c r="E414" s="1041"/>
      <c r="F414" s="1041"/>
      <c r="G414" s="28"/>
      <c r="H414" s="28"/>
      <c r="I414" s="28"/>
      <c r="J414" s="28"/>
      <c r="K414" s="28"/>
      <c r="L414" s="28"/>
      <c r="M414" s="28"/>
      <c r="N414" s="28"/>
      <c r="O414" s="28"/>
      <c r="P414" s="28"/>
      <c r="Q414" s="28"/>
      <c r="R414" s="28"/>
      <c r="S414" s="28"/>
      <c r="T414" s="28"/>
      <c r="U414" s="28"/>
      <c r="V414" s="28"/>
      <c r="W414" s="28"/>
      <c r="X414" s="28"/>
      <c r="Y414" s="28"/>
      <c r="Z414" s="28"/>
    </row>
    <row r="415">
      <c r="A415" s="1044"/>
      <c r="B415" s="1045"/>
      <c r="C415" s="1041"/>
      <c r="D415" s="1045"/>
      <c r="E415" s="1041"/>
      <c r="F415" s="1041"/>
      <c r="G415" s="28"/>
      <c r="H415" s="28"/>
      <c r="I415" s="28"/>
      <c r="J415" s="28"/>
      <c r="K415" s="28"/>
      <c r="L415" s="28"/>
      <c r="M415" s="28"/>
      <c r="N415" s="28"/>
      <c r="O415" s="28"/>
      <c r="P415" s="28"/>
      <c r="Q415" s="28"/>
      <c r="R415" s="28"/>
      <c r="S415" s="28"/>
      <c r="T415" s="28"/>
      <c r="U415" s="28"/>
      <c r="V415" s="28"/>
      <c r="W415" s="28"/>
      <c r="X415" s="28"/>
      <c r="Y415" s="28"/>
      <c r="Z415" s="28"/>
    </row>
    <row r="416">
      <c r="A416" s="1044"/>
      <c r="B416" s="1045"/>
      <c r="C416" s="1041"/>
      <c r="D416" s="1045"/>
      <c r="E416" s="1041"/>
      <c r="F416" s="1041"/>
      <c r="G416" s="28"/>
      <c r="H416" s="28"/>
      <c r="I416" s="28"/>
      <c r="J416" s="28"/>
      <c r="K416" s="28"/>
      <c r="L416" s="28"/>
      <c r="M416" s="28"/>
      <c r="N416" s="28"/>
      <c r="O416" s="28"/>
      <c r="P416" s="28"/>
      <c r="Q416" s="28"/>
      <c r="R416" s="28"/>
      <c r="S416" s="28"/>
      <c r="T416" s="28"/>
      <c r="U416" s="28"/>
      <c r="V416" s="28"/>
      <c r="W416" s="28"/>
      <c r="X416" s="28"/>
      <c r="Y416" s="28"/>
      <c r="Z416" s="28"/>
    </row>
    <row r="417">
      <c r="A417" s="1044"/>
      <c r="B417" s="1045"/>
      <c r="C417" s="1041"/>
      <c r="D417" s="1045"/>
      <c r="E417" s="1041"/>
      <c r="F417" s="1041"/>
      <c r="G417" s="28"/>
      <c r="H417" s="28"/>
      <c r="I417" s="28"/>
      <c r="J417" s="28"/>
      <c r="K417" s="28"/>
      <c r="L417" s="28"/>
      <c r="M417" s="28"/>
      <c r="N417" s="28"/>
      <c r="O417" s="28"/>
      <c r="P417" s="28"/>
      <c r="Q417" s="28"/>
      <c r="R417" s="28"/>
      <c r="S417" s="28"/>
      <c r="T417" s="28"/>
      <c r="U417" s="28"/>
      <c r="V417" s="28"/>
      <c r="W417" s="28"/>
      <c r="X417" s="28"/>
      <c r="Y417" s="28"/>
      <c r="Z417" s="28"/>
    </row>
    <row r="418">
      <c r="A418" s="1044"/>
      <c r="B418" s="1045"/>
      <c r="C418" s="1041"/>
      <c r="D418" s="1045"/>
      <c r="E418" s="1041"/>
      <c r="F418" s="1041"/>
      <c r="G418" s="28"/>
      <c r="H418" s="28"/>
      <c r="I418" s="28"/>
      <c r="J418" s="28"/>
      <c r="K418" s="28"/>
      <c r="L418" s="28"/>
      <c r="M418" s="28"/>
      <c r="N418" s="28"/>
      <c r="O418" s="28"/>
      <c r="P418" s="28"/>
      <c r="Q418" s="28"/>
      <c r="R418" s="28"/>
      <c r="S418" s="28"/>
      <c r="T418" s="28"/>
      <c r="U418" s="28"/>
      <c r="V418" s="28"/>
      <c r="W418" s="28"/>
      <c r="X418" s="28"/>
      <c r="Y418" s="28"/>
      <c r="Z418" s="28"/>
    </row>
    <row r="419">
      <c r="A419" s="1044"/>
      <c r="B419" s="1045"/>
      <c r="C419" s="1041"/>
      <c r="D419" s="1045"/>
      <c r="E419" s="1041"/>
      <c r="F419" s="1041"/>
      <c r="G419" s="28"/>
      <c r="H419" s="28"/>
      <c r="I419" s="28"/>
      <c r="J419" s="28"/>
      <c r="K419" s="28"/>
      <c r="L419" s="28"/>
      <c r="M419" s="28"/>
      <c r="N419" s="28"/>
      <c r="O419" s="28"/>
      <c r="P419" s="28"/>
      <c r="Q419" s="28"/>
      <c r="R419" s="28"/>
      <c r="S419" s="28"/>
      <c r="T419" s="28"/>
      <c r="U419" s="28"/>
      <c r="V419" s="28"/>
      <c r="W419" s="28"/>
      <c r="X419" s="28"/>
      <c r="Y419" s="28"/>
      <c r="Z419" s="28"/>
    </row>
    <row r="420">
      <c r="A420" s="1044"/>
      <c r="B420" s="1045"/>
      <c r="C420" s="1041"/>
      <c r="D420" s="1045"/>
      <c r="E420" s="1041"/>
      <c r="F420" s="1041"/>
      <c r="G420" s="28"/>
      <c r="H420" s="28"/>
      <c r="I420" s="28"/>
      <c r="J420" s="28"/>
      <c r="K420" s="28"/>
      <c r="L420" s="28"/>
      <c r="M420" s="28"/>
      <c r="N420" s="28"/>
      <c r="O420" s="28"/>
      <c r="P420" s="28"/>
      <c r="Q420" s="28"/>
      <c r="R420" s="28"/>
      <c r="S420" s="28"/>
      <c r="T420" s="28"/>
      <c r="U420" s="28"/>
      <c r="V420" s="28"/>
      <c r="W420" s="28"/>
      <c r="X420" s="28"/>
      <c r="Y420" s="28"/>
      <c r="Z420" s="28"/>
    </row>
    <row r="421">
      <c r="A421" s="1044"/>
      <c r="B421" s="1045"/>
      <c r="C421" s="1041"/>
      <c r="D421" s="1045"/>
      <c r="E421" s="1041"/>
      <c r="F421" s="1041"/>
      <c r="G421" s="28"/>
      <c r="H421" s="28"/>
      <c r="I421" s="28"/>
      <c r="J421" s="28"/>
      <c r="K421" s="28"/>
      <c r="L421" s="28"/>
      <c r="M421" s="28"/>
      <c r="N421" s="28"/>
      <c r="O421" s="28"/>
      <c r="P421" s="28"/>
      <c r="Q421" s="28"/>
      <c r="R421" s="28"/>
      <c r="S421" s="28"/>
      <c r="T421" s="28"/>
      <c r="U421" s="28"/>
      <c r="V421" s="28"/>
      <c r="W421" s="28"/>
      <c r="X421" s="28"/>
      <c r="Y421" s="28"/>
      <c r="Z421" s="28"/>
    </row>
    <row r="422">
      <c r="A422" s="1044"/>
      <c r="B422" s="1045"/>
      <c r="C422" s="1041"/>
      <c r="D422" s="1045"/>
      <c r="E422" s="1041"/>
      <c r="F422" s="1041"/>
      <c r="G422" s="28"/>
      <c r="H422" s="28"/>
      <c r="I422" s="28"/>
      <c r="J422" s="28"/>
      <c r="K422" s="28"/>
      <c r="L422" s="28"/>
      <c r="M422" s="28"/>
      <c r="N422" s="28"/>
      <c r="O422" s="28"/>
      <c r="P422" s="28"/>
      <c r="Q422" s="28"/>
      <c r="R422" s="28"/>
      <c r="S422" s="28"/>
      <c r="T422" s="28"/>
      <c r="U422" s="28"/>
      <c r="V422" s="28"/>
      <c r="W422" s="28"/>
      <c r="X422" s="28"/>
      <c r="Y422" s="28"/>
      <c r="Z422" s="28"/>
    </row>
    <row r="423">
      <c r="A423" s="1044"/>
      <c r="B423" s="1045"/>
      <c r="C423" s="1041"/>
      <c r="D423" s="1045"/>
      <c r="E423" s="1041"/>
      <c r="F423" s="1041"/>
      <c r="G423" s="28"/>
      <c r="H423" s="28"/>
      <c r="I423" s="28"/>
      <c r="J423" s="28"/>
      <c r="K423" s="28"/>
      <c r="L423" s="28"/>
      <c r="M423" s="28"/>
      <c r="N423" s="28"/>
      <c r="O423" s="28"/>
      <c r="P423" s="28"/>
      <c r="Q423" s="28"/>
      <c r="R423" s="28"/>
      <c r="S423" s="28"/>
      <c r="T423" s="28"/>
      <c r="U423" s="28"/>
      <c r="V423" s="28"/>
      <c r="W423" s="28"/>
      <c r="X423" s="28"/>
      <c r="Y423" s="28"/>
      <c r="Z423" s="28"/>
    </row>
    <row r="424">
      <c r="A424" s="1044"/>
      <c r="B424" s="1045"/>
      <c r="C424" s="1041"/>
      <c r="D424" s="1045"/>
      <c r="E424" s="1041"/>
      <c r="F424" s="1041"/>
      <c r="G424" s="28"/>
      <c r="H424" s="28"/>
      <c r="I424" s="28"/>
      <c r="J424" s="28"/>
      <c r="K424" s="28"/>
      <c r="L424" s="28"/>
      <c r="M424" s="28"/>
      <c r="N424" s="28"/>
      <c r="O424" s="28"/>
      <c r="P424" s="28"/>
      <c r="Q424" s="28"/>
      <c r="R424" s="28"/>
      <c r="S424" s="28"/>
      <c r="T424" s="28"/>
      <c r="U424" s="28"/>
      <c r="V424" s="28"/>
      <c r="W424" s="28"/>
      <c r="X424" s="28"/>
      <c r="Y424" s="28"/>
      <c r="Z424" s="28"/>
    </row>
    <row r="425">
      <c r="A425" s="1044"/>
      <c r="B425" s="1045"/>
      <c r="C425" s="1041"/>
      <c r="D425" s="1045"/>
      <c r="E425" s="1041"/>
      <c r="F425" s="1041"/>
      <c r="G425" s="28"/>
      <c r="H425" s="28"/>
      <c r="I425" s="28"/>
      <c r="J425" s="28"/>
      <c r="K425" s="28"/>
      <c r="L425" s="28"/>
      <c r="M425" s="28"/>
      <c r="N425" s="28"/>
      <c r="O425" s="28"/>
      <c r="P425" s="28"/>
      <c r="Q425" s="28"/>
      <c r="R425" s="28"/>
      <c r="S425" s="28"/>
      <c r="T425" s="28"/>
      <c r="U425" s="28"/>
      <c r="V425" s="28"/>
      <c r="W425" s="28"/>
      <c r="X425" s="28"/>
      <c r="Y425" s="28"/>
      <c r="Z425" s="28"/>
    </row>
    <row r="426">
      <c r="A426" s="1044"/>
      <c r="B426" s="1045"/>
      <c r="C426" s="1041"/>
      <c r="D426" s="1045"/>
      <c r="E426" s="1041"/>
      <c r="F426" s="1041"/>
      <c r="G426" s="28"/>
      <c r="H426" s="28"/>
      <c r="I426" s="28"/>
      <c r="J426" s="28"/>
      <c r="K426" s="28"/>
      <c r="L426" s="28"/>
      <c r="M426" s="28"/>
      <c r="N426" s="28"/>
      <c r="O426" s="28"/>
      <c r="P426" s="28"/>
      <c r="Q426" s="28"/>
      <c r="R426" s="28"/>
      <c r="S426" s="28"/>
      <c r="T426" s="28"/>
      <c r="U426" s="28"/>
      <c r="V426" s="28"/>
      <c r="W426" s="28"/>
      <c r="X426" s="28"/>
      <c r="Y426" s="28"/>
      <c r="Z426" s="28"/>
    </row>
    <row r="427">
      <c r="A427" s="1044"/>
      <c r="B427" s="1045"/>
      <c r="C427" s="1041"/>
      <c r="D427" s="1045"/>
      <c r="E427" s="1041"/>
      <c r="F427" s="1041"/>
      <c r="G427" s="28"/>
      <c r="H427" s="28"/>
      <c r="I427" s="28"/>
      <c r="J427" s="28"/>
      <c r="K427" s="28"/>
      <c r="L427" s="28"/>
      <c r="M427" s="28"/>
      <c r="N427" s="28"/>
      <c r="O427" s="28"/>
      <c r="P427" s="28"/>
      <c r="Q427" s="28"/>
      <c r="R427" s="28"/>
      <c r="S427" s="28"/>
      <c r="T427" s="28"/>
      <c r="U427" s="28"/>
      <c r="V427" s="28"/>
      <c r="W427" s="28"/>
      <c r="X427" s="28"/>
      <c r="Y427" s="28"/>
      <c r="Z427" s="28"/>
    </row>
    <row r="428">
      <c r="A428" s="1044"/>
      <c r="B428" s="1045"/>
      <c r="C428" s="1041"/>
      <c r="D428" s="1045"/>
      <c r="E428" s="1041"/>
      <c r="F428" s="1041"/>
      <c r="G428" s="28"/>
      <c r="H428" s="28"/>
      <c r="I428" s="28"/>
      <c r="J428" s="28"/>
      <c r="K428" s="28"/>
      <c r="L428" s="28"/>
      <c r="M428" s="28"/>
      <c r="N428" s="28"/>
      <c r="O428" s="28"/>
      <c r="P428" s="28"/>
      <c r="Q428" s="28"/>
      <c r="R428" s="28"/>
      <c r="S428" s="28"/>
      <c r="T428" s="28"/>
      <c r="U428" s="28"/>
      <c r="V428" s="28"/>
      <c r="W428" s="28"/>
      <c r="X428" s="28"/>
      <c r="Y428" s="28"/>
      <c r="Z428" s="28"/>
    </row>
    <row r="429">
      <c r="A429" s="1044"/>
      <c r="B429" s="1045"/>
      <c r="C429" s="1041"/>
      <c r="D429" s="1045"/>
      <c r="E429" s="1041"/>
      <c r="F429" s="1041"/>
      <c r="G429" s="28"/>
      <c r="H429" s="28"/>
      <c r="I429" s="28"/>
      <c r="J429" s="28"/>
      <c r="K429" s="28"/>
      <c r="L429" s="28"/>
      <c r="M429" s="28"/>
      <c r="N429" s="28"/>
      <c r="O429" s="28"/>
      <c r="P429" s="28"/>
      <c r="Q429" s="28"/>
      <c r="R429" s="28"/>
      <c r="S429" s="28"/>
      <c r="T429" s="28"/>
      <c r="U429" s="28"/>
      <c r="V429" s="28"/>
      <c r="W429" s="28"/>
      <c r="X429" s="28"/>
      <c r="Y429" s="28"/>
      <c r="Z429" s="28"/>
    </row>
    <row r="430">
      <c r="A430" s="1044"/>
      <c r="B430" s="1045"/>
      <c r="C430" s="1041"/>
      <c r="D430" s="1045"/>
      <c r="E430" s="1041"/>
      <c r="F430" s="1041"/>
      <c r="G430" s="28"/>
      <c r="H430" s="28"/>
      <c r="I430" s="28"/>
      <c r="J430" s="28"/>
      <c r="K430" s="28"/>
      <c r="L430" s="28"/>
      <c r="M430" s="28"/>
      <c r="N430" s="28"/>
      <c r="O430" s="28"/>
      <c r="P430" s="28"/>
      <c r="Q430" s="28"/>
      <c r="R430" s="28"/>
      <c r="S430" s="28"/>
      <c r="T430" s="28"/>
      <c r="U430" s="28"/>
      <c r="V430" s="28"/>
      <c r="W430" s="28"/>
      <c r="X430" s="28"/>
      <c r="Y430" s="28"/>
      <c r="Z430" s="28"/>
    </row>
    <row r="431">
      <c r="A431" s="1044"/>
      <c r="B431" s="1045"/>
      <c r="C431" s="1041"/>
      <c r="D431" s="1045"/>
      <c r="E431" s="1041"/>
      <c r="F431" s="1041"/>
      <c r="G431" s="28"/>
      <c r="H431" s="28"/>
      <c r="I431" s="28"/>
      <c r="J431" s="28"/>
      <c r="K431" s="28"/>
      <c r="L431" s="28"/>
      <c r="M431" s="28"/>
      <c r="N431" s="28"/>
      <c r="O431" s="28"/>
      <c r="P431" s="28"/>
      <c r="Q431" s="28"/>
      <c r="R431" s="28"/>
      <c r="S431" s="28"/>
      <c r="T431" s="28"/>
      <c r="U431" s="28"/>
      <c r="V431" s="28"/>
      <c r="W431" s="28"/>
      <c r="X431" s="28"/>
      <c r="Y431" s="28"/>
      <c r="Z431" s="28"/>
    </row>
    <row r="432">
      <c r="A432" s="1044"/>
      <c r="B432" s="1045"/>
      <c r="C432" s="1041"/>
      <c r="D432" s="1045"/>
      <c r="E432" s="1041"/>
      <c r="F432" s="1041"/>
      <c r="G432" s="28"/>
      <c r="H432" s="28"/>
      <c r="I432" s="28"/>
      <c r="J432" s="28"/>
      <c r="K432" s="28"/>
      <c r="L432" s="28"/>
      <c r="M432" s="28"/>
      <c r="N432" s="28"/>
      <c r="O432" s="28"/>
      <c r="P432" s="28"/>
      <c r="Q432" s="28"/>
      <c r="R432" s="28"/>
      <c r="S432" s="28"/>
      <c r="T432" s="28"/>
      <c r="U432" s="28"/>
      <c r="V432" s="28"/>
      <c r="W432" s="28"/>
      <c r="X432" s="28"/>
      <c r="Y432" s="28"/>
      <c r="Z432" s="28"/>
    </row>
    <row r="433">
      <c r="A433" s="1044"/>
      <c r="B433" s="1045"/>
      <c r="C433" s="1041"/>
      <c r="D433" s="1045"/>
      <c r="E433" s="1041"/>
      <c r="F433" s="1041"/>
      <c r="G433" s="28"/>
      <c r="H433" s="28"/>
      <c r="I433" s="28"/>
      <c r="J433" s="28"/>
      <c r="K433" s="28"/>
      <c r="L433" s="28"/>
      <c r="M433" s="28"/>
      <c r="N433" s="28"/>
      <c r="O433" s="28"/>
      <c r="P433" s="28"/>
      <c r="Q433" s="28"/>
      <c r="R433" s="28"/>
      <c r="S433" s="28"/>
      <c r="T433" s="28"/>
      <c r="U433" s="28"/>
      <c r="V433" s="28"/>
      <c r="W433" s="28"/>
      <c r="X433" s="28"/>
      <c r="Y433" s="28"/>
      <c r="Z433" s="28"/>
    </row>
    <row r="434">
      <c r="A434" s="1044"/>
      <c r="B434" s="1045"/>
      <c r="C434" s="1041"/>
      <c r="D434" s="1045"/>
      <c r="E434" s="1041"/>
      <c r="F434" s="1041"/>
      <c r="G434" s="28"/>
      <c r="H434" s="28"/>
      <c r="I434" s="28"/>
      <c r="J434" s="28"/>
      <c r="K434" s="28"/>
      <c r="L434" s="28"/>
      <c r="M434" s="28"/>
      <c r="N434" s="28"/>
      <c r="O434" s="28"/>
      <c r="P434" s="28"/>
      <c r="Q434" s="28"/>
      <c r="R434" s="28"/>
      <c r="S434" s="28"/>
      <c r="T434" s="28"/>
      <c r="U434" s="28"/>
      <c r="V434" s="28"/>
      <c r="W434" s="28"/>
      <c r="X434" s="28"/>
      <c r="Y434" s="28"/>
      <c r="Z434" s="28"/>
    </row>
    <row r="435">
      <c r="A435" s="1044"/>
      <c r="B435" s="1045"/>
      <c r="C435" s="1041"/>
      <c r="D435" s="1045"/>
      <c r="E435" s="1041"/>
      <c r="F435" s="1041"/>
      <c r="G435" s="28"/>
      <c r="H435" s="28"/>
      <c r="I435" s="28"/>
      <c r="J435" s="28"/>
      <c r="K435" s="28"/>
      <c r="L435" s="28"/>
      <c r="M435" s="28"/>
      <c r="N435" s="28"/>
      <c r="O435" s="28"/>
      <c r="P435" s="28"/>
      <c r="Q435" s="28"/>
      <c r="R435" s="28"/>
      <c r="S435" s="28"/>
      <c r="T435" s="28"/>
      <c r="U435" s="28"/>
      <c r="V435" s="28"/>
      <c r="W435" s="28"/>
      <c r="X435" s="28"/>
      <c r="Y435" s="28"/>
      <c r="Z435" s="28"/>
    </row>
    <row r="436">
      <c r="A436" s="1044"/>
      <c r="B436" s="1045"/>
      <c r="C436" s="1041"/>
      <c r="D436" s="1045"/>
      <c r="E436" s="1041"/>
      <c r="F436" s="1041"/>
      <c r="G436" s="28"/>
      <c r="H436" s="28"/>
      <c r="I436" s="28"/>
      <c r="J436" s="28"/>
      <c r="K436" s="28"/>
      <c r="L436" s="28"/>
      <c r="M436" s="28"/>
      <c r="N436" s="28"/>
      <c r="O436" s="28"/>
      <c r="P436" s="28"/>
      <c r="Q436" s="28"/>
      <c r="R436" s="28"/>
      <c r="S436" s="28"/>
      <c r="T436" s="28"/>
      <c r="U436" s="28"/>
      <c r="V436" s="28"/>
      <c r="W436" s="28"/>
      <c r="X436" s="28"/>
      <c r="Y436" s="28"/>
      <c r="Z436" s="28"/>
    </row>
    <row r="437">
      <c r="A437" s="1044"/>
      <c r="B437" s="1045"/>
      <c r="C437" s="1041"/>
      <c r="D437" s="1045"/>
      <c r="E437" s="1041"/>
      <c r="F437" s="1041"/>
      <c r="G437" s="28"/>
      <c r="H437" s="28"/>
      <c r="I437" s="28"/>
      <c r="J437" s="28"/>
      <c r="K437" s="28"/>
      <c r="L437" s="28"/>
      <c r="M437" s="28"/>
      <c r="N437" s="28"/>
      <c r="O437" s="28"/>
      <c r="P437" s="28"/>
      <c r="Q437" s="28"/>
      <c r="R437" s="28"/>
      <c r="S437" s="28"/>
      <c r="T437" s="28"/>
      <c r="U437" s="28"/>
      <c r="V437" s="28"/>
      <c r="W437" s="28"/>
      <c r="X437" s="28"/>
      <c r="Y437" s="28"/>
      <c r="Z437" s="28"/>
    </row>
    <row r="438">
      <c r="A438" s="1044"/>
      <c r="B438" s="1045"/>
      <c r="C438" s="1041"/>
      <c r="D438" s="1045"/>
      <c r="E438" s="1041"/>
      <c r="F438" s="1041"/>
      <c r="G438" s="28"/>
      <c r="H438" s="28"/>
      <c r="I438" s="28"/>
      <c r="J438" s="28"/>
      <c r="K438" s="28"/>
      <c r="L438" s="28"/>
      <c r="M438" s="28"/>
      <c r="N438" s="28"/>
      <c r="O438" s="28"/>
      <c r="P438" s="28"/>
      <c r="Q438" s="28"/>
      <c r="R438" s="28"/>
      <c r="S438" s="28"/>
      <c r="T438" s="28"/>
      <c r="U438" s="28"/>
      <c r="V438" s="28"/>
      <c r="W438" s="28"/>
      <c r="X438" s="28"/>
      <c r="Y438" s="28"/>
      <c r="Z438" s="28"/>
    </row>
    <row r="439">
      <c r="A439" s="1044"/>
      <c r="B439" s="1045"/>
      <c r="C439" s="1041"/>
      <c r="D439" s="1045"/>
      <c r="E439" s="1041"/>
      <c r="F439" s="1041"/>
      <c r="G439" s="28"/>
      <c r="H439" s="28"/>
      <c r="I439" s="28"/>
      <c r="J439" s="28"/>
      <c r="K439" s="28"/>
      <c r="L439" s="28"/>
      <c r="M439" s="28"/>
      <c r="N439" s="28"/>
      <c r="O439" s="28"/>
      <c r="P439" s="28"/>
      <c r="Q439" s="28"/>
      <c r="R439" s="28"/>
      <c r="S439" s="28"/>
      <c r="T439" s="28"/>
      <c r="U439" s="28"/>
      <c r="V439" s="28"/>
      <c r="W439" s="28"/>
      <c r="X439" s="28"/>
      <c r="Y439" s="28"/>
      <c r="Z439" s="28"/>
    </row>
    <row r="440">
      <c r="A440" s="1044"/>
      <c r="B440" s="1045"/>
      <c r="C440" s="1041"/>
      <c r="D440" s="1045"/>
      <c r="E440" s="1041"/>
      <c r="F440" s="1041"/>
      <c r="G440" s="28"/>
      <c r="H440" s="28"/>
      <c r="I440" s="28"/>
      <c r="J440" s="28"/>
      <c r="K440" s="28"/>
      <c r="L440" s="28"/>
      <c r="M440" s="28"/>
      <c r="N440" s="28"/>
      <c r="O440" s="28"/>
      <c r="P440" s="28"/>
      <c r="Q440" s="28"/>
      <c r="R440" s="28"/>
      <c r="S440" s="28"/>
      <c r="T440" s="28"/>
      <c r="U440" s="28"/>
      <c r="V440" s="28"/>
      <c r="W440" s="28"/>
      <c r="X440" s="28"/>
      <c r="Y440" s="28"/>
      <c r="Z440" s="28"/>
    </row>
    <row r="441">
      <c r="A441" s="1044"/>
      <c r="B441" s="1045"/>
      <c r="C441" s="1041"/>
      <c r="D441" s="1045"/>
      <c r="E441" s="1041"/>
      <c r="F441" s="1041"/>
      <c r="G441" s="28"/>
      <c r="H441" s="28"/>
      <c r="I441" s="28"/>
      <c r="J441" s="28"/>
      <c r="K441" s="28"/>
      <c r="L441" s="28"/>
      <c r="M441" s="28"/>
      <c r="N441" s="28"/>
      <c r="O441" s="28"/>
      <c r="P441" s="28"/>
      <c r="Q441" s="28"/>
      <c r="R441" s="28"/>
      <c r="S441" s="28"/>
      <c r="T441" s="28"/>
      <c r="U441" s="28"/>
      <c r="V441" s="28"/>
      <c r="W441" s="28"/>
      <c r="X441" s="28"/>
      <c r="Y441" s="28"/>
      <c r="Z441" s="28"/>
    </row>
    <row r="442">
      <c r="A442" s="1044"/>
      <c r="B442" s="1045"/>
      <c r="C442" s="1041"/>
      <c r="D442" s="1045"/>
      <c r="E442" s="1041"/>
      <c r="F442" s="1041"/>
      <c r="G442" s="28"/>
      <c r="H442" s="28"/>
      <c r="I442" s="28"/>
      <c r="J442" s="28"/>
      <c r="K442" s="28"/>
      <c r="L442" s="28"/>
      <c r="M442" s="28"/>
      <c r="N442" s="28"/>
      <c r="O442" s="28"/>
      <c r="P442" s="28"/>
      <c r="Q442" s="28"/>
      <c r="R442" s="28"/>
      <c r="S442" s="28"/>
      <c r="T442" s="28"/>
      <c r="U442" s="28"/>
      <c r="V442" s="28"/>
      <c r="W442" s="28"/>
      <c r="X442" s="28"/>
      <c r="Y442" s="28"/>
      <c r="Z442" s="28"/>
    </row>
    <row r="443">
      <c r="A443" s="1044"/>
      <c r="B443" s="1045"/>
      <c r="C443" s="1041"/>
      <c r="D443" s="1045"/>
      <c r="E443" s="1041"/>
      <c r="F443" s="1041"/>
      <c r="G443" s="28"/>
      <c r="H443" s="28"/>
      <c r="I443" s="28"/>
      <c r="J443" s="28"/>
      <c r="K443" s="28"/>
      <c r="L443" s="28"/>
      <c r="M443" s="28"/>
      <c r="N443" s="28"/>
      <c r="O443" s="28"/>
      <c r="P443" s="28"/>
      <c r="Q443" s="28"/>
      <c r="R443" s="28"/>
      <c r="S443" s="28"/>
      <c r="T443" s="28"/>
      <c r="U443" s="28"/>
      <c r="V443" s="28"/>
      <c r="W443" s="28"/>
      <c r="X443" s="28"/>
      <c r="Y443" s="28"/>
      <c r="Z443" s="28"/>
    </row>
    <row r="444">
      <c r="A444" s="1044"/>
      <c r="B444" s="1045"/>
      <c r="C444" s="1041"/>
      <c r="D444" s="1045"/>
      <c r="E444" s="1041"/>
      <c r="F444" s="1041"/>
      <c r="G444" s="28"/>
      <c r="H444" s="28"/>
      <c r="I444" s="28"/>
      <c r="J444" s="28"/>
      <c r="K444" s="28"/>
      <c r="L444" s="28"/>
      <c r="M444" s="28"/>
      <c r="N444" s="28"/>
      <c r="O444" s="28"/>
      <c r="P444" s="28"/>
      <c r="Q444" s="28"/>
      <c r="R444" s="28"/>
      <c r="S444" s="28"/>
      <c r="T444" s="28"/>
      <c r="U444" s="28"/>
      <c r="V444" s="28"/>
      <c r="W444" s="28"/>
      <c r="X444" s="28"/>
      <c r="Y444" s="28"/>
      <c r="Z444" s="28"/>
    </row>
    <row r="445">
      <c r="A445" s="1044"/>
      <c r="B445" s="1045"/>
      <c r="C445" s="1041"/>
      <c r="D445" s="1045"/>
      <c r="E445" s="1041"/>
      <c r="F445" s="1041"/>
      <c r="G445" s="28"/>
      <c r="H445" s="28"/>
      <c r="I445" s="28"/>
      <c r="J445" s="28"/>
      <c r="K445" s="28"/>
      <c r="L445" s="28"/>
      <c r="M445" s="28"/>
      <c r="N445" s="28"/>
      <c r="O445" s="28"/>
      <c r="P445" s="28"/>
      <c r="Q445" s="28"/>
      <c r="R445" s="28"/>
      <c r="S445" s="28"/>
      <c r="T445" s="28"/>
      <c r="U445" s="28"/>
      <c r="V445" s="28"/>
      <c r="W445" s="28"/>
      <c r="X445" s="28"/>
      <c r="Y445" s="28"/>
      <c r="Z445" s="28"/>
    </row>
    <row r="446">
      <c r="A446" s="1044"/>
      <c r="B446" s="1045"/>
      <c r="C446" s="1041"/>
      <c r="D446" s="1045"/>
      <c r="E446" s="1041"/>
      <c r="F446" s="1041"/>
      <c r="G446" s="28"/>
      <c r="H446" s="28"/>
      <c r="I446" s="28"/>
      <c r="J446" s="28"/>
      <c r="K446" s="28"/>
      <c r="L446" s="28"/>
      <c r="M446" s="28"/>
      <c r="N446" s="28"/>
      <c r="O446" s="28"/>
      <c r="P446" s="28"/>
      <c r="Q446" s="28"/>
      <c r="R446" s="28"/>
      <c r="S446" s="28"/>
      <c r="T446" s="28"/>
      <c r="U446" s="28"/>
      <c r="V446" s="28"/>
      <c r="W446" s="28"/>
      <c r="X446" s="28"/>
      <c r="Y446" s="28"/>
      <c r="Z446" s="28"/>
    </row>
    <row r="447">
      <c r="A447" s="1044"/>
      <c r="B447" s="1045"/>
      <c r="C447" s="1041"/>
      <c r="D447" s="1045"/>
      <c r="E447" s="1041"/>
      <c r="F447" s="1041"/>
      <c r="G447" s="28"/>
      <c r="H447" s="28"/>
      <c r="I447" s="28"/>
      <c r="J447" s="28"/>
      <c r="K447" s="28"/>
      <c r="L447" s="28"/>
      <c r="M447" s="28"/>
      <c r="N447" s="28"/>
      <c r="O447" s="28"/>
      <c r="P447" s="28"/>
      <c r="Q447" s="28"/>
      <c r="R447" s="28"/>
      <c r="S447" s="28"/>
      <c r="T447" s="28"/>
      <c r="U447" s="28"/>
      <c r="V447" s="28"/>
      <c r="W447" s="28"/>
      <c r="X447" s="28"/>
      <c r="Y447" s="28"/>
      <c r="Z447" s="28"/>
    </row>
    <row r="448">
      <c r="A448" s="1044"/>
      <c r="B448" s="1045"/>
      <c r="C448" s="1041"/>
      <c r="D448" s="1045"/>
      <c r="E448" s="1041"/>
      <c r="F448" s="1041"/>
      <c r="G448" s="28"/>
      <c r="H448" s="28"/>
      <c r="I448" s="28"/>
      <c r="J448" s="28"/>
      <c r="K448" s="28"/>
      <c r="L448" s="28"/>
      <c r="M448" s="28"/>
      <c r="N448" s="28"/>
      <c r="O448" s="28"/>
      <c r="P448" s="28"/>
      <c r="Q448" s="28"/>
      <c r="R448" s="28"/>
      <c r="S448" s="28"/>
      <c r="T448" s="28"/>
      <c r="U448" s="28"/>
      <c r="V448" s="28"/>
      <c r="W448" s="28"/>
      <c r="X448" s="28"/>
      <c r="Y448" s="28"/>
      <c r="Z448" s="28"/>
    </row>
    <row r="449">
      <c r="A449" s="1044"/>
      <c r="B449" s="1045"/>
      <c r="C449" s="1041"/>
      <c r="D449" s="1045"/>
      <c r="E449" s="1041"/>
      <c r="F449" s="1041"/>
      <c r="G449" s="28"/>
      <c r="H449" s="28"/>
      <c r="I449" s="28"/>
      <c r="J449" s="28"/>
      <c r="K449" s="28"/>
      <c r="L449" s="28"/>
      <c r="M449" s="28"/>
      <c r="N449" s="28"/>
      <c r="O449" s="28"/>
      <c r="P449" s="28"/>
      <c r="Q449" s="28"/>
      <c r="R449" s="28"/>
      <c r="S449" s="28"/>
      <c r="T449" s="28"/>
      <c r="U449" s="28"/>
      <c r="V449" s="28"/>
      <c r="W449" s="28"/>
      <c r="X449" s="28"/>
      <c r="Y449" s="28"/>
      <c r="Z449" s="28"/>
    </row>
    <row r="450">
      <c r="A450" s="1044"/>
      <c r="B450" s="1045"/>
      <c r="C450" s="1041"/>
      <c r="D450" s="1045"/>
      <c r="E450" s="1041"/>
      <c r="F450" s="1041"/>
      <c r="G450" s="28"/>
      <c r="H450" s="28"/>
      <c r="I450" s="28"/>
      <c r="J450" s="28"/>
      <c r="K450" s="28"/>
      <c r="L450" s="28"/>
      <c r="M450" s="28"/>
      <c r="N450" s="28"/>
      <c r="O450" s="28"/>
      <c r="P450" s="28"/>
      <c r="Q450" s="28"/>
      <c r="R450" s="28"/>
      <c r="S450" s="28"/>
      <c r="T450" s="28"/>
      <c r="U450" s="28"/>
      <c r="V450" s="28"/>
      <c r="W450" s="28"/>
      <c r="X450" s="28"/>
      <c r="Y450" s="28"/>
      <c r="Z450" s="28"/>
    </row>
    <row r="451">
      <c r="A451" s="1044"/>
      <c r="B451" s="1045"/>
      <c r="C451" s="1041"/>
      <c r="D451" s="1045"/>
      <c r="E451" s="1041"/>
      <c r="F451" s="1041"/>
      <c r="G451" s="28"/>
      <c r="H451" s="28"/>
      <c r="I451" s="28"/>
      <c r="J451" s="28"/>
      <c r="K451" s="28"/>
      <c r="L451" s="28"/>
      <c r="M451" s="28"/>
      <c r="N451" s="28"/>
      <c r="O451" s="28"/>
      <c r="P451" s="28"/>
      <c r="Q451" s="28"/>
      <c r="R451" s="28"/>
      <c r="S451" s="28"/>
      <c r="T451" s="28"/>
      <c r="U451" s="28"/>
      <c r="V451" s="28"/>
      <c r="W451" s="28"/>
      <c r="X451" s="28"/>
      <c r="Y451" s="28"/>
      <c r="Z451" s="28"/>
    </row>
    <row r="452">
      <c r="A452" s="1044"/>
      <c r="B452" s="1045"/>
      <c r="C452" s="1041"/>
      <c r="D452" s="1045"/>
      <c r="E452" s="1041"/>
      <c r="F452" s="1041"/>
      <c r="G452" s="28"/>
      <c r="H452" s="28"/>
      <c r="I452" s="28"/>
      <c r="J452" s="28"/>
      <c r="K452" s="28"/>
      <c r="L452" s="28"/>
      <c r="M452" s="28"/>
      <c r="N452" s="28"/>
      <c r="O452" s="28"/>
      <c r="P452" s="28"/>
      <c r="Q452" s="28"/>
      <c r="R452" s="28"/>
      <c r="S452" s="28"/>
      <c r="T452" s="28"/>
      <c r="U452" s="28"/>
      <c r="V452" s="28"/>
      <c r="W452" s="28"/>
      <c r="X452" s="28"/>
      <c r="Y452" s="28"/>
      <c r="Z452" s="28"/>
    </row>
    <row r="453">
      <c r="A453" s="1044"/>
      <c r="B453" s="1045"/>
      <c r="C453" s="1041"/>
      <c r="D453" s="1045"/>
      <c r="E453" s="1041"/>
      <c r="F453" s="1041"/>
      <c r="G453" s="28"/>
      <c r="H453" s="28"/>
      <c r="I453" s="28"/>
      <c r="J453" s="28"/>
      <c r="K453" s="28"/>
      <c r="L453" s="28"/>
      <c r="M453" s="28"/>
      <c r="N453" s="28"/>
      <c r="O453" s="28"/>
      <c r="P453" s="28"/>
      <c r="Q453" s="28"/>
      <c r="R453" s="28"/>
      <c r="S453" s="28"/>
      <c r="T453" s="28"/>
      <c r="U453" s="28"/>
      <c r="V453" s="28"/>
      <c r="W453" s="28"/>
      <c r="X453" s="28"/>
      <c r="Y453" s="28"/>
      <c r="Z453" s="28"/>
    </row>
    <row r="454">
      <c r="A454" s="1044"/>
      <c r="B454" s="1045"/>
      <c r="C454" s="1041"/>
      <c r="D454" s="1045"/>
      <c r="E454" s="1041"/>
      <c r="F454" s="1041"/>
      <c r="G454" s="28"/>
      <c r="H454" s="28"/>
      <c r="I454" s="28"/>
      <c r="J454" s="28"/>
      <c r="K454" s="28"/>
      <c r="L454" s="28"/>
      <c r="M454" s="28"/>
      <c r="N454" s="28"/>
      <c r="O454" s="28"/>
      <c r="P454" s="28"/>
      <c r="Q454" s="28"/>
      <c r="R454" s="28"/>
      <c r="S454" s="28"/>
      <c r="T454" s="28"/>
      <c r="U454" s="28"/>
      <c r="V454" s="28"/>
      <c r="W454" s="28"/>
      <c r="X454" s="28"/>
      <c r="Y454" s="28"/>
      <c r="Z454" s="28"/>
    </row>
    <row r="455">
      <c r="A455" s="1044"/>
      <c r="B455" s="1045"/>
      <c r="C455" s="1041"/>
      <c r="D455" s="1045"/>
      <c r="E455" s="1041"/>
      <c r="F455" s="1041"/>
      <c r="G455" s="28"/>
      <c r="H455" s="28"/>
      <c r="I455" s="28"/>
      <c r="J455" s="28"/>
      <c r="K455" s="28"/>
      <c r="L455" s="28"/>
      <c r="M455" s="28"/>
      <c r="N455" s="28"/>
      <c r="O455" s="28"/>
      <c r="P455" s="28"/>
      <c r="Q455" s="28"/>
      <c r="R455" s="28"/>
      <c r="S455" s="28"/>
      <c r="T455" s="28"/>
      <c r="U455" s="28"/>
      <c r="V455" s="28"/>
      <c r="W455" s="28"/>
      <c r="X455" s="28"/>
      <c r="Y455" s="28"/>
      <c r="Z455" s="28"/>
    </row>
    <row r="456">
      <c r="A456" s="1044"/>
      <c r="B456" s="1045"/>
      <c r="C456" s="1041"/>
      <c r="D456" s="1045"/>
      <c r="E456" s="1041"/>
      <c r="F456" s="1041"/>
      <c r="G456" s="28"/>
      <c r="H456" s="28"/>
      <c r="I456" s="28"/>
      <c r="J456" s="28"/>
      <c r="K456" s="28"/>
      <c r="L456" s="28"/>
      <c r="M456" s="28"/>
      <c r="N456" s="28"/>
      <c r="O456" s="28"/>
      <c r="P456" s="28"/>
      <c r="Q456" s="28"/>
      <c r="R456" s="28"/>
      <c r="S456" s="28"/>
      <c r="T456" s="28"/>
      <c r="U456" s="28"/>
      <c r="V456" s="28"/>
      <c r="W456" s="28"/>
      <c r="X456" s="28"/>
      <c r="Y456" s="28"/>
      <c r="Z456" s="28"/>
    </row>
    <row r="457">
      <c r="A457" s="1044"/>
      <c r="B457" s="1045"/>
      <c r="C457" s="1041"/>
      <c r="D457" s="1045"/>
      <c r="E457" s="1041"/>
      <c r="F457" s="1041"/>
      <c r="G457" s="28"/>
      <c r="H457" s="28"/>
      <c r="I457" s="28"/>
      <c r="J457" s="28"/>
      <c r="K457" s="28"/>
      <c r="L457" s="28"/>
      <c r="M457" s="28"/>
      <c r="N457" s="28"/>
      <c r="O457" s="28"/>
      <c r="P457" s="28"/>
      <c r="Q457" s="28"/>
      <c r="R457" s="28"/>
      <c r="S457" s="28"/>
      <c r="T457" s="28"/>
      <c r="U457" s="28"/>
      <c r="V457" s="28"/>
      <c r="W457" s="28"/>
      <c r="X457" s="28"/>
      <c r="Y457" s="28"/>
      <c r="Z457" s="28"/>
    </row>
    <row r="458">
      <c r="A458" s="1044"/>
      <c r="B458" s="1045"/>
      <c r="C458" s="1041"/>
      <c r="D458" s="1045"/>
      <c r="E458" s="1041"/>
      <c r="F458" s="1041"/>
      <c r="G458" s="28"/>
      <c r="H458" s="28"/>
      <c r="I458" s="28"/>
      <c r="J458" s="28"/>
      <c r="K458" s="28"/>
      <c r="L458" s="28"/>
      <c r="M458" s="28"/>
      <c r="N458" s="28"/>
      <c r="O458" s="28"/>
      <c r="P458" s="28"/>
      <c r="Q458" s="28"/>
      <c r="R458" s="28"/>
      <c r="S458" s="28"/>
      <c r="T458" s="28"/>
      <c r="U458" s="28"/>
      <c r="V458" s="28"/>
      <c r="W458" s="28"/>
      <c r="X458" s="28"/>
      <c r="Y458" s="28"/>
      <c r="Z458" s="28"/>
    </row>
    <row r="459">
      <c r="A459" s="1044"/>
      <c r="B459" s="1045"/>
      <c r="C459" s="1041"/>
      <c r="D459" s="1045"/>
      <c r="E459" s="1041"/>
      <c r="F459" s="1041"/>
      <c r="G459" s="28"/>
      <c r="H459" s="28"/>
      <c r="I459" s="28"/>
      <c r="J459" s="28"/>
      <c r="K459" s="28"/>
      <c r="L459" s="28"/>
      <c r="M459" s="28"/>
      <c r="N459" s="28"/>
      <c r="O459" s="28"/>
      <c r="P459" s="28"/>
      <c r="Q459" s="28"/>
      <c r="R459" s="28"/>
      <c r="S459" s="28"/>
      <c r="T459" s="28"/>
      <c r="U459" s="28"/>
      <c r="V459" s="28"/>
      <c r="W459" s="28"/>
      <c r="X459" s="28"/>
      <c r="Y459" s="28"/>
      <c r="Z459" s="28"/>
    </row>
    <row r="460">
      <c r="A460" s="1044"/>
      <c r="B460" s="1045"/>
      <c r="C460" s="1041"/>
      <c r="D460" s="1045"/>
      <c r="E460" s="1041"/>
      <c r="F460" s="1041"/>
      <c r="G460" s="28"/>
      <c r="H460" s="28"/>
      <c r="I460" s="28"/>
      <c r="J460" s="28"/>
      <c r="K460" s="28"/>
      <c r="L460" s="28"/>
      <c r="M460" s="28"/>
      <c r="N460" s="28"/>
      <c r="O460" s="28"/>
      <c r="P460" s="28"/>
      <c r="Q460" s="28"/>
      <c r="R460" s="28"/>
      <c r="S460" s="28"/>
      <c r="T460" s="28"/>
      <c r="U460" s="28"/>
      <c r="V460" s="28"/>
      <c r="W460" s="28"/>
      <c r="X460" s="28"/>
      <c r="Y460" s="28"/>
      <c r="Z460" s="28"/>
    </row>
    <row r="461">
      <c r="A461" s="1044"/>
      <c r="B461" s="1045"/>
      <c r="C461" s="1041"/>
      <c r="D461" s="1045"/>
      <c r="E461" s="1041"/>
      <c r="F461" s="1041"/>
      <c r="G461" s="28"/>
      <c r="H461" s="28"/>
      <c r="I461" s="28"/>
      <c r="J461" s="28"/>
      <c r="K461" s="28"/>
      <c r="L461" s="28"/>
      <c r="M461" s="28"/>
      <c r="N461" s="28"/>
      <c r="O461" s="28"/>
      <c r="P461" s="28"/>
      <c r="Q461" s="28"/>
      <c r="R461" s="28"/>
      <c r="S461" s="28"/>
      <c r="T461" s="28"/>
      <c r="U461" s="28"/>
      <c r="V461" s="28"/>
      <c r="W461" s="28"/>
      <c r="X461" s="28"/>
      <c r="Y461" s="28"/>
      <c r="Z461" s="28"/>
    </row>
    <row r="462">
      <c r="A462" s="1044"/>
      <c r="B462" s="1045"/>
      <c r="C462" s="1041"/>
      <c r="D462" s="1045"/>
      <c r="E462" s="1041"/>
      <c r="F462" s="1041"/>
      <c r="G462" s="28"/>
      <c r="H462" s="28"/>
      <c r="I462" s="28"/>
      <c r="J462" s="28"/>
      <c r="K462" s="28"/>
      <c r="L462" s="28"/>
      <c r="M462" s="28"/>
      <c r="N462" s="28"/>
      <c r="O462" s="28"/>
      <c r="P462" s="28"/>
      <c r="Q462" s="28"/>
      <c r="R462" s="28"/>
      <c r="S462" s="28"/>
      <c r="T462" s="28"/>
      <c r="U462" s="28"/>
      <c r="V462" s="28"/>
      <c r="W462" s="28"/>
      <c r="X462" s="28"/>
      <c r="Y462" s="28"/>
      <c r="Z462" s="28"/>
    </row>
    <row r="463">
      <c r="A463" s="1044"/>
      <c r="B463" s="1045"/>
      <c r="C463" s="1041"/>
      <c r="D463" s="1045"/>
      <c r="E463" s="1041"/>
      <c r="F463" s="1041"/>
      <c r="G463" s="28"/>
      <c r="H463" s="28"/>
      <c r="I463" s="28"/>
      <c r="J463" s="28"/>
      <c r="K463" s="28"/>
      <c r="L463" s="28"/>
      <c r="M463" s="28"/>
      <c r="N463" s="28"/>
      <c r="O463" s="28"/>
      <c r="P463" s="28"/>
      <c r="Q463" s="28"/>
      <c r="R463" s="28"/>
      <c r="S463" s="28"/>
      <c r="T463" s="28"/>
      <c r="U463" s="28"/>
      <c r="V463" s="28"/>
      <c r="W463" s="28"/>
      <c r="X463" s="28"/>
      <c r="Y463" s="28"/>
      <c r="Z463" s="28"/>
    </row>
    <row r="464">
      <c r="A464" s="1044"/>
      <c r="B464" s="1045"/>
      <c r="C464" s="1041"/>
      <c r="D464" s="1045"/>
      <c r="E464" s="1041"/>
      <c r="F464" s="1041"/>
      <c r="G464" s="28"/>
      <c r="H464" s="28"/>
      <c r="I464" s="28"/>
      <c r="J464" s="28"/>
      <c r="K464" s="28"/>
      <c r="L464" s="28"/>
      <c r="M464" s="28"/>
      <c r="N464" s="28"/>
      <c r="O464" s="28"/>
      <c r="P464" s="28"/>
      <c r="Q464" s="28"/>
      <c r="R464" s="28"/>
      <c r="S464" s="28"/>
      <c r="T464" s="28"/>
      <c r="U464" s="28"/>
      <c r="V464" s="28"/>
      <c r="W464" s="28"/>
      <c r="X464" s="28"/>
      <c r="Y464" s="28"/>
      <c r="Z464" s="28"/>
    </row>
    <row r="465">
      <c r="A465" s="1044"/>
      <c r="B465" s="1045"/>
      <c r="C465" s="1041"/>
      <c r="D465" s="1045"/>
      <c r="E465" s="1041"/>
      <c r="F465" s="1041"/>
      <c r="G465" s="28"/>
      <c r="H465" s="28"/>
      <c r="I465" s="28"/>
      <c r="J465" s="28"/>
      <c r="K465" s="28"/>
      <c r="L465" s="28"/>
      <c r="M465" s="28"/>
      <c r="N465" s="28"/>
      <c r="O465" s="28"/>
      <c r="P465" s="28"/>
      <c r="Q465" s="28"/>
      <c r="R465" s="28"/>
      <c r="S465" s="28"/>
      <c r="T465" s="28"/>
      <c r="U465" s="28"/>
      <c r="V465" s="28"/>
      <c r="W465" s="28"/>
      <c r="X465" s="28"/>
      <c r="Y465" s="28"/>
      <c r="Z465" s="28"/>
    </row>
    <row r="466">
      <c r="A466" s="1044"/>
      <c r="B466" s="1045"/>
      <c r="C466" s="1041"/>
      <c r="D466" s="1045"/>
      <c r="E466" s="1041"/>
      <c r="F466" s="1041"/>
      <c r="G466" s="28"/>
      <c r="H466" s="28"/>
      <c r="I466" s="28"/>
      <c r="J466" s="28"/>
      <c r="K466" s="28"/>
      <c r="L466" s="28"/>
      <c r="M466" s="28"/>
      <c r="N466" s="28"/>
      <c r="O466" s="28"/>
      <c r="P466" s="28"/>
      <c r="Q466" s="28"/>
      <c r="R466" s="28"/>
      <c r="S466" s="28"/>
      <c r="T466" s="28"/>
      <c r="U466" s="28"/>
      <c r="V466" s="28"/>
      <c r="W466" s="28"/>
      <c r="X466" s="28"/>
      <c r="Y466" s="28"/>
      <c r="Z466" s="28"/>
    </row>
    <row r="467">
      <c r="A467" s="1044"/>
      <c r="B467" s="1045"/>
      <c r="C467" s="1041"/>
      <c r="D467" s="1045"/>
      <c r="E467" s="1041"/>
      <c r="F467" s="1041"/>
      <c r="G467" s="28"/>
      <c r="H467" s="28"/>
      <c r="I467" s="28"/>
      <c r="J467" s="28"/>
      <c r="K467" s="28"/>
      <c r="L467" s="28"/>
      <c r="M467" s="28"/>
      <c r="N467" s="28"/>
      <c r="O467" s="28"/>
      <c r="P467" s="28"/>
      <c r="Q467" s="28"/>
      <c r="R467" s="28"/>
      <c r="S467" s="28"/>
      <c r="T467" s="28"/>
      <c r="U467" s="28"/>
      <c r="V467" s="28"/>
      <c r="W467" s="28"/>
      <c r="X467" s="28"/>
      <c r="Y467" s="28"/>
      <c r="Z467" s="28"/>
    </row>
    <row r="468">
      <c r="A468" s="1044"/>
      <c r="B468" s="1045"/>
      <c r="C468" s="1041"/>
      <c r="D468" s="1045"/>
      <c r="E468" s="1041"/>
      <c r="F468" s="1041"/>
      <c r="G468" s="28"/>
      <c r="H468" s="28"/>
      <c r="I468" s="28"/>
      <c r="J468" s="28"/>
      <c r="K468" s="28"/>
      <c r="L468" s="28"/>
      <c r="M468" s="28"/>
      <c r="N468" s="28"/>
      <c r="O468" s="28"/>
      <c r="P468" s="28"/>
      <c r="Q468" s="28"/>
      <c r="R468" s="28"/>
      <c r="S468" s="28"/>
      <c r="T468" s="28"/>
      <c r="U468" s="28"/>
      <c r="V468" s="28"/>
      <c r="W468" s="28"/>
      <c r="X468" s="28"/>
      <c r="Y468" s="28"/>
      <c r="Z468" s="28"/>
    </row>
    <row r="469">
      <c r="A469" s="1044"/>
      <c r="B469" s="1045"/>
      <c r="C469" s="1041"/>
      <c r="D469" s="1045"/>
      <c r="E469" s="1041"/>
      <c r="F469" s="1041"/>
      <c r="G469" s="28"/>
      <c r="H469" s="28"/>
      <c r="I469" s="28"/>
      <c r="J469" s="28"/>
      <c r="K469" s="28"/>
      <c r="L469" s="28"/>
      <c r="M469" s="28"/>
      <c r="N469" s="28"/>
      <c r="O469" s="28"/>
      <c r="P469" s="28"/>
      <c r="Q469" s="28"/>
      <c r="R469" s="28"/>
      <c r="S469" s="28"/>
      <c r="T469" s="28"/>
      <c r="U469" s="28"/>
      <c r="V469" s="28"/>
      <c r="W469" s="28"/>
      <c r="X469" s="28"/>
      <c r="Y469" s="28"/>
      <c r="Z469" s="28"/>
    </row>
    <row r="470">
      <c r="A470" s="1044"/>
      <c r="B470" s="1045"/>
      <c r="C470" s="1041"/>
      <c r="D470" s="1045"/>
      <c r="E470" s="1041"/>
      <c r="F470" s="1041"/>
      <c r="G470" s="28"/>
      <c r="H470" s="28"/>
      <c r="I470" s="28"/>
      <c r="J470" s="28"/>
      <c r="K470" s="28"/>
      <c r="L470" s="28"/>
      <c r="M470" s="28"/>
      <c r="N470" s="28"/>
      <c r="O470" s="28"/>
      <c r="P470" s="28"/>
      <c r="Q470" s="28"/>
      <c r="R470" s="28"/>
      <c r="S470" s="28"/>
      <c r="T470" s="28"/>
      <c r="U470" s="28"/>
      <c r="V470" s="28"/>
      <c r="W470" s="28"/>
      <c r="X470" s="28"/>
      <c r="Y470" s="28"/>
      <c r="Z470" s="28"/>
    </row>
    <row r="471">
      <c r="A471" s="1044"/>
      <c r="B471" s="1045"/>
      <c r="C471" s="1041"/>
      <c r="D471" s="1045"/>
      <c r="E471" s="1041"/>
      <c r="F471" s="1041"/>
      <c r="G471" s="28"/>
      <c r="H471" s="28"/>
      <c r="I471" s="28"/>
      <c r="J471" s="28"/>
      <c r="K471" s="28"/>
      <c r="L471" s="28"/>
      <c r="M471" s="28"/>
      <c r="N471" s="28"/>
      <c r="O471" s="28"/>
      <c r="P471" s="28"/>
      <c r="Q471" s="28"/>
      <c r="R471" s="28"/>
      <c r="S471" s="28"/>
      <c r="T471" s="28"/>
      <c r="U471" s="28"/>
      <c r="V471" s="28"/>
      <c r="W471" s="28"/>
      <c r="X471" s="28"/>
      <c r="Y471" s="28"/>
      <c r="Z471" s="28"/>
    </row>
    <row r="472">
      <c r="A472" s="1044"/>
      <c r="B472" s="1045"/>
      <c r="C472" s="1041"/>
      <c r="D472" s="1045"/>
      <c r="E472" s="1041"/>
      <c r="F472" s="1041"/>
      <c r="G472" s="28"/>
      <c r="H472" s="28"/>
      <c r="I472" s="28"/>
      <c r="J472" s="28"/>
      <c r="K472" s="28"/>
      <c r="L472" s="28"/>
      <c r="M472" s="28"/>
      <c r="N472" s="28"/>
      <c r="O472" s="28"/>
      <c r="P472" s="28"/>
      <c r="Q472" s="28"/>
      <c r="R472" s="28"/>
      <c r="S472" s="28"/>
      <c r="T472" s="28"/>
      <c r="U472" s="28"/>
      <c r="V472" s="28"/>
      <c r="W472" s="28"/>
      <c r="X472" s="28"/>
      <c r="Y472" s="28"/>
      <c r="Z472" s="28"/>
    </row>
    <row r="473">
      <c r="A473" s="1044"/>
      <c r="B473" s="1045"/>
      <c r="C473" s="1041"/>
      <c r="D473" s="1045"/>
      <c r="E473" s="1041"/>
      <c r="F473" s="1041"/>
      <c r="G473" s="28"/>
      <c r="H473" s="28"/>
      <c r="I473" s="28"/>
      <c r="J473" s="28"/>
      <c r="K473" s="28"/>
      <c r="L473" s="28"/>
      <c r="M473" s="28"/>
      <c r="N473" s="28"/>
      <c r="O473" s="28"/>
      <c r="P473" s="28"/>
      <c r="Q473" s="28"/>
      <c r="R473" s="28"/>
      <c r="S473" s="28"/>
      <c r="T473" s="28"/>
      <c r="U473" s="28"/>
      <c r="V473" s="28"/>
      <c r="W473" s="28"/>
      <c r="X473" s="28"/>
      <c r="Y473" s="28"/>
      <c r="Z473" s="28"/>
    </row>
    <row r="474">
      <c r="A474" s="1044"/>
      <c r="B474" s="1045"/>
      <c r="C474" s="1041"/>
      <c r="D474" s="1045"/>
      <c r="E474" s="1041"/>
      <c r="F474" s="1041"/>
      <c r="G474" s="28"/>
      <c r="H474" s="28"/>
      <c r="I474" s="28"/>
      <c r="J474" s="28"/>
      <c r="K474" s="28"/>
      <c r="L474" s="28"/>
      <c r="M474" s="28"/>
      <c r="N474" s="28"/>
      <c r="O474" s="28"/>
      <c r="P474" s="28"/>
      <c r="Q474" s="28"/>
      <c r="R474" s="28"/>
      <c r="S474" s="28"/>
      <c r="T474" s="28"/>
      <c r="U474" s="28"/>
      <c r="V474" s="28"/>
      <c r="W474" s="28"/>
      <c r="X474" s="28"/>
      <c r="Y474" s="28"/>
      <c r="Z474" s="28"/>
    </row>
    <row r="475">
      <c r="A475" s="1044"/>
      <c r="B475" s="1045"/>
      <c r="C475" s="1041"/>
      <c r="D475" s="1045"/>
      <c r="E475" s="1041"/>
      <c r="F475" s="1041"/>
      <c r="G475" s="28"/>
      <c r="H475" s="28"/>
      <c r="I475" s="28"/>
      <c r="J475" s="28"/>
      <c r="K475" s="28"/>
      <c r="L475" s="28"/>
      <c r="M475" s="28"/>
      <c r="N475" s="28"/>
      <c r="O475" s="28"/>
      <c r="P475" s="28"/>
      <c r="Q475" s="28"/>
      <c r="R475" s="28"/>
      <c r="S475" s="28"/>
      <c r="T475" s="28"/>
      <c r="U475" s="28"/>
      <c r="V475" s="28"/>
      <c r="W475" s="28"/>
      <c r="X475" s="28"/>
      <c r="Y475" s="28"/>
      <c r="Z475" s="28"/>
    </row>
    <row r="476">
      <c r="A476" s="1044"/>
      <c r="B476" s="1045"/>
      <c r="C476" s="1041"/>
      <c r="D476" s="1045"/>
      <c r="E476" s="1041"/>
      <c r="F476" s="1041"/>
      <c r="G476" s="28"/>
      <c r="H476" s="28"/>
      <c r="I476" s="28"/>
      <c r="J476" s="28"/>
      <c r="K476" s="28"/>
      <c r="L476" s="28"/>
      <c r="M476" s="28"/>
      <c r="N476" s="28"/>
      <c r="O476" s="28"/>
      <c r="P476" s="28"/>
      <c r="Q476" s="28"/>
      <c r="R476" s="28"/>
      <c r="S476" s="28"/>
      <c r="T476" s="28"/>
      <c r="U476" s="28"/>
      <c r="V476" s="28"/>
      <c r="W476" s="28"/>
      <c r="X476" s="28"/>
      <c r="Y476" s="28"/>
      <c r="Z476" s="28"/>
    </row>
    <row r="477">
      <c r="A477" s="1044"/>
      <c r="B477" s="1045"/>
      <c r="C477" s="1041"/>
      <c r="D477" s="1045"/>
      <c r="E477" s="1041"/>
      <c r="F477" s="1041"/>
      <c r="G477" s="28"/>
      <c r="H477" s="28"/>
      <c r="I477" s="28"/>
      <c r="J477" s="28"/>
      <c r="K477" s="28"/>
      <c r="L477" s="28"/>
      <c r="M477" s="28"/>
      <c r="N477" s="28"/>
      <c r="O477" s="28"/>
      <c r="P477" s="28"/>
      <c r="Q477" s="28"/>
      <c r="R477" s="28"/>
      <c r="S477" s="28"/>
      <c r="T477" s="28"/>
      <c r="U477" s="28"/>
      <c r="V477" s="28"/>
      <c r="W477" s="28"/>
      <c r="X477" s="28"/>
      <c r="Y477" s="28"/>
      <c r="Z477" s="28"/>
    </row>
    <row r="478">
      <c r="A478" s="1044"/>
      <c r="B478" s="1045"/>
      <c r="C478" s="1041"/>
      <c r="D478" s="1045"/>
      <c r="E478" s="1041"/>
      <c r="F478" s="1041"/>
      <c r="G478" s="28"/>
      <c r="H478" s="28"/>
      <c r="I478" s="28"/>
      <c r="J478" s="28"/>
      <c r="K478" s="28"/>
      <c r="L478" s="28"/>
      <c r="M478" s="28"/>
      <c r="N478" s="28"/>
      <c r="O478" s="28"/>
      <c r="P478" s="28"/>
      <c r="Q478" s="28"/>
      <c r="R478" s="28"/>
      <c r="S478" s="28"/>
      <c r="T478" s="28"/>
      <c r="U478" s="28"/>
      <c r="V478" s="28"/>
      <c r="W478" s="28"/>
      <c r="X478" s="28"/>
      <c r="Y478" s="28"/>
      <c r="Z478" s="28"/>
    </row>
    <row r="479">
      <c r="A479" s="1044"/>
      <c r="B479" s="1045"/>
      <c r="C479" s="1041"/>
      <c r="D479" s="1045"/>
      <c r="E479" s="1041"/>
      <c r="F479" s="1041"/>
      <c r="G479" s="28"/>
      <c r="H479" s="28"/>
      <c r="I479" s="28"/>
      <c r="J479" s="28"/>
      <c r="K479" s="28"/>
      <c r="L479" s="28"/>
      <c r="M479" s="28"/>
      <c r="N479" s="28"/>
      <c r="O479" s="28"/>
      <c r="P479" s="28"/>
      <c r="Q479" s="28"/>
      <c r="R479" s="28"/>
      <c r="S479" s="28"/>
      <c r="T479" s="28"/>
      <c r="U479" s="28"/>
      <c r="V479" s="28"/>
      <c r="W479" s="28"/>
      <c r="X479" s="28"/>
      <c r="Y479" s="28"/>
      <c r="Z479" s="28"/>
    </row>
    <row r="480">
      <c r="A480" s="1044"/>
      <c r="B480" s="1045"/>
      <c r="C480" s="1041"/>
      <c r="D480" s="1045"/>
      <c r="E480" s="1041"/>
      <c r="F480" s="1041"/>
      <c r="G480" s="28"/>
      <c r="H480" s="28"/>
      <c r="I480" s="28"/>
      <c r="J480" s="28"/>
      <c r="K480" s="28"/>
      <c r="L480" s="28"/>
      <c r="M480" s="28"/>
      <c r="N480" s="28"/>
      <c r="O480" s="28"/>
      <c r="P480" s="28"/>
      <c r="Q480" s="28"/>
      <c r="R480" s="28"/>
      <c r="S480" s="28"/>
      <c r="T480" s="28"/>
      <c r="U480" s="28"/>
      <c r="V480" s="28"/>
      <c r="W480" s="28"/>
      <c r="X480" s="28"/>
      <c r="Y480" s="28"/>
      <c r="Z480" s="28"/>
    </row>
    <row r="481">
      <c r="A481" s="1044"/>
      <c r="B481" s="1045"/>
      <c r="C481" s="1041"/>
      <c r="D481" s="1045"/>
      <c r="E481" s="1041"/>
      <c r="F481" s="1041"/>
      <c r="G481" s="28"/>
      <c r="H481" s="28"/>
      <c r="I481" s="28"/>
      <c r="J481" s="28"/>
      <c r="K481" s="28"/>
      <c r="L481" s="28"/>
      <c r="M481" s="28"/>
      <c r="N481" s="28"/>
      <c r="O481" s="28"/>
      <c r="P481" s="28"/>
      <c r="Q481" s="28"/>
      <c r="R481" s="28"/>
      <c r="S481" s="28"/>
      <c r="T481" s="28"/>
      <c r="U481" s="28"/>
      <c r="V481" s="28"/>
      <c r="W481" s="28"/>
      <c r="X481" s="28"/>
      <c r="Y481" s="28"/>
      <c r="Z481" s="28"/>
    </row>
    <row r="482">
      <c r="A482" s="1044"/>
      <c r="B482" s="1045"/>
      <c r="C482" s="1041"/>
      <c r="D482" s="1045"/>
      <c r="E482" s="1041"/>
      <c r="F482" s="1041"/>
      <c r="G482" s="28"/>
      <c r="H482" s="28"/>
      <c r="I482" s="28"/>
      <c r="J482" s="28"/>
      <c r="K482" s="28"/>
      <c r="L482" s="28"/>
      <c r="M482" s="28"/>
      <c r="N482" s="28"/>
      <c r="O482" s="28"/>
      <c r="P482" s="28"/>
      <c r="Q482" s="28"/>
      <c r="R482" s="28"/>
      <c r="S482" s="28"/>
      <c r="T482" s="28"/>
      <c r="U482" s="28"/>
      <c r="V482" s="28"/>
      <c r="W482" s="28"/>
      <c r="X482" s="28"/>
      <c r="Y482" s="28"/>
      <c r="Z482" s="28"/>
    </row>
    <row r="483">
      <c r="A483" s="1044"/>
      <c r="B483" s="1045"/>
      <c r="C483" s="1041"/>
      <c r="D483" s="1045"/>
      <c r="E483" s="1041"/>
      <c r="F483" s="1041"/>
      <c r="G483" s="28"/>
      <c r="H483" s="28"/>
      <c r="I483" s="28"/>
      <c r="J483" s="28"/>
      <c r="K483" s="28"/>
      <c r="L483" s="28"/>
      <c r="M483" s="28"/>
      <c r="N483" s="28"/>
      <c r="O483" s="28"/>
      <c r="P483" s="28"/>
      <c r="Q483" s="28"/>
      <c r="R483" s="28"/>
      <c r="S483" s="28"/>
      <c r="T483" s="28"/>
      <c r="U483" s="28"/>
      <c r="V483" s="28"/>
      <c r="W483" s="28"/>
      <c r="X483" s="28"/>
      <c r="Y483" s="28"/>
      <c r="Z483" s="28"/>
    </row>
    <row r="484">
      <c r="A484" s="1044"/>
      <c r="B484" s="1045"/>
      <c r="C484" s="1041"/>
      <c r="D484" s="1045"/>
      <c r="E484" s="1041"/>
      <c r="F484" s="1041"/>
      <c r="G484" s="28"/>
      <c r="H484" s="28"/>
      <c r="I484" s="28"/>
      <c r="J484" s="28"/>
      <c r="K484" s="28"/>
      <c r="L484" s="28"/>
      <c r="M484" s="28"/>
      <c r="N484" s="28"/>
      <c r="O484" s="28"/>
      <c r="P484" s="28"/>
      <c r="Q484" s="28"/>
      <c r="R484" s="28"/>
      <c r="S484" s="28"/>
      <c r="T484" s="28"/>
      <c r="U484" s="28"/>
      <c r="V484" s="28"/>
      <c r="W484" s="28"/>
      <c r="X484" s="28"/>
      <c r="Y484" s="28"/>
      <c r="Z484" s="28"/>
    </row>
    <row r="485">
      <c r="A485" s="1044"/>
      <c r="B485" s="1045"/>
      <c r="C485" s="1041"/>
      <c r="D485" s="1045"/>
      <c r="E485" s="1041"/>
      <c r="F485" s="1041"/>
      <c r="G485" s="28"/>
      <c r="H485" s="28"/>
      <c r="I485" s="28"/>
      <c r="J485" s="28"/>
      <c r="K485" s="28"/>
      <c r="L485" s="28"/>
      <c r="M485" s="28"/>
      <c r="N485" s="28"/>
      <c r="O485" s="28"/>
      <c r="P485" s="28"/>
      <c r="Q485" s="28"/>
      <c r="R485" s="28"/>
      <c r="S485" s="28"/>
      <c r="T485" s="28"/>
      <c r="U485" s="28"/>
      <c r="V485" s="28"/>
      <c r="W485" s="28"/>
      <c r="X485" s="28"/>
      <c r="Y485" s="28"/>
      <c r="Z485" s="28"/>
    </row>
    <row r="486">
      <c r="A486" s="1044"/>
      <c r="B486" s="1045"/>
      <c r="C486" s="1041"/>
      <c r="D486" s="1045"/>
      <c r="E486" s="1041"/>
      <c r="F486" s="1041"/>
      <c r="G486" s="28"/>
      <c r="H486" s="28"/>
      <c r="I486" s="28"/>
      <c r="J486" s="28"/>
      <c r="K486" s="28"/>
      <c r="L486" s="28"/>
      <c r="M486" s="28"/>
      <c r="N486" s="28"/>
      <c r="O486" s="28"/>
      <c r="P486" s="28"/>
      <c r="Q486" s="28"/>
      <c r="R486" s="28"/>
      <c r="S486" s="28"/>
      <c r="T486" s="28"/>
      <c r="U486" s="28"/>
      <c r="V486" s="28"/>
      <c r="W486" s="28"/>
      <c r="X486" s="28"/>
      <c r="Y486" s="28"/>
      <c r="Z486" s="28"/>
    </row>
    <row r="487">
      <c r="A487" s="1044"/>
      <c r="B487" s="1045"/>
      <c r="C487" s="1041"/>
      <c r="D487" s="1045"/>
      <c r="E487" s="1041"/>
      <c r="F487" s="1041"/>
      <c r="G487" s="28"/>
      <c r="H487" s="28"/>
      <c r="I487" s="28"/>
      <c r="J487" s="28"/>
      <c r="K487" s="28"/>
      <c r="L487" s="28"/>
      <c r="M487" s="28"/>
      <c r="N487" s="28"/>
      <c r="O487" s="28"/>
      <c r="P487" s="28"/>
      <c r="Q487" s="28"/>
      <c r="R487" s="28"/>
      <c r="S487" s="28"/>
      <c r="T487" s="28"/>
      <c r="U487" s="28"/>
      <c r="V487" s="28"/>
      <c r="W487" s="28"/>
      <c r="X487" s="28"/>
      <c r="Y487" s="28"/>
      <c r="Z487" s="28"/>
    </row>
    <row r="488">
      <c r="A488" s="1044"/>
      <c r="B488" s="1045"/>
      <c r="C488" s="1041"/>
      <c r="D488" s="1045"/>
      <c r="E488" s="1041"/>
      <c r="F488" s="1041"/>
      <c r="G488" s="28"/>
      <c r="H488" s="28"/>
      <c r="I488" s="28"/>
      <c r="J488" s="28"/>
      <c r="K488" s="28"/>
      <c r="L488" s="28"/>
      <c r="M488" s="28"/>
      <c r="N488" s="28"/>
      <c r="O488" s="28"/>
      <c r="P488" s="28"/>
      <c r="Q488" s="28"/>
      <c r="R488" s="28"/>
      <c r="S488" s="28"/>
      <c r="T488" s="28"/>
      <c r="U488" s="28"/>
      <c r="V488" s="28"/>
      <c r="W488" s="28"/>
      <c r="X488" s="28"/>
      <c r="Y488" s="28"/>
      <c r="Z488" s="28"/>
    </row>
    <row r="489">
      <c r="A489" s="1044"/>
      <c r="B489" s="1045"/>
      <c r="C489" s="1041"/>
      <c r="D489" s="1045"/>
      <c r="E489" s="1041"/>
      <c r="F489" s="1041"/>
      <c r="G489" s="28"/>
      <c r="H489" s="28"/>
      <c r="I489" s="28"/>
      <c r="J489" s="28"/>
      <c r="K489" s="28"/>
      <c r="L489" s="28"/>
      <c r="M489" s="28"/>
      <c r="N489" s="28"/>
      <c r="O489" s="28"/>
      <c r="P489" s="28"/>
      <c r="Q489" s="28"/>
      <c r="R489" s="28"/>
      <c r="S489" s="28"/>
      <c r="T489" s="28"/>
      <c r="U489" s="28"/>
      <c r="V489" s="28"/>
      <c r="W489" s="28"/>
      <c r="X489" s="28"/>
      <c r="Y489" s="28"/>
      <c r="Z489" s="28"/>
    </row>
    <row r="490">
      <c r="A490" s="1044"/>
      <c r="B490" s="1045"/>
      <c r="C490" s="1041"/>
      <c r="D490" s="1045"/>
      <c r="E490" s="1041"/>
      <c r="F490" s="1041"/>
      <c r="G490" s="28"/>
      <c r="H490" s="28"/>
      <c r="I490" s="28"/>
      <c r="J490" s="28"/>
      <c r="K490" s="28"/>
      <c r="L490" s="28"/>
      <c r="M490" s="28"/>
      <c r="N490" s="28"/>
      <c r="O490" s="28"/>
      <c r="P490" s="28"/>
      <c r="Q490" s="28"/>
      <c r="R490" s="28"/>
      <c r="S490" s="28"/>
      <c r="T490" s="28"/>
      <c r="U490" s="28"/>
      <c r="V490" s="28"/>
      <c r="W490" s="28"/>
      <c r="X490" s="28"/>
      <c r="Y490" s="28"/>
      <c r="Z490" s="28"/>
    </row>
    <row r="491">
      <c r="A491" s="1044"/>
      <c r="B491" s="1045"/>
      <c r="C491" s="1041"/>
      <c r="D491" s="1045"/>
      <c r="E491" s="1041"/>
      <c r="F491" s="1041"/>
      <c r="G491" s="28"/>
      <c r="H491" s="28"/>
      <c r="I491" s="28"/>
      <c r="J491" s="28"/>
      <c r="K491" s="28"/>
      <c r="L491" s="28"/>
      <c r="M491" s="28"/>
      <c r="N491" s="28"/>
      <c r="O491" s="28"/>
      <c r="P491" s="28"/>
      <c r="Q491" s="28"/>
      <c r="R491" s="28"/>
      <c r="S491" s="28"/>
      <c r="T491" s="28"/>
      <c r="U491" s="28"/>
      <c r="V491" s="28"/>
      <c r="W491" s="28"/>
      <c r="X491" s="28"/>
      <c r="Y491" s="28"/>
      <c r="Z491" s="28"/>
    </row>
    <row r="492">
      <c r="A492" s="1044"/>
      <c r="B492" s="1045"/>
      <c r="C492" s="1041"/>
      <c r="D492" s="1045"/>
      <c r="E492" s="1041"/>
      <c r="F492" s="1041"/>
      <c r="G492" s="28"/>
      <c r="H492" s="28"/>
      <c r="I492" s="28"/>
      <c r="J492" s="28"/>
      <c r="K492" s="28"/>
      <c r="L492" s="28"/>
      <c r="M492" s="28"/>
      <c r="N492" s="28"/>
      <c r="O492" s="28"/>
      <c r="P492" s="28"/>
      <c r="Q492" s="28"/>
      <c r="R492" s="28"/>
      <c r="S492" s="28"/>
      <c r="T492" s="28"/>
      <c r="U492" s="28"/>
      <c r="V492" s="28"/>
      <c r="W492" s="28"/>
      <c r="X492" s="28"/>
      <c r="Y492" s="28"/>
      <c r="Z492" s="28"/>
    </row>
    <row r="493">
      <c r="A493" s="1044"/>
      <c r="B493" s="1045"/>
      <c r="C493" s="1041"/>
      <c r="D493" s="1045"/>
      <c r="E493" s="1041"/>
      <c r="F493" s="1041"/>
      <c r="G493" s="28"/>
      <c r="H493" s="28"/>
      <c r="I493" s="28"/>
      <c r="J493" s="28"/>
      <c r="K493" s="28"/>
      <c r="L493" s="28"/>
      <c r="M493" s="28"/>
      <c r="N493" s="28"/>
      <c r="O493" s="28"/>
      <c r="P493" s="28"/>
      <c r="Q493" s="28"/>
      <c r="R493" s="28"/>
      <c r="S493" s="28"/>
      <c r="T493" s="28"/>
      <c r="U493" s="28"/>
      <c r="V493" s="28"/>
      <c r="W493" s="28"/>
      <c r="X493" s="28"/>
      <c r="Y493" s="28"/>
      <c r="Z493" s="28"/>
    </row>
    <row r="494">
      <c r="A494" s="1044"/>
      <c r="B494" s="1045"/>
      <c r="C494" s="1041"/>
      <c r="D494" s="1045"/>
      <c r="E494" s="1041"/>
      <c r="F494" s="1041"/>
      <c r="G494" s="28"/>
      <c r="H494" s="28"/>
      <c r="I494" s="28"/>
      <c r="J494" s="28"/>
      <c r="K494" s="28"/>
      <c r="L494" s="28"/>
      <c r="M494" s="28"/>
      <c r="N494" s="28"/>
      <c r="O494" s="28"/>
      <c r="P494" s="28"/>
      <c r="Q494" s="28"/>
      <c r="R494" s="28"/>
      <c r="S494" s="28"/>
      <c r="T494" s="28"/>
      <c r="U494" s="28"/>
      <c r="V494" s="28"/>
      <c r="W494" s="28"/>
      <c r="X494" s="28"/>
      <c r="Y494" s="28"/>
      <c r="Z494" s="28"/>
    </row>
    <row r="495">
      <c r="A495" s="1044"/>
      <c r="B495" s="1045"/>
      <c r="C495" s="1041"/>
      <c r="D495" s="1045"/>
      <c r="E495" s="1041"/>
      <c r="F495" s="1041"/>
      <c r="G495" s="28"/>
      <c r="H495" s="28"/>
      <c r="I495" s="28"/>
      <c r="J495" s="28"/>
      <c r="K495" s="28"/>
      <c r="L495" s="28"/>
      <c r="M495" s="28"/>
      <c r="N495" s="28"/>
      <c r="O495" s="28"/>
      <c r="P495" s="28"/>
      <c r="Q495" s="28"/>
      <c r="R495" s="28"/>
      <c r="S495" s="28"/>
      <c r="T495" s="28"/>
      <c r="U495" s="28"/>
      <c r="V495" s="28"/>
      <c r="W495" s="28"/>
      <c r="X495" s="28"/>
      <c r="Y495" s="28"/>
      <c r="Z495" s="28"/>
    </row>
    <row r="496">
      <c r="A496" s="1044"/>
      <c r="B496" s="1045"/>
      <c r="C496" s="1041"/>
      <c r="D496" s="1045"/>
      <c r="E496" s="1041"/>
      <c r="F496" s="1041"/>
      <c r="G496" s="28"/>
      <c r="H496" s="28"/>
      <c r="I496" s="28"/>
      <c r="J496" s="28"/>
      <c r="K496" s="28"/>
      <c r="L496" s="28"/>
      <c r="M496" s="28"/>
      <c r="N496" s="28"/>
      <c r="O496" s="28"/>
      <c r="P496" s="28"/>
      <c r="Q496" s="28"/>
      <c r="R496" s="28"/>
      <c r="S496" s="28"/>
      <c r="T496" s="28"/>
      <c r="U496" s="28"/>
      <c r="V496" s="28"/>
      <c r="W496" s="28"/>
      <c r="X496" s="28"/>
      <c r="Y496" s="28"/>
      <c r="Z496" s="28"/>
    </row>
    <row r="497">
      <c r="A497" s="1044"/>
      <c r="B497" s="1045"/>
      <c r="C497" s="1041"/>
      <c r="D497" s="1045"/>
      <c r="E497" s="1041"/>
      <c r="F497" s="1041"/>
      <c r="G497" s="28"/>
      <c r="H497" s="28"/>
      <c r="I497" s="28"/>
      <c r="J497" s="28"/>
      <c r="K497" s="28"/>
      <c r="L497" s="28"/>
      <c r="M497" s="28"/>
      <c r="N497" s="28"/>
      <c r="O497" s="28"/>
      <c r="P497" s="28"/>
      <c r="Q497" s="28"/>
      <c r="R497" s="28"/>
      <c r="S497" s="28"/>
      <c r="T497" s="28"/>
      <c r="U497" s="28"/>
      <c r="V497" s="28"/>
      <c r="W497" s="28"/>
      <c r="X497" s="28"/>
      <c r="Y497" s="28"/>
      <c r="Z497" s="28"/>
    </row>
    <row r="498">
      <c r="A498" s="1044"/>
      <c r="B498" s="1045"/>
      <c r="C498" s="1041"/>
      <c r="D498" s="1045"/>
      <c r="E498" s="1041"/>
      <c r="F498" s="1041"/>
      <c r="G498" s="28"/>
      <c r="H498" s="28"/>
      <c r="I498" s="28"/>
      <c r="J498" s="28"/>
      <c r="K498" s="28"/>
      <c r="L498" s="28"/>
      <c r="M498" s="28"/>
      <c r="N498" s="28"/>
      <c r="O498" s="28"/>
      <c r="P498" s="28"/>
      <c r="Q498" s="28"/>
      <c r="R498" s="28"/>
      <c r="S498" s="28"/>
      <c r="T498" s="28"/>
      <c r="U498" s="28"/>
      <c r="V498" s="28"/>
      <c r="W498" s="28"/>
      <c r="X498" s="28"/>
      <c r="Y498" s="28"/>
      <c r="Z498" s="28"/>
    </row>
    <row r="499">
      <c r="A499" s="1044"/>
      <c r="B499" s="1045"/>
      <c r="C499" s="1041"/>
      <c r="D499" s="1045"/>
      <c r="E499" s="1041"/>
      <c r="F499" s="1041"/>
      <c r="G499" s="28"/>
      <c r="H499" s="28"/>
      <c r="I499" s="28"/>
      <c r="J499" s="28"/>
      <c r="K499" s="28"/>
      <c r="L499" s="28"/>
      <c r="M499" s="28"/>
      <c r="N499" s="28"/>
      <c r="O499" s="28"/>
      <c r="P499" s="28"/>
      <c r="Q499" s="28"/>
      <c r="R499" s="28"/>
      <c r="S499" s="28"/>
      <c r="T499" s="28"/>
      <c r="U499" s="28"/>
      <c r="V499" s="28"/>
      <c r="W499" s="28"/>
      <c r="X499" s="28"/>
      <c r="Y499" s="28"/>
      <c r="Z499" s="28"/>
    </row>
    <row r="500">
      <c r="A500" s="1044"/>
      <c r="B500" s="1045"/>
      <c r="C500" s="1041"/>
      <c r="D500" s="1045"/>
      <c r="E500" s="1041"/>
      <c r="F500" s="1041"/>
      <c r="G500" s="28"/>
      <c r="H500" s="28"/>
      <c r="I500" s="28"/>
      <c r="J500" s="28"/>
      <c r="K500" s="28"/>
      <c r="L500" s="28"/>
      <c r="M500" s="28"/>
      <c r="N500" s="28"/>
      <c r="O500" s="28"/>
      <c r="P500" s="28"/>
      <c r="Q500" s="28"/>
      <c r="R500" s="28"/>
      <c r="S500" s="28"/>
      <c r="T500" s="28"/>
      <c r="U500" s="28"/>
      <c r="V500" s="28"/>
      <c r="W500" s="28"/>
      <c r="X500" s="28"/>
      <c r="Y500" s="28"/>
      <c r="Z500" s="28"/>
    </row>
    <row r="501">
      <c r="A501" s="1044"/>
      <c r="B501" s="1045"/>
      <c r="C501" s="1041"/>
      <c r="D501" s="1045"/>
      <c r="E501" s="1041"/>
      <c r="F501" s="1041"/>
      <c r="G501" s="28"/>
      <c r="H501" s="28"/>
      <c r="I501" s="28"/>
      <c r="J501" s="28"/>
      <c r="K501" s="28"/>
      <c r="L501" s="28"/>
      <c r="M501" s="28"/>
      <c r="N501" s="28"/>
      <c r="O501" s="28"/>
      <c r="P501" s="28"/>
      <c r="Q501" s="28"/>
      <c r="R501" s="28"/>
      <c r="S501" s="28"/>
      <c r="T501" s="28"/>
      <c r="U501" s="28"/>
      <c r="V501" s="28"/>
      <c r="W501" s="28"/>
      <c r="X501" s="28"/>
      <c r="Y501" s="28"/>
      <c r="Z501" s="28"/>
    </row>
    <row r="502">
      <c r="A502" s="1044"/>
      <c r="B502" s="1045"/>
      <c r="C502" s="1041"/>
      <c r="D502" s="1045"/>
      <c r="E502" s="1041"/>
      <c r="F502" s="1041"/>
      <c r="G502" s="28"/>
      <c r="H502" s="28"/>
      <c r="I502" s="28"/>
      <c r="J502" s="28"/>
      <c r="K502" s="28"/>
      <c r="L502" s="28"/>
      <c r="M502" s="28"/>
      <c r="N502" s="28"/>
      <c r="O502" s="28"/>
      <c r="P502" s="28"/>
      <c r="Q502" s="28"/>
      <c r="R502" s="28"/>
      <c r="S502" s="28"/>
      <c r="T502" s="28"/>
      <c r="U502" s="28"/>
      <c r="V502" s="28"/>
      <c r="W502" s="28"/>
      <c r="X502" s="28"/>
      <c r="Y502" s="28"/>
      <c r="Z502" s="28"/>
    </row>
    <row r="503">
      <c r="A503" s="1044"/>
      <c r="B503" s="1045"/>
      <c r="C503" s="1041"/>
      <c r="D503" s="1045"/>
      <c r="E503" s="1041"/>
      <c r="F503" s="1041"/>
      <c r="G503" s="28"/>
      <c r="H503" s="28"/>
      <c r="I503" s="28"/>
      <c r="J503" s="28"/>
      <c r="K503" s="28"/>
      <c r="L503" s="28"/>
      <c r="M503" s="28"/>
      <c r="N503" s="28"/>
      <c r="O503" s="28"/>
      <c r="P503" s="28"/>
      <c r="Q503" s="28"/>
      <c r="R503" s="28"/>
      <c r="S503" s="28"/>
      <c r="T503" s="28"/>
      <c r="U503" s="28"/>
      <c r="V503" s="28"/>
      <c r="W503" s="28"/>
      <c r="X503" s="28"/>
      <c r="Y503" s="28"/>
      <c r="Z503" s="28"/>
    </row>
    <row r="504">
      <c r="A504" s="1044"/>
      <c r="B504" s="1045"/>
      <c r="C504" s="1041"/>
      <c r="D504" s="1045"/>
      <c r="E504" s="1041"/>
      <c r="F504" s="1041"/>
      <c r="G504" s="28"/>
      <c r="H504" s="28"/>
      <c r="I504" s="28"/>
      <c r="J504" s="28"/>
      <c r="K504" s="28"/>
      <c r="L504" s="28"/>
      <c r="M504" s="28"/>
      <c r="N504" s="28"/>
      <c r="O504" s="28"/>
      <c r="P504" s="28"/>
      <c r="Q504" s="28"/>
      <c r="R504" s="28"/>
      <c r="S504" s="28"/>
      <c r="T504" s="28"/>
      <c r="U504" s="28"/>
      <c r="V504" s="28"/>
      <c r="W504" s="28"/>
      <c r="X504" s="28"/>
      <c r="Y504" s="28"/>
      <c r="Z504" s="28"/>
    </row>
    <row r="505">
      <c r="A505" s="1044"/>
      <c r="B505" s="1045"/>
      <c r="C505" s="1041"/>
      <c r="D505" s="1045"/>
      <c r="E505" s="1041"/>
      <c r="F505" s="1041"/>
      <c r="G505" s="28"/>
      <c r="H505" s="28"/>
      <c r="I505" s="28"/>
      <c r="J505" s="28"/>
      <c r="K505" s="28"/>
      <c r="L505" s="28"/>
      <c r="M505" s="28"/>
      <c r="N505" s="28"/>
      <c r="O505" s="28"/>
      <c r="P505" s="28"/>
      <c r="Q505" s="28"/>
      <c r="R505" s="28"/>
      <c r="S505" s="28"/>
      <c r="T505" s="28"/>
      <c r="U505" s="28"/>
      <c r="V505" s="28"/>
      <c r="W505" s="28"/>
      <c r="X505" s="28"/>
      <c r="Y505" s="28"/>
      <c r="Z505" s="28"/>
    </row>
    <row r="506">
      <c r="A506" s="1044"/>
      <c r="B506" s="1045"/>
      <c r="C506" s="1041"/>
      <c r="D506" s="1045"/>
      <c r="E506" s="1041"/>
      <c r="F506" s="1041"/>
      <c r="G506" s="28"/>
      <c r="H506" s="28"/>
      <c r="I506" s="28"/>
      <c r="J506" s="28"/>
      <c r="K506" s="28"/>
      <c r="L506" s="28"/>
      <c r="M506" s="28"/>
      <c r="N506" s="28"/>
      <c r="O506" s="28"/>
      <c r="P506" s="28"/>
      <c r="Q506" s="28"/>
      <c r="R506" s="28"/>
      <c r="S506" s="28"/>
      <c r="T506" s="28"/>
      <c r="U506" s="28"/>
      <c r="V506" s="28"/>
      <c r="W506" s="28"/>
      <c r="X506" s="28"/>
      <c r="Y506" s="28"/>
      <c r="Z506" s="28"/>
    </row>
    <row r="507">
      <c r="A507" s="1044"/>
      <c r="B507" s="1045"/>
      <c r="C507" s="1041"/>
      <c r="D507" s="1045"/>
      <c r="E507" s="1041"/>
      <c r="F507" s="1041"/>
      <c r="G507" s="28"/>
      <c r="H507" s="28"/>
      <c r="I507" s="28"/>
      <c r="J507" s="28"/>
      <c r="K507" s="28"/>
      <c r="L507" s="28"/>
      <c r="M507" s="28"/>
      <c r="N507" s="28"/>
      <c r="O507" s="28"/>
      <c r="P507" s="28"/>
      <c r="Q507" s="28"/>
      <c r="R507" s="28"/>
      <c r="S507" s="28"/>
      <c r="T507" s="28"/>
      <c r="U507" s="28"/>
      <c r="V507" s="28"/>
      <c r="W507" s="28"/>
      <c r="X507" s="28"/>
      <c r="Y507" s="28"/>
      <c r="Z507" s="28"/>
    </row>
    <row r="508">
      <c r="A508" s="1044"/>
      <c r="B508" s="1045"/>
      <c r="C508" s="1041"/>
      <c r="D508" s="1045"/>
      <c r="E508" s="1041"/>
      <c r="F508" s="1041"/>
      <c r="G508" s="28"/>
      <c r="H508" s="28"/>
      <c r="I508" s="28"/>
      <c r="J508" s="28"/>
      <c r="K508" s="28"/>
      <c r="L508" s="28"/>
      <c r="M508" s="28"/>
      <c r="N508" s="28"/>
      <c r="O508" s="28"/>
      <c r="P508" s="28"/>
      <c r="Q508" s="28"/>
      <c r="R508" s="28"/>
      <c r="S508" s="28"/>
      <c r="T508" s="28"/>
      <c r="U508" s="28"/>
      <c r="V508" s="28"/>
      <c r="W508" s="28"/>
      <c r="X508" s="28"/>
      <c r="Y508" s="28"/>
      <c r="Z508" s="28"/>
    </row>
    <row r="509">
      <c r="A509" s="1044"/>
      <c r="B509" s="1045"/>
      <c r="C509" s="1041"/>
      <c r="D509" s="1045"/>
      <c r="E509" s="1041"/>
      <c r="F509" s="1041"/>
      <c r="G509" s="28"/>
      <c r="H509" s="28"/>
      <c r="I509" s="28"/>
      <c r="J509" s="28"/>
      <c r="K509" s="28"/>
      <c r="L509" s="28"/>
      <c r="M509" s="28"/>
      <c r="N509" s="28"/>
      <c r="O509" s="28"/>
      <c r="P509" s="28"/>
      <c r="Q509" s="28"/>
      <c r="R509" s="28"/>
      <c r="S509" s="28"/>
      <c r="T509" s="28"/>
      <c r="U509" s="28"/>
      <c r="V509" s="28"/>
      <c r="W509" s="28"/>
      <c r="X509" s="28"/>
      <c r="Y509" s="28"/>
      <c r="Z509" s="28"/>
    </row>
    <row r="510">
      <c r="A510" s="1044"/>
      <c r="B510" s="1045"/>
      <c r="C510" s="1041"/>
      <c r="D510" s="1045"/>
      <c r="E510" s="1041"/>
      <c r="F510" s="1041"/>
      <c r="G510" s="28"/>
      <c r="H510" s="28"/>
      <c r="I510" s="28"/>
      <c r="J510" s="28"/>
      <c r="K510" s="28"/>
      <c r="L510" s="28"/>
      <c r="M510" s="28"/>
      <c r="N510" s="28"/>
      <c r="O510" s="28"/>
      <c r="P510" s="28"/>
      <c r="Q510" s="28"/>
      <c r="R510" s="28"/>
      <c r="S510" s="28"/>
      <c r="T510" s="28"/>
      <c r="U510" s="28"/>
      <c r="V510" s="28"/>
      <c r="W510" s="28"/>
      <c r="X510" s="28"/>
      <c r="Y510" s="28"/>
      <c r="Z510" s="28"/>
    </row>
    <row r="511">
      <c r="A511" s="1044"/>
      <c r="B511" s="1045"/>
      <c r="C511" s="1041"/>
      <c r="D511" s="1045"/>
      <c r="E511" s="1041"/>
      <c r="F511" s="1041"/>
      <c r="G511" s="28"/>
      <c r="H511" s="28"/>
      <c r="I511" s="28"/>
      <c r="J511" s="28"/>
      <c r="K511" s="28"/>
      <c r="L511" s="28"/>
      <c r="M511" s="28"/>
      <c r="N511" s="28"/>
      <c r="O511" s="28"/>
      <c r="P511" s="28"/>
      <c r="Q511" s="28"/>
      <c r="R511" s="28"/>
      <c r="S511" s="28"/>
      <c r="T511" s="28"/>
      <c r="U511" s="28"/>
      <c r="V511" s="28"/>
      <c r="W511" s="28"/>
      <c r="X511" s="28"/>
      <c r="Y511" s="28"/>
      <c r="Z511" s="28"/>
    </row>
    <row r="512">
      <c r="A512" s="1044"/>
      <c r="B512" s="1045"/>
      <c r="C512" s="1041"/>
      <c r="D512" s="1045"/>
      <c r="E512" s="1041"/>
      <c r="F512" s="1041"/>
      <c r="G512" s="28"/>
      <c r="H512" s="28"/>
      <c r="I512" s="28"/>
      <c r="J512" s="28"/>
      <c r="K512" s="28"/>
      <c r="L512" s="28"/>
      <c r="M512" s="28"/>
      <c r="N512" s="28"/>
      <c r="O512" s="28"/>
      <c r="P512" s="28"/>
      <c r="Q512" s="28"/>
      <c r="R512" s="28"/>
      <c r="S512" s="28"/>
      <c r="T512" s="28"/>
      <c r="U512" s="28"/>
      <c r="V512" s="28"/>
      <c r="W512" s="28"/>
      <c r="X512" s="28"/>
      <c r="Y512" s="28"/>
      <c r="Z512" s="28"/>
    </row>
    <row r="513">
      <c r="A513" s="1044"/>
      <c r="B513" s="1045"/>
      <c r="C513" s="1041"/>
      <c r="D513" s="1045"/>
      <c r="E513" s="1041"/>
      <c r="F513" s="1041"/>
      <c r="G513" s="28"/>
      <c r="H513" s="28"/>
      <c r="I513" s="28"/>
      <c r="J513" s="28"/>
      <c r="K513" s="28"/>
      <c r="L513" s="28"/>
      <c r="M513" s="28"/>
      <c r="N513" s="28"/>
      <c r="O513" s="28"/>
      <c r="P513" s="28"/>
      <c r="Q513" s="28"/>
      <c r="R513" s="28"/>
      <c r="S513" s="28"/>
      <c r="T513" s="28"/>
      <c r="U513" s="28"/>
      <c r="V513" s="28"/>
      <c r="W513" s="28"/>
      <c r="X513" s="28"/>
      <c r="Y513" s="28"/>
      <c r="Z513" s="28"/>
    </row>
    <row r="514">
      <c r="A514" s="1044"/>
      <c r="B514" s="1045"/>
      <c r="C514" s="1041"/>
      <c r="D514" s="1045"/>
      <c r="E514" s="1041"/>
      <c r="F514" s="1041"/>
      <c r="G514" s="28"/>
      <c r="H514" s="28"/>
      <c r="I514" s="28"/>
      <c r="J514" s="28"/>
      <c r="K514" s="28"/>
      <c r="L514" s="28"/>
      <c r="M514" s="28"/>
      <c r="N514" s="28"/>
      <c r="O514" s="28"/>
      <c r="P514" s="28"/>
      <c r="Q514" s="28"/>
      <c r="R514" s="28"/>
      <c r="S514" s="28"/>
      <c r="T514" s="28"/>
      <c r="U514" s="28"/>
      <c r="V514" s="28"/>
      <c r="W514" s="28"/>
      <c r="X514" s="28"/>
      <c r="Y514" s="28"/>
      <c r="Z514" s="28"/>
    </row>
    <row r="515">
      <c r="A515" s="1044"/>
      <c r="B515" s="1045"/>
      <c r="C515" s="1041"/>
      <c r="D515" s="1045"/>
      <c r="E515" s="1041"/>
      <c r="F515" s="1041"/>
      <c r="G515" s="28"/>
      <c r="H515" s="28"/>
      <c r="I515" s="28"/>
      <c r="J515" s="28"/>
      <c r="K515" s="28"/>
      <c r="L515" s="28"/>
      <c r="M515" s="28"/>
      <c r="N515" s="28"/>
      <c r="O515" s="28"/>
      <c r="P515" s="28"/>
      <c r="Q515" s="28"/>
      <c r="R515" s="28"/>
      <c r="S515" s="28"/>
      <c r="T515" s="28"/>
      <c r="U515" s="28"/>
      <c r="V515" s="28"/>
      <c r="W515" s="28"/>
      <c r="X515" s="28"/>
      <c r="Y515" s="28"/>
      <c r="Z515" s="28"/>
    </row>
    <row r="516">
      <c r="A516" s="1044"/>
      <c r="B516" s="1045"/>
      <c r="C516" s="1041"/>
      <c r="D516" s="1045"/>
      <c r="E516" s="1041"/>
      <c r="F516" s="1041"/>
      <c r="G516" s="28"/>
      <c r="H516" s="28"/>
      <c r="I516" s="28"/>
      <c r="J516" s="28"/>
      <c r="K516" s="28"/>
      <c r="L516" s="28"/>
      <c r="M516" s="28"/>
      <c r="N516" s="28"/>
      <c r="O516" s="28"/>
      <c r="P516" s="28"/>
      <c r="Q516" s="28"/>
      <c r="R516" s="28"/>
      <c r="S516" s="28"/>
      <c r="T516" s="28"/>
      <c r="U516" s="28"/>
      <c r="V516" s="28"/>
      <c r="W516" s="28"/>
      <c r="X516" s="28"/>
      <c r="Y516" s="28"/>
      <c r="Z516" s="28"/>
    </row>
    <row r="517">
      <c r="A517" s="1044"/>
      <c r="B517" s="1045"/>
      <c r="C517" s="1041"/>
      <c r="D517" s="1045"/>
      <c r="E517" s="1041"/>
      <c r="F517" s="1041"/>
      <c r="G517" s="28"/>
      <c r="H517" s="28"/>
      <c r="I517" s="28"/>
      <c r="J517" s="28"/>
      <c r="K517" s="28"/>
      <c r="L517" s="28"/>
      <c r="M517" s="28"/>
      <c r="N517" s="28"/>
      <c r="O517" s="28"/>
      <c r="P517" s="28"/>
      <c r="Q517" s="28"/>
      <c r="R517" s="28"/>
      <c r="S517" s="28"/>
      <c r="T517" s="28"/>
      <c r="U517" s="28"/>
      <c r="V517" s="28"/>
      <c r="W517" s="28"/>
      <c r="X517" s="28"/>
      <c r="Y517" s="28"/>
      <c r="Z517" s="28"/>
    </row>
    <row r="518">
      <c r="A518" s="1044"/>
      <c r="B518" s="1045"/>
      <c r="C518" s="1041"/>
      <c r="D518" s="1045"/>
      <c r="E518" s="1041"/>
      <c r="F518" s="1041"/>
      <c r="G518" s="28"/>
      <c r="H518" s="28"/>
      <c r="I518" s="28"/>
      <c r="J518" s="28"/>
      <c r="K518" s="28"/>
      <c r="L518" s="28"/>
      <c r="M518" s="28"/>
      <c r="N518" s="28"/>
      <c r="O518" s="28"/>
      <c r="P518" s="28"/>
      <c r="Q518" s="28"/>
      <c r="R518" s="28"/>
      <c r="S518" s="28"/>
      <c r="T518" s="28"/>
      <c r="U518" s="28"/>
      <c r="V518" s="28"/>
      <c r="W518" s="28"/>
      <c r="X518" s="28"/>
      <c r="Y518" s="28"/>
      <c r="Z518" s="28"/>
    </row>
    <row r="519">
      <c r="A519" s="1044"/>
      <c r="B519" s="1045"/>
      <c r="C519" s="1041"/>
      <c r="D519" s="1045"/>
      <c r="E519" s="1041"/>
      <c r="F519" s="1041"/>
      <c r="G519" s="28"/>
      <c r="H519" s="28"/>
      <c r="I519" s="28"/>
      <c r="J519" s="28"/>
      <c r="K519" s="28"/>
      <c r="L519" s="28"/>
      <c r="M519" s="28"/>
      <c r="N519" s="28"/>
      <c r="O519" s="28"/>
      <c r="P519" s="28"/>
      <c r="Q519" s="28"/>
      <c r="R519" s="28"/>
      <c r="S519" s="28"/>
      <c r="T519" s="28"/>
      <c r="U519" s="28"/>
      <c r="V519" s="28"/>
      <c r="W519" s="28"/>
      <c r="X519" s="28"/>
      <c r="Y519" s="28"/>
      <c r="Z519" s="28"/>
    </row>
    <row r="520">
      <c r="A520" s="1044"/>
      <c r="B520" s="1045"/>
      <c r="C520" s="1041"/>
      <c r="D520" s="1045"/>
      <c r="E520" s="1041"/>
      <c r="F520" s="1041"/>
      <c r="G520" s="28"/>
      <c r="H520" s="28"/>
      <c r="I520" s="28"/>
      <c r="J520" s="28"/>
      <c r="K520" s="28"/>
      <c r="L520" s="28"/>
      <c r="M520" s="28"/>
      <c r="N520" s="28"/>
      <c r="O520" s="28"/>
      <c r="P520" s="28"/>
      <c r="Q520" s="28"/>
      <c r="R520" s="28"/>
      <c r="S520" s="28"/>
      <c r="T520" s="28"/>
      <c r="U520" s="28"/>
      <c r="V520" s="28"/>
      <c r="W520" s="28"/>
      <c r="X520" s="28"/>
      <c r="Y520" s="28"/>
      <c r="Z520" s="28"/>
    </row>
    <row r="521">
      <c r="A521" s="1044"/>
      <c r="B521" s="1045"/>
      <c r="C521" s="1041"/>
      <c r="D521" s="1045"/>
      <c r="E521" s="1041"/>
      <c r="F521" s="1041"/>
      <c r="G521" s="28"/>
      <c r="H521" s="28"/>
      <c r="I521" s="28"/>
      <c r="J521" s="28"/>
      <c r="K521" s="28"/>
      <c r="L521" s="28"/>
      <c r="M521" s="28"/>
      <c r="N521" s="28"/>
      <c r="O521" s="28"/>
      <c r="P521" s="28"/>
      <c r="Q521" s="28"/>
      <c r="R521" s="28"/>
      <c r="S521" s="28"/>
      <c r="T521" s="28"/>
      <c r="U521" s="28"/>
      <c r="V521" s="28"/>
      <c r="W521" s="28"/>
      <c r="X521" s="28"/>
      <c r="Y521" s="28"/>
      <c r="Z521" s="28"/>
    </row>
    <row r="522">
      <c r="A522" s="1044"/>
      <c r="B522" s="1045"/>
      <c r="C522" s="1041"/>
      <c r="D522" s="1045"/>
      <c r="E522" s="1041"/>
      <c r="F522" s="1041"/>
      <c r="G522" s="28"/>
      <c r="H522" s="28"/>
      <c r="I522" s="28"/>
      <c r="J522" s="28"/>
      <c r="K522" s="28"/>
      <c r="L522" s="28"/>
      <c r="M522" s="28"/>
      <c r="N522" s="28"/>
      <c r="O522" s="28"/>
      <c r="P522" s="28"/>
      <c r="Q522" s="28"/>
      <c r="R522" s="28"/>
      <c r="S522" s="28"/>
      <c r="T522" s="28"/>
      <c r="U522" s="28"/>
      <c r="V522" s="28"/>
      <c r="W522" s="28"/>
      <c r="X522" s="28"/>
      <c r="Y522" s="28"/>
      <c r="Z522" s="28"/>
    </row>
    <row r="523">
      <c r="A523" s="1044"/>
      <c r="B523" s="1045"/>
      <c r="C523" s="1041"/>
      <c r="D523" s="1045"/>
      <c r="E523" s="1041"/>
      <c r="F523" s="1041"/>
      <c r="G523" s="28"/>
      <c r="H523" s="28"/>
      <c r="I523" s="28"/>
      <c r="J523" s="28"/>
      <c r="K523" s="28"/>
      <c r="L523" s="28"/>
      <c r="M523" s="28"/>
      <c r="N523" s="28"/>
      <c r="O523" s="28"/>
      <c r="P523" s="28"/>
      <c r="Q523" s="28"/>
      <c r="R523" s="28"/>
      <c r="S523" s="28"/>
      <c r="T523" s="28"/>
      <c r="U523" s="28"/>
      <c r="V523" s="28"/>
      <c r="W523" s="28"/>
      <c r="X523" s="28"/>
      <c r="Y523" s="28"/>
      <c r="Z523" s="28"/>
    </row>
    <row r="524">
      <c r="A524" s="1044"/>
      <c r="B524" s="1045"/>
      <c r="C524" s="1041"/>
      <c r="D524" s="1045"/>
      <c r="E524" s="1041"/>
      <c r="F524" s="1041"/>
      <c r="G524" s="28"/>
      <c r="H524" s="28"/>
      <c r="I524" s="28"/>
      <c r="J524" s="28"/>
      <c r="K524" s="28"/>
      <c r="L524" s="28"/>
      <c r="M524" s="28"/>
      <c r="N524" s="28"/>
      <c r="O524" s="28"/>
      <c r="P524" s="28"/>
      <c r="Q524" s="28"/>
      <c r="R524" s="28"/>
      <c r="S524" s="28"/>
      <c r="T524" s="28"/>
      <c r="U524" s="28"/>
      <c r="V524" s="28"/>
      <c r="W524" s="28"/>
      <c r="X524" s="28"/>
      <c r="Y524" s="28"/>
      <c r="Z524" s="28"/>
    </row>
    <row r="525">
      <c r="A525" s="1044"/>
      <c r="B525" s="1045"/>
      <c r="C525" s="1041"/>
      <c r="D525" s="1045"/>
      <c r="E525" s="1041"/>
      <c r="F525" s="1041"/>
      <c r="G525" s="28"/>
      <c r="H525" s="28"/>
      <c r="I525" s="28"/>
      <c r="J525" s="28"/>
      <c r="K525" s="28"/>
      <c r="L525" s="28"/>
      <c r="M525" s="28"/>
      <c r="N525" s="28"/>
      <c r="O525" s="28"/>
      <c r="P525" s="28"/>
      <c r="Q525" s="28"/>
      <c r="R525" s="28"/>
      <c r="S525" s="28"/>
      <c r="T525" s="28"/>
      <c r="U525" s="28"/>
      <c r="V525" s="28"/>
      <c r="W525" s="28"/>
      <c r="X525" s="28"/>
      <c r="Y525" s="28"/>
      <c r="Z525" s="28"/>
    </row>
    <row r="526">
      <c r="A526" s="1044"/>
      <c r="B526" s="1045"/>
      <c r="C526" s="1041"/>
      <c r="D526" s="1045"/>
      <c r="E526" s="1041"/>
      <c r="F526" s="1041"/>
      <c r="G526" s="28"/>
      <c r="H526" s="28"/>
      <c r="I526" s="28"/>
      <c r="J526" s="28"/>
      <c r="K526" s="28"/>
      <c r="L526" s="28"/>
      <c r="M526" s="28"/>
      <c r="N526" s="28"/>
      <c r="O526" s="28"/>
      <c r="P526" s="28"/>
      <c r="Q526" s="28"/>
      <c r="R526" s="28"/>
      <c r="S526" s="28"/>
      <c r="T526" s="28"/>
      <c r="U526" s="28"/>
      <c r="V526" s="28"/>
      <c r="W526" s="28"/>
      <c r="X526" s="28"/>
      <c r="Y526" s="28"/>
      <c r="Z526" s="28"/>
    </row>
    <row r="527">
      <c r="A527" s="1044"/>
      <c r="B527" s="1045"/>
      <c r="C527" s="1041"/>
      <c r="D527" s="1045"/>
      <c r="E527" s="1041"/>
      <c r="F527" s="1041"/>
      <c r="G527" s="28"/>
      <c r="H527" s="28"/>
      <c r="I527" s="28"/>
      <c r="J527" s="28"/>
      <c r="K527" s="28"/>
      <c r="L527" s="28"/>
      <c r="M527" s="28"/>
      <c r="N527" s="28"/>
      <c r="O527" s="28"/>
      <c r="P527" s="28"/>
      <c r="Q527" s="28"/>
      <c r="R527" s="28"/>
      <c r="S527" s="28"/>
      <c r="T527" s="28"/>
      <c r="U527" s="28"/>
      <c r="V527" s="28"/>
      <c r="W527" s="28"/>
      <c r="X527" s="28"/>
      <c r="Y527" s="28"/>
      <c r="Z527" s="28"/>
    </row>
    <row r="528">
      <c r="A528" s="1044"/>
      <c r="B528" s="1045"/>
      <c r="C528" s="1041"/>
      <c r="D528" s="1045"/>
      <c r="E528" s="1041"/>
      <c r="F528" s="1041"/>
      <c r="G528" s="28"/>
      <c r="H528" s="28"/>
      <c r="I528" s="28"/>
      <c r="J528" s="28"/>
      <c r="K528" s="28"/>
      <c r="L528" s="28"/>
      <c r="M528" s="28"/>
      <c r="N528" s="28"/>
      <c r="O528" s="28"/>
      <c r="P528" s="28"/>
      <c r="Q528" s="28"/>
      <c r="R528" s="28"/>
      <c r="S528" s="28"/>
      <c r="T528" s="28"/>
      <c r="U528" s="28"/>
      <c r="V528" s="28"/>
      <c r="W528" s="28"/>
      <c r="X528" s="28"/>
      <c r="Y528" s="28"/>
      <c r="Z528" s="28"/>
    </row>
    <row r="529">
      <c r="A529" s="1044"/>
      <c r="B529" s="1045"/>
      <c r="C529" s="1041"/>
      <c r="D529" s="1045"/>
      <c r="E529" s="1041"/>
      <c r="F529" s="1041"/>
      <c r="G529" s="28"/>
      <c r="H529" s="28"/>
      <c r="I529" s="28"/>
      <c r="J529" s="28"/>
      <c r="K529" s="28"/>
      <c r="L529" s="28"/>
      <c r="M529" s="28"/>
      <c r="N529" s="28"/>
      <c r="O529" s="28"/>
      <c r="P529" s="28"/>
      <c r="Q529" s="28"/>
      <c r="R529" s="28"/>
      <c r="S529" s="28"/>
      <c r="T529" s="28"/>
      <c r="U529" s="28"/>
      <c r="V529" s="28"/>
      <c r="W529" s="28"/>
      <c r="X529" s="28"/>
      <c r="Y529" s="28"/>
      <c r="Z529" s="28"/>
    </row>
    <row r="530">
      <c r="A530" s="1044"/>
      <c r="B530" s="1045"/>
      <c r="C530" s="1041"/>
      <c r="D530" s="1045"/>
      <c r="E530" s="1041"/>
      <c r="F530" s="1041"/>
      <c r="G530" s="28"/>
      <c r="H530" s="28"/>
      <c r="I530" s="28"/>
      <c r="J530" s="28"/>
      <c r="K530" s="28"/>
      <c r="L530" s="28"/>
      <c r="M530" s="28"/>
      <c r="N530" s="28"/>
      <c r="O530" s="28"/>
      <c r="P530" s="28"/>
      <c r="Q530" s="28"/>
      <c r="R530" s="28"/>
      <c r="S530" s="28"/>
      <c r="T530" s="28"/>
      <c r="U530" s="28"/>
      <c r="V530" s="28"/>
      <c r="W530" s="28"/>
      <c r="X530" s="28"/>
      <c r="Y530" s="28"/>
      <c r="Z530" s="28"/>
    </row>
    <row r="531">
      <c r="A531" s="1044"/>
      <c r="B531" s="1045"/>
      <c r="C531" s="1041"/>
      <c r="D531" s="1045"/>
      <c r="E531" s="1041"/>
      <c r="F531" s="1041"/>
      <c r="G531" s="28"/>
      <c r="H531" s="28"/>
      <c r="I531" s="28"/>
      <c r="J531" s="28"/>
      <c r="K531" s="28"/>
      <c r="L531" s="28"/>
      <c r="M531" s="28"/>
      <c r="N531" s="28"/>
      <c r="O531" s="28"/>
      <c r="P531" s="28"/>
      <c r="Q531" s="28"/>
      <c r="R531" s="28"/>
      <c r="S531" s="28"/>
      <c r="T531" s="28"/>
      <c r="U531" s="28"/>
      <c r="V531" s="28"/>
      <c r="W531" s="28"/>
      <c r="X531" s="28"/>
      <c r="Y531" s="28"/>
      <c r="Z531" s="28"/>
    </row>
    <row r="532">
      <c r="A532" s="1044"/>
      <c r="B532" s="1045"/>
      <c r="C532" s="1041"/>
      <c r="D532" s="1045"/>
      <c r="E532" s="1041"/>
      <c r="F532" s="1041"/>
      <c r="G532" s="28"/>
      <c r="H532" s="28"/>
      <c r="I532" s="28"/>
      <c r="J532" s="28"/>
      <c r="K532" s="28"/>
      <c r="L532" s="28"/>
      <c r="M532" s="28"/>
      <c r="N532" s="28"/>
      <c r="O532" s="28"/>
      <c r="P532" s="28"/>
      <c r="Q532" s="28"/>
      <c r="R532" s="28"/>
      <c r="S532" s="28"/>
      <c r="T532" s="28"/>
      <c r="U532" s="28"/>
      <c r="V532" s="28"/>
      <c r="W532" s="28"/>
      <c r="X532" s="28"/>
      <c r="Y532" s="28"/>
      <c r="Z532" s="28"/>
    </row>
    <row r="533">
      <c r="A533" s="1044"/>
      <c r="B533" s="1045"/>
      <c r="C533" s="1041"/>
      <c r="D533" s="1045"/>
      <c r="E533" s="1041"/>
      <c r="F533" s="1041"/>
      <c r="G533" s="28"/>
      <c r="H533" s="28"/>
      <c r="I533" s="28"/>
      <c r="J533" s="28"/>
      <c r="K533" s="28"/>
      <c r="L533" s="28"/>
      <c r="M533" s="28"/>
      <c r="N533" s="28"/>
      <c r="O533" s="28"/>
      <c r="P533" s="28"/>
      <c r="Q533" s="28"/>
      <c r="R533" s="28"/>
      <c r="S533" s="28"/>
      <c r="T533" s="28"/>
      <c r="U533" s="28"/>
      <c r="V533" s="28"/>
      <c r="W533" s="28"/>
      <c r="X533" s="28"/>
      <c r="Y533" s="28"/>
      <c r="Z533" s="28"/>
    </row>
    <row r="534">
      <c r="A534" s="1044"/>
      <c r="B534" s="1045"/>
      <c r="C534" s="1041"/>
      <c r="D534" s="1045"/>
      <c r="E534" s="1041"/>
      <c r="F534" s="1041"/>
      <c r="G534" s="28"/>
      <c r="H534" s="28"/>
      <c r="I534" s="28"/>
      <c r="J534" s="28"/>
      <c r="K534" s="28"/>
      <c r="L534" s="28"/>
      <c r="M534" s="28"/>
      <c r="N534" s="28"/>
      <c r="O534" s="28"/>
      <c r="P534" s="28"/>
      <c r="Q534" s="28"/>
      <c r="R534" s="28"/>
      <c r="S534" s="28"/>
      <c r="T534" s="28"/>
      <c r="U534" s="28"/>
      <c r="V534" s="28"/>
      <c r="W534" s="28"/>
      <c r="X534" s="28"/>
      <c r="Y534" s="28"/>
      <c r="Z534" s="28"/>
    </row>
    <row r="535">
      <c r="A535" s="1044"/>
      <c r="B535" s="1045"/>
      <c r="C535" s="1041"/>
      <c r="D535" s="1045"/>
      <c r="E535" s="1041"/>
      <c r="F535" s="1041"/>
      <c r="G535" s="28"/>
      <c r="H535" s="28"/>
      <c r="I535" s="28"/>
      <c r="J535" s="28"/>
      <c r="K535" s="28"/>
      <c r="L535" s="28"/>
      <c r="M535" s="28"/>
      <c r="N535" s="28"/>
      <c r="O535" s="28"/>
      <c r="P535" s="28"/>
      <c r="Q535" s="28"/>
      <c r="R535" s="28"/>
      <c r="S535" s="28"/>
      <c r="T535" s="28"/>
      <c r="U535" s="28"/>
      <c r="V535" s="28"/>
      <c r="W535" s="28"/>
      <c r="X535" s="28"/>
      <c r="Y535" s="28"/>
      <c r="Z535" s="28"/>
    </row>
    <row r="536">
      <c r="A536" s="1044"/>
      <c r="B536" s="1045"/>
      <c r="C536" s="1041"/>
      <c r="D536" s="1045"/>
      <c r="E536" s="1041"/>
      <c r="F536" s="1041"/>
      <c r="G536" s="28"/>
      <c r="H536" s="28"/>
      <c r="I536" s="28"/>
      <c r="J536" s="28"/>
      <c r="K536" s="28"/>
      <c r="L536" s="28"/>
      <c r="M536" s="28"/>
      <c r="N536" s="28"/>
      <c r="O536" s="28"/>
      <c r="P536" s="28"/>
      <c r="Q536" s="28"/>
      <c r="R536" s="28"/>
      <c r="S536" s="28"/>
      <c r="T536" s="28"/>
      <c r="U536" s="28"/>
      <c r="V536" s="28"/>
      <c r="W536" s="28"/>
      <c r="X536" s="28"/>
      <c r="Y536" s="28"/>
      <c r="Z536" s="28"/>
    </row>
    <row r="537">
      <c r="A537" s="1044"/>
      <c r="B537" s="1045"/>
      <c r="C537" s="1041"/>
      <c r="D537" s="1045"/>
      <c r="E537" s="1041"/>
      <c r="F537" s="1041"/>
      <c r="G537" s="28"/>
      <c r="H537" s="28"/>
      <c r="I537" s="28"/>
      <c r="J537" s="28"/>
      <c r="K537" s="28"/>
      <c r="L537" s="28"/>
      <c r="M537" s="28"/>
      <c r="N537" s="28"/>
      <c r="O537" s="28"/>
      <c r="P537" s="28"/>
      <c r="Q537" s="28"/>
      <c r="R537" s="28"/>
      <c r="S537" s="28"/>
      <c r="T537" s="28"/>
      <c r="U537" s="28"/>
      <c r="V537" s="28"/>
      <c r="W537" s="28"/>
      <c r="X537" s="28"/>
      <c r="Y537" s="28"/>
      <c r="Z537" s="28"/>
    </row>
    <row r="538">
      <c r="A538" s="1044"/>
      <c r="B538" s="1045"/>
      <c r="C538" s="1041"/>
      <c r="D538" s="1045"/>
      <c r="E538" s="1041"/>
      <c r="F538" s="1041"/>
      <c r="G538" s="28"/>
      <c r="H538" s="28"/>
      <c r="I538" s="28"/>
      <c r="J538" s="28"/>
      <c r="K538" s="28"/>
      <c r="L538" s="28"/>
      <c r="M538" s="28"/>
      <c r="N538" s="28"/>
      <c r="O538" s="28"/>
      <c r="P538" s="28"/>
      <c r="Q538" s="28"/>
      <c r="R538" s="28"/>
      <c r="S538" s="28"/>
      <c r="T538" s="28"/>
      <c r="U538" s="28"/>
      <c r="V538" s="28"/>
      <c r="W538" s="28"/>
      <c r="X538" s="28"/>
      <c r="Y538" s="28"/>
      <c r="Z538" s="28"/>
    </row>
    <row r="539">
      <c r="A539" s="1044"/>
      <c r="B539" s="1045"/>
      <c r="C539" s="1041"/>
      <c r="D539" s="1045"/>
      <c r="E539" s="1041"/>
      <c r="F539" s="1041"/>
      <c r="G539" s="28"/>
      <c r="H539" s="28"/>
      <c r="I539" s="28"/>
      <c r="J539" s="28"/>
      <c r="K539" s="28"/>
      <c r="L539" s="28"/>
      <c r="M539" s="28"/>
      <c r="N539" s="28"/>
      <c r="O539" s="28"/>
      <c r="P539" s="28"/>
      <c r="Q539" s="28"/>
      <c r="R539" s="28"/>
      <c r="S539" s="28"/>
      <c r="T539" s="28"/>
      <c r="U539" s="28"/>
      <c r="V539" s="28"/>
      <c r="W539" s="28"/>
      <c r="X539" s="28"/>
      <c r="Y539" s="28"/>
      <c r="Z539" s="28"/>
    </row>
    <row r="540">
      <c r="A540" s="1044"/>
      <c r="B540" s="1045"/>
      <c r="C540" s="1041"/>
      <c r="D540" s="1045"/>
      <c r="E540" s="1041"/>
      <c r="F540" s="1041"/>
      <c r="G540" s="28"/>
      <c r="H540" s="28"/>
      <c r="I540" s="28"/>
      <c r="J540" s="28"/>
      <c r="K540" s="28"/>
      <c r="L540" s="28"/>
      <c r="M540" s="28"/>
      <c r="N540" s="28"/>
      <c r="O540" s="28"/>
      <c r="P540" s="28"/>
      <c r="Q540" s="28"/>
      <c r="R540" s="28"/>
      <c r="S540" s="28"/>
      <c r="T540" s="28"/>
      <c r="U540" s="28"/>
      <c r="V540" s="28"/>
      <c r="W540" s="28"/>
      <c r="X540" s="28"/>
      <c r="Y540" s="28"/>
      <c r="Z540" s="28"/>
    </row>
    <row r="541">
      <c r="A541" s="1044"/>
      <c r="B541" s="1045"/>
      <c r="C541" s="1041"/>
      <c r="D541" s="1045"/>
      <c r="E541" s="1041"/>
      <c r="F541" s="1041"/>
      <c r="G541" s="28"/>
      <c r="H541" s="28"/>
      <c r="I541" s="28"/>
      <c r="J541" s="28"/>
      <c r="K541" s="28"/>
      <c r="L541" s="28"/>
      <c r="M541" s="28"/>
      <c r="N541" s="28"/>
      <c r="O541" s="28"/>
      <c r="P541" s="28"/>
      <c r="Q541" s="28"/>
      <c r="R541" s="28"/>
      <c r="S541" s="28"/>
      <c r="T541" s="28"/>
      <c r="U541" s="28"/>
      <c r="V541" s="28"/>
      <c r="W541" s="28"/>
      <c r="X541" s="28"/>
      <c r="Y541" s="28"/>
      <c r="Z541" s="28"/>
    </row>
    <row r="542">
      <c r="A542" s="1044"/>
      <c r="B542" s="1045"/>
      <c r="C542" s="1041"/>
      <c r="D542" s="1045"/>
      <c r="E542" s="1041"/>
      <c r="F542" s="1041"/>
      <c r="G542" s="28"/>
      <c r="H542" s="28"/>
      <c r="I542" s="28"/>
      <c r="J542" s="28"/>
      <c r="K542" s="28"/>
      <c r="L542" s="28"/>
      <c r="M542" s="28"/>
      <c r="N542" s="28"/>
      <c r="O542" s="28"/>
      <c r="P542" s="28"/>
      <c r="Q542" s="28"/>
      <c r="R542" s="28"/>
      <c r="S542" s="28"/>
      <c r="T542" s="28"/>
      <c r="U542" s="28"/>
      <c r="V542" s="28"/>
      <c r="W542" s="28"/>
      <c r="X542" s="28"/>
      <c r="Y542" s="28"/>
      <c r="Z542" s="28"/>
    </row>
    <row r="543">
      <c r="A543" s="1044"/>
      <c r="B543" s="1045"/>
      <c r="C543" s="1041"/>
      <c r="D543" s="1045"/>
      <c r="E543" s="1041"/>
      <c r="F543" s="1041"/>
      <c r="G543" s="28"/>
      <c r="H543" s="28"/>
      <c r="I543" s="28"/>
      <c r="J543" s="28"/>
      <c r="K543" s="28"/>
      <c r="L543" s="28"/>
      <c r="M543" s="28"/>
      <c r="N543" s="28"/>
      <c r="O543" s="28"/>
      <c r="P543" s="28"/>
      <c r="Q543" s="28"/>
      <c r="R543" s="28"/>
      <c r="S543" s="28"/>
      <c r="T543" s="28"/>
      <c r="U543" s="28"/>
      <c r="V543" s="28"/>
      <c r="W543" s="28"/>
      <c r="X543" s="28"/>
      <c r="Y543" s="28"/>
      <c r="Z543" s="28"/>
    </row>
    <row r="544">
      <c r="A544" s="1044"/>
      <c r="B544" s="1045"/>
      <c r="C544" s="1041"/>
      <c r="D544" s="1045"/>
      <c r="E544" s="1041"/>
      <c r="F544" s="1041"/>
      <c r="G544" s="28"/>
      <c r="H544" s="28"/>
      <c r="I544" s="28"/>
      <c r="J544" s="28"/>
      <c r="K544" s="28"/>
      <c r="L544" s="28"/>
      <c r="M544" s="28"/>
      <c r="N544" s="28"/>
      <c r="O544" s="28"/>
      <c r="P544" s="28"/>
      <c r="Q544" s="28"/>
      <c r="R544" s="28"/>
      <c r="S544" s="28"/>
      <c r="T544" s="28"/>
      <c r="U544" s="28"/>
      <c r="V544" s="28"/>
      <c r="W544" s="28"/>
      <c r="X544" s="28"/>
      <c r="Y544" s="28"/>
      <c r="Z544" s="28"/>
    </row>
    <row r="545">
      <c r="A545" s="1044"/>
      <c r="B545" s="1045"/>
      <c r="C545" s="1041"/>
      <c r="D545" s="1045"/>
      <c r="E545" s="1041"/>
      <c r="F545" s="1041"/>
      <c r="G545" s="28"/>
      <c r="H545" s="28"/>
      <c r="I545" s="28"/>
      <c r="J545" s="28"/>
      <c r="K545" s="28"/>
      <c r="L545" s="28"/>
      <c r="M545" s="28"/>
      <c r="N545" s="28"/>
      <c r="O545" s="28"/>
      <c r="P545" s="28"/>
      <c r="Q545" s="28"/>
      <c r="R545" s="28"/>
      <c r="S545" s="28"/>
      <c r="T545" s="28"/>
      <c r="U545" s="28"/>
      <c r="V545" s="28"/>
      <c r="W545" s="28"/>
      <c r="X545" s="28"/>
      <c r="Y545" s="28"/>
      <c r="Z545" s="28"/>
    </row>
    <row r="546">
      <c r="A546" s="1044"/>
      <c r="B546" s="1045"/>
      <c r="C546" s="1041"/>
      <c r="D546" s="1045"/>
      <c r="E546" s="1041"/>
      <c r="F546" s="1041"/>
      <c r="G546" s="28"/>
      <c r="H546" s="28"/>
      <c r="I546" s="28"/>
      <c r="J546" s="28"/>
      <c r="K546" s="28"/>
      <c r="L546" s="28"/>
      <c r="M546" s="28"/>
      <c r="N546" s="28"/>
      <c r="O546" s="28"/>
      <c r="P546" s="28"/>
      <c r="Q546" s="28"/>
      <c r="R546" s="28"/>
      <c r="S546" s="28"/>
      <c r="T546" s="28"/>
      <c r="U546" s="28"/>
      <c r="V546" s="28"/>
      <c r="W546" s="28"/>
      <c r="X546" s="28"/>
      <c r="Y546" s="28"/>
      <c r="Z546" s="28"/>
    </row>
    <row r="547">
      <c r="A547" s="1044"/>
      <c r="B547" s="1045"/>
      <c r="C547" s="1041"/>
      <c r="D547" s="1045"/>
      <c r="E547" s="1041"/>
      <c r="F547" s="1041"/>
      <c r="G547" s="28"/>
      <c r="H547" s="28"/>
      <c r="I547" s="28"/>
      <c r="J547" s="28"/>
      <c r="K547" s="28"/>
      <c r="L547" s="28"/>
      <c r="M547" s="28"/>
      <c r="N547" s="28"/>
      <c r="O547" s="28"/>
      <c r="P547" s="28"/>
      <c r="Q547" s="28"/>
      <c r="R547" s="28"/>
      <c r="S547" s="28"/>
      <c r="T547" s="28"/>
      <c r="U547" s="28"/>
      <c r="V547" s="28"/>
      <c r="W547" s="28"/>
      <c r="X547" s="28"/>
      <c r="Y547" s="28"/>
      <c r="Z547" s="28"/>
    </row>
    <row r="548">
      <c r="A548" s="1044"/>
      <c r="B548" s="1045"/>
      <c r="C548" s="1041"/>
      <c r="D548" s="1045"/>
      <c r="E548" s="1041"/>
      <c r="F548" s="1041"/>
      <c r="G548" s="28"/>
      <c r="H548" s="28"/>
      <c r="I548" s="28"/>
      <c r="J548" s="28"/>
      <c r="K548" s="28"/>
      <c r="L548" s="28"/>
      <c r="M548" s="28"/>
      <c r="N548" s="28"/>
      <c r="O548" s="28"/>
      <c r="P548" s="28"/>
      <c r="Q548" s="28"/>
      <c r="R548" s="28"/>
      <c r="S548" s="28"/>
      <c r="T548" s="28"/>
      <c r="U548" s="28"/>
      <c r="V548" s="28"/>
      <c r="W548" s="28"/>
      <c r="X548" s="28"/>
      <c r="Y548" s="28"/>
      <c r="Z548" s="28"/>
    </row>
    <row r="549">
      <c r="A549" s="1044"/>
      <c r="B549" s="1045"/>
      <c r="C549" s="1041"/>
      <c r="D549" s="1045"/>
      <c r="E549" s="1041"/>
      <c r="F549" s="1041"/>
      <c r="G549" s="28"/>
      <c r="H549" s="28"/>
      <c r="I549" s="28"/>
      <c r="J549" s="28"/>
      <c r="K549" s="28"/>
      <c r="L549" s="28"/>
      <c r="M549" s="28"/>
      <c r="N549" s="28"/>
      <c r="O549" s="28"/>
      <c r="P549" s="28"/>
      <c r="Q549" s="28"/>
      <c r="R549" s="28"/>
      <c r="S549" s="28"/>
      <c r="T549" s="28"/>
      <c r="U549" s="28"/>
      <c r="V549" s="28"/>
      <c r="W549" s="28"/>
      <c r="X549" s="28"/>
      <c r="Y549" s="28"/>
      <c r="Z549" s="28"/>
    </row>
    <row r="550">
      <c r="A550" s="1044"/>
      <c r="B550" s="1045"/>
      <c r="C550" s="1041"/>
      <c r="D550" s="1045"/>
      <c r="E550" s="1041"/>
      <c r="F550" s="1041"/>
      <c r="G550" s="28"/>
      <c r="H550" s="28"/>
      <c r="I550" s="28"/>
      <c r="J550" s="28"/>
      <c r="K550" s="28"/>
      <c r="L550" s="28"/>
      <c r="M550" s="28"/>
      <c r="N550" s="28"/>
      <c r="O550" s="28"/>
      <c r="P550" s="28"/>
      <c r="Q550" s="28"/>
      <c r="R550" s="28"/>
      <c r="S550" s="28"/>
      <c r="T550" s="28"/>
      <c r="U550" s="28"/>
      <c r="V550" s="28"/>
      <c r="W550" s="28"/>
      <c r="X550" s="28"/>
      <c r="Y550" s="28"/>
      <c r="Z550" s="28"/>
    </row>
    <row r="551">
      <c r="A551" s="1044"/>
      <c r="B551" s="1045"/>
      <c r="C551" s="1041"/>
      <c r="D551" s="1045"/>
      <c r="E551" s="1041"/>
      <c r="F551" s="1041"/>
      <c r="G551" s="28"/>
      <c r="H551" s="28"/>
      <c r="I551" s="28"/>
      <c r="J551" s="28"/>
      <c r="K551" s="28"/>
      <c r="L551" s="28"/>
      <c r="M551" s="28"/>
      <c r="N551" s="28"/>
      <c r="O551" s="28"/>
      <c r="P551" s="28"/>
      <c r="Q551" s="28"/>
      <c r="R551" s="28"/>
      <c r="S551" s="28"/>
      <c r="T551" s="28"/>
      <c r="U551" s="28"/>
      <c r="V551" s="28"/>
      <c r="W551" s="28"/>
      <c r="X551" s="28"/>
      <c r="Y551" s="28"/>
      <c r="Z551" s="28"/>
    </row>
    <row r="552">
      <c r="A552" s="1044"/>
      <c r="B552" s="1045"/>
      <c r="C552" s="1041"/>
      <c r="D552" s="1045"/>
      <c r="E552" s="1041"/>
      <c r="F552" s="1041"/>
      <c r="G552" s="28"/>
      <c r="H552" s="28"/>
      <c r="I552" s="28"/>
      <c r="J552" s="28"/>
      <c r="K552" s="28"/>
      <c r="L552" s="28"/>
      <c r="M552" s="28"/>
      <c r="N552" s="28"/>
      <c r="O552" s="28"/>
      <c r="P552" s="28"/>
      <c r="Q552" s="28"/>
      <c r="R552" s="28"/>
      <c r="S552" s="28"/>
      <c r="T552" s="28"/>
      <c r="U552" s="28"/>
      <c r="V552" s="28"/>
      <c r="W552" s="28"/>
      <c r="X552" s="28"/>
      <c r="Y552" s="28"/>
      <c r="Z552" s="28"/>
    </row>
    <row r="553">
      <c r="A553" s="1044"/>
      <c r="B553" s="1045"/>
      <c r="C553" s="1041"/>
      <c r="D553" s="1045"/>
      <c r="E553" s="1041"/>
      <c r="F553" s="1041"/>
      <c r="G553" s="28"/>
      <c r="H553" s="28"/>
      <c r="I553" s="28"/>
      <c r="J553" s="28"/>
      <c r="K553" s="28"/>
      <c r="L553" s="28"/>
      <c r="M553" s="28"/>
      <c r="N553" s="28"/>
      <c r="O553" s="28"/>
      <c r="P553" s="28"/>
      <c r="Q553" s="28"/>
      <c r="R553" s="28"/>
      <c r="S553" s="28"/>
      <c r="T553" s="28"/>
      <c r="U553" s="28"/>
      <c r="V553" s="28"/>
      <c r="W553" s="28"/>
      <c r="X553" s="28"/>
      <c r="Y553" s="28"/>
      <c r="Z553" s="28"/>
    </row>
    <row r="554">
      <c r="A554" s="1044"/>
      <c r="B554" s="1045"/>
      <c r="C554" s="1041"/>
      <c r="D554" s="1045"/>
      <c r="E554" s="1041"/>
      <c r="F554" s="1041"/>
      <c r="G554" s="28"/>
      <c r="H554" s="28"/>
      <c r="I554" s="28"/>
      <c r="J554" s="28"/>
      <c r="K554" s="28"/>
      <c r="L554" s="28"/>
      <c r="M554" s="28"/>
      <c r="N554" s="28"/>
      <c r="O554" s="28"/>
      <c r="P554" s="28"/>
      <c r="Q554" s="28"/>
      <c r="R554" s="28"/>
      <c r="S554" s="28"/>
      <c r="T554" s="28"/>
      <c r="U554" s="28"/>
      <c r="V554" s="28"/>
      <c r="W554" s="28"/>
      <c r="X554" s="28"/>
      <c r="Y554" s="28"/>
      <c r="Z554" s="28"/>
    </row>
    <row r="555">
      <c r="A555" s="1044"/>
      <c r="B555" s="1045"/>
      <c r="C555" s="1041"/>
      <c r="D555" s="1045"/>
      <c r="E555" s="1041"/>
      <c r="F555" s="1041"/>
      <c r="G555" s="28"/>
      <c r="H555" s="28"/>
      <c r="I555" s="28"/>
      <c r="J555" s="28"/>
      <c r="K555" s="28"/>
      <c r="L555" s="28"/>
      <c r="M555" s="28"/>
      <c r="N555" s="28"/>
      <c r="O555" s="28"/>
      <c r="P555" s="28"/>
      <c r="Q555" s="28"/>
      <c r="R555" s="28"/>
      <c r="S555" s="28"/>
      <c r="T555" s="28"/>
      <c r="U555" s="28"/>
      <c r="V555" s="28"/>
      <c r="W555" s="28"/>
      <c r="X555" s="28"/>
      <c r="Y555" s="28"/>
      <c r="Z555" s="28"/>
    </row>
    <row r="556">
      <c r="A556" s="1044"/>
      <c r="B556" s="1045"/>
      <c r="C556" s="1041"/>
      <c r="D556" s="1045"/>
      <c r="E556" s="1041"/>
      <c r="F556" s="1041"/>
      <c r="G556" s="28"/>
      <c r="H556" s="28"/>
      <c r="I556" s="28"/>
      <c r="J556" s="28"/>
      <c r="K556" s="28"/>
      <c r="L556" s="28"/>
      <c r="M556" s="28"/>
      <c r="N556" s="28"/>
      <c r="O556" s="28"/>
      <c r="P556" s="28"/>
      <c r="Q556" s="28"/>
      <c r="R556" s="28"/>
      <c r="S556" s="28"/>
      <c r="T556" s="28"/>
      <c r="U556" s="28"/>
      <c r="V556" s="28"/>
      <c r="W556" s="28"/>
      <c r="X556" s="28"/>
      <c r="Y556" s="28"/>
      <c r="Z556" s="28"/>
    </row>
    <row r="557">
      <c r="A557" s="1044"/>
      <c r="B557" s="1045"/>
      <c r="C557" s="1041"/>
      <c r="D557" s="1045"/>
      <c r="E557" s="1041"/>
      <c r="F557" s="1041"/>
      <c r="G557" s="28"/>
      <c r="H557" s="28"/>
      <c r="I557" s="28"/>
      <c r="J557" s="28"/>
      <c r="K557" s="28"/>
      <c r="L557" s="28"/>
      <c r="M557" s="28"/>
      <c r="N557" s="28"/>
      <c r="O557" s="28"/>
      <c r="P557" s="28"/>
      <c r="Q557" s="28"/>
      <c r="R557" s="28"/>
      <c r="S557" s="28"/>
      <c r="T557" s="28"/>
      <c r="U557" s="28"/>
      <c r="V557" s="28"/>
      <c r="W557" s="28"/>
      <c r="X557" s="28"/>
      <c r="Y557" s="28"/>
      <c r="Z557" s="28"/>
    </row>
    <row r="558">
      <c r="A558" s="1044"/>
      <c r="B558" s="1045"/>
      <c r="C558" s="1041"/>
      <c r="D558" s="1045"/>
      <c r="E558" s="1041"/>
      <c r="F558" s="1041"/>
      <c r="G558" s="28"/>
      <c r="H558" s="28"/>
      <c r="I558" s="28"/>
      <c r="J558" s="28"/>
      <c r="K558" s="28"/>
      <c r="L558" s="28"/>
      <c r="M558" s="28"/>
      <c r="N558" s="28"/>
      <c r="O558" s="28"/>
      <c r="P558" s="28"/>
      <c r="Q558" s="28"/>
      <c r="R558" s="28"/>
      <c r="S558" s="28"/>
      <c r="T558" s="28"/>
      <c r="U558" s="28"/>
      <c r="V558" s="28"/>
      <c r="W558" s="28"/>
      <c r="X558" s="28"/>
      <c r="Y558" s="28"/>
      <c r="Z558" s="28"/>
    </row>
    <row r="559">
      <c r="A559" s="1044"/>
      <c r="B559" s="1045"/>
      <c r="C559" s="1041"/>
      <c r="D559" s="1045"/>
      <c r="E559" s="1041"/>
      <c r="F559" s="1041"/>
      <c r="G559" s="28"/>
      <c r="H559" s="28"/>
      <c r="I559" s="28"/>
      <c r="J559" s="28"/>
      <c r="K559" s="28"/>
      <c r="L559" s="28"/>
      <c r="M559" s="28"/>
      <c r="N559" s="28"/>
      <c r="O559" s="28"/>
      <c r="P559" s="28"/>
      <c r="Q559" s="28"/>
      <c r="R559" s="28"/>
      <c r="S559" s="28"/>
      <c r="T559" s="28"/>
      <c r="U559" s="28"/>
      <c r="V559" s="28"/>
      <c r="W559" s="28"/>
      <c r="X559" s="28"/>
      <c r="Y559" s="28"/>
      <c r="Z559" s="28"/>
    </row>
    <row r="560">
      <c r="A560" s="1044"/>
      <c r="B560" s="1045"/>
      <c r="C560" s="1041"/>
      <c r="D560" s="1045"/>
      <c r="E560" s="1041"/>
      <c r="F560" s="1041"/>
      <c r="G560" s="28"/>
      <c r="H560" s="28"/>
      <c r="I560" s="28"/>
      <c r="J560" s="28"/>
      <c r="K560" s="28"/>
      <c r="L560" s="28"/>
      <c r="M560" s="28"/>
      <c r="N560" s="28"/>
      <c r="O560" s="28"/>
      <c r="P560" s="28"/>
      <c r="Q560" s="28"/>
      <c r="R560" s="28"/>
      <c r="S560" s="28"/>
      <c r="T560" s="28"/>
      <c r="U560" s="28"/>
      <c r="V560" s="28"/>
      <c r="W560" s="28"/>
      <c r="X560" s="28"/>
      <c r="Y560" s="28"/>
      <c r="Z560" s="28"/>
    </row>
    <row r="561">
      <c r="A561" s="1044"/>
      <c r="B561" s="1045"/>
      <c r="C561" s="1041"/>
      <c r="D561" s="1045"/>
      <c r="E561" s="1041"/>
      <c r="F561" s="1041"/>
      <c r="G561" s="28"/>
      <c r="H561" s="28"/>
      <c r="I561" s="28"/>
      <c r="J561" s="28"/>
      <c r="K561" s="28"/>
      <c r="L561" s="28"/>
      <c r="M561" s="28"/>
      <c r="N561" s="28"/>
      <c r="O561" s="28"/>
      <c r="P561" s="28"/>
      <c r="Q561" s="28"/>
      <c r="R561" s="28"/>
      <c r="S561" s="28"/>
      <c r="T561" s="28"/>
      <c r="U561" s="28"/>
      <c r="V561" s="28"/>
      <c r="W561" s="28"/>
      <c r="X561" s="28"/>
      <c r="Y561" s="28"/>
      <c r="Z561" s="28"/>
    </row>
    <row r="562">
      <c r="A562" s="1044"/>
      <c r="B562" s="1045"/>
      <c r="C562" s="1041"/>
      <c r="D562" s="1045"/>
      <c r="E562" s="1041"/>
      <c r="F562" s="1041"/>
      <c r="G562" s="28"/>
      <c r="H562" s="28"/>
      <c r="I562" s="28"/>
      <c r="J562" s="28"/>
      <c r="K562" s="28"/>
      <c r="L562" s="28"/>
      <c r="M562" s="28"/>
      <c r="N562" s="28"/>
      <c r="O562" s="28"/>
      <c r="P562" s="28"/>
      <c r="Q562" s="28"/>
      <c r="R562" s="28"/>
      <c r="S562" s="28"/>
      <c r="T562" s="28"/>
      <c r="U562" s="28"/>
      <c r="V562" s="28"/>
      <c r="W562" s="28"/>
      <c r="X562" s="28"/>
      <c r="Y562" s="28"/>
      <c r="Z562" s="28"/>
    </row>
    <row r="563">
      <c r="A563" s="1044"/>
      <c r="B563" s="1045"/>
      <c r="C563" s="1041"/>
      <c r="D563" s="1045"/>
      <c r="E563" s="1041"/>
      <c r="F563" s="1041"/>
      <c r="G563" s="28"/>
      <c r="H563" s="28"/>
      <c r="I563" s="28"/>
      <c r="J563" s="28"/>
      <c r="K563" s="28"/>
      <c r="L563" s="28"/>
      <c r="M563" s="28"/>
      <c r="N563" s="28"/>
      <c r="O563" s="28"/>
      <c r="P563" s="28"/>
      <c r="Q563" s="28"/>
      <c r="R563" s="28"/>
      <c r="S563" s="28"/>
      <c r="T563" s="28"/>
      <c r="U563" s="28"/>
      <c r="V563" s="28"/>
      <c r="W563" s="28"/>
      <c r="X563" s="28"/>
      <c r="Y563" s="28"/>
      <c r="Z563" s="28"/>
    </row>
    <row r="564">
      <c r="A564" s="1044"/>
      <c r="B564" s="1045"/>
      <c r="C564" s="1041"/>
      <c r="D564" s="1045"/>
      <c r="E564" s="1041"/>
      <c r="F564" s="1041"/>
      <c r="G564" s="28"/>
      <c r="H564" s="28"/>
      <c r="I564" s="28"/>
      <c r="J564" s="28"/>
      <c r="K564" s="28"/>
      <c r="L564" s="28"/>
      <c r="M564" s="28"/>
      <c r="N564" s="28"/>
      <c r="O564" s="28"/>
      <c r="P564" s="28"/>
      <c r="Q564" s="28"/>
      <c r="R564" s="28"/>
      <c r="S564" s="28"/>
      <c r="T564" s="28"/>
      <c r="U564" s="28"/>
      <c r="V564" s="28"/>
      <c r="W564" s="28"/>
      <c r="X564" s="28"/>
      <c r="Y564" s="28"/>
      <c r="Z564" s="28"/>
    </row>
    <row r="565">
      <c r="A565" s="1044"/>
      <c r="B565" s="1045"/>
      <c r="C565" s="1041"/>
      <c r="D565" s="1045"/>
      <c r="E565" s="1041"/>
      <c r="F565" s="1041"/>
      <c r="G565" s="28"/>
      <c r="H565" s="28"/>
      <c r="I565" s="28"/>
      <c r="J565" s="28"/>
      <c r="K565" s="28"/>
      <c r="L565" s="28"/>
      <c r="M565" s="28"/>
      <c r="N565" s="28"/>
      <c r="O565" s="28"/>
      <c r="P565" s="28"/>
      <c r="Q565" s="28"/>
      <c r="R565" s="28"/>
      <c r="S565" s="28"/>
      <c r="T565" s="28"/>
      <c r="U565" s="28"/>
      <c r="V565" s="28"/>
      <c r="W565" s="28"/>
      <c r="X565" s="28"/>
      <c r="Y565" s="28"/>
      <c r="Z565" s="28"/>
    </row>
    <row r="566">
      <c r="A566" s="1044"/>
      <c r="B566" s="1045"/>
      <c r="C566" s="1041"/>
      <c r="D566" s="1045"/>
      <c r="E566" s="1041"/>
      <c r="F566" s="1041"/>
      <c r="G566" s="28"/>
      <c r="H566" s="28"/>
      <c r="I566" s="28"/>
      <c r="J566" s="28"/>
      <c r="K566" s="28"/>
      <c r="L566" s="28"/>
      <c r="M566" s="28"/>
      <c r="N566" s="28"/>
      <c r="O566" s="28"/>
      <c r="P566" s="28"/>
      <c r="Q566" s="28"/>
      <c r="R566" s="28"/>
      <c r="S566" s="28"/>
      <c r="T566" s="28"/>
      <c r="U566" s="28"/>
      <c r="V566" s="28"/>
      <c r="W566" s="28"/>
      <c r="X566" s="28"/>
      <c r="Y566" s="28"/>
      <c r="Z566" s="28"/>
    </row>
    <row r="567">
      <c r="A567" s="1044"/>
      <c r="B567" s="1045"/>
      <c r="C567" s="1041"/>
      <c r="D567" s="1045"/>
      <c r="E567" s="1041"/>
      <c r="F567" s="1041"/>
      <c r="G567" s="28"/>
      <c r="H567" s="28"/>
      <c r="I567" s="28"/>
      <c r="J567" s="28"/>
      <c r="K567" s="28"/>
      <c r="L567" s="28"/>
      <c r="M567" s="28"/>
      <c r="N567" s="28"/>
      <c r="O567" s="28"/>
      <c r="P567" s="28"/>
      <c r="Q567" s="28"/>
      <c r="R567" s="28"/>
      <c r="S567" s="28"/>
      <c r="T567" s="28"/>
      <c r="U567" s="28"/>
      <c r="V567" s="28"/>
      <c r="W567" s="28"/>
      <c r="X567" s="28"/>
      <c r="Y567" s="28"/>
      <c r="Z567" s="28"/>
    </row>
    <row r="568">
      <c r="A568" s="1044"/>
      <c r="B568" s="1045"/>
      <c r="C568" s="1041"/>
      <c r="D568" s="1045"/>
      <c r="E568" s="1041"/>
      <c r="F568" s="1041"/>
      <c r="G568" s="28"/>
      <c r="H568" s="28"/>
      <c r="I568" s="28"/>
      <c r="J568" s="28"/>
      <c r="K568" s="28"/>
      <c r="L568" s="28"/>
      <c r="M568" s="28"/>
      <c r="N568" s="28"/>
      <c r="O568" s="28"/>
      <c r="P568" s="28"/>
      <c r="Q568" s="28"/>
      <c r="R568" s="28"/>
      <c r="S568" s="28"/>
      <c r="T568" s="28"/>
      <c r="U568" s="28"/>
      <c r="V568" s="28"/>
      <c r="W568" s="28"/>
      <c r="X568" s="28"/>
      <c r="Y568" s="28"/>
      <c r="Z568" s="28"/>
    </row>
    <row r="569">
      <c r="A569" s="1044"/>
      <c r="B569" s="1045"/>
      <c r="C569" s="1041"/>
      <c r="D569" s="1045"/>
      <c r="E569" s="1041"/>
      <c r="F569" s="1041"/>
      <c r="G569" s="28"/>
      <c r="H569" s="28"/>
      <c r="I569" s="28"/>
      <c r="J569" s="28"/>
      <c r="K569" s="28"/>
      <c r="L569" s="28"/>
      <c r="M569" s="28"/>
      <c r="N569" s="28"/>
      <c r="O569" s="28"/>
      <c r="P569" s="28"/>
      <c r="Q569" s="28"/>
      <c r="R569" s="28"/>
      <c r="S569" s="28"/>
      <c r="T569" s="28"/>
      <c r="U569" s="28"/>
      <c r="V569" s="28"/>
      <c r="W569" s="28"/>
      <c r="X569" s="28"/>
      <c r="Y569" s="28"/>
      <c r="Z569" s="28"/>
    </row>
    <row r="570">
      <c r="A570" s="1044"/>
      <c r="B570" s="1045"/>
      <c r="C570" s="1041"/>
      <c r="D570" s="1045"/>
      <c r="E570" s="1041"/>
      <c r="F570" s="1041"/>
      <c r="G570" s="28"/>
      <c r="H570" s="28"/>
      <c r="I570" s="28"/>
      <c r="J570" s="28"/>
      <c r="K570" s="28"/>
      <c r="L570" s="28"/>
      <c r="M570" s="28"/>
      <c r="N570" s="28"/>
      <c r="O570" s="28"/>
      <c r="P570" s="28"/>
      <c r="Q570" s="28"/>
      <c r="R570" s="28"/>
      <c r="S570" s="28"/>
      <c r="T570" s="28"/>
      <c r="U570" s="28"/>
      <c r="V570" s="28"/>
      <c r="W570" s="28"/>
      <c r="X570" s="28"/>
      <c r="Y570" s="28"/>
      <c r="Z570" s="28"/>
    </row>
    <row r="571">
      <c r="A571" s="1044"/>
      <c r="B571" s="1045"/>
      <c r="C571" s="1041"/>
      <c r="D571" s="1045"/>
      <c r="E571" s="1041"/>
      <c r="F571" s="1041"/>
      <c r="G571" s="28"/>
      <c r="H571" s="28"/>
      <c r="I571" s="28"/>
      <c r="J571" s="28"/>
      <c r="K571" s="28"/>
      <c r="L571" s="28"/>
      <c r="M571" s="28"/>
      <c r="N571" s="28"/>
      <c r="O571" s="28"/>
      <c r="P571" s="28"/>
      <c r="Q571" s="28"/>
      <c r="R571" s="28"/>
      <c r="S571" s="28"/>
      <c r="T571" s="28"/>
      <c r="U571" s="28"/>
      <c r="V571" s="28"/>
      <c r="W571" s="28"/>
      <c r="X571" s="28"/>
      <c r="Y571" s="28"/>
      <c r="Z571" s="28"/>
    </row>
    <row r="572">
      <c r="A572" s="1044"/>
      <c r="B572" s="1045"/>
      <c r="C572" s="1041"/>
      <c r="D572" s="1045"/>
      <c r="E572" s="1041"/>
      <c r="F572" s="1041"/>
      <c r="G572" s="28"/>
      <c r="H572" s="28"/>
      <c r="I572" s="28"/>
      <c r="J572" s="28"/>
      <c r="K572" s="28"/>
      <c r="L572" s="28"/>
      <c r="M572" s="28"/>
      <c r="N572" s="28"/>
      <c r="O572" s="28"/>
      <c r="P572" s="28"/>
      <c r="Q572" s="28"/>
      <c r="R572" s="28"/>
      <c r="S572" s="28"/>
      <c r="T572" s="28"/>
      <c r="U572" s="28"/>
      <c r="V572" s="28"/>
      <c r="W572" s="28"/>
      <c r="X572" s="28"/>
      <c r="Y572" s="28"/>
      <c r="Z572" s="28"/>
    </row>
    <row r="573">
      <c r="A573" s="1044"/>
      <c r="B573" s="1045"/>
      <c r="C573" s="1041"/>
      <c r="D573" s="1045"/>
      <c r="E573" s="1041"/>
      <c r="F573" s="1041"/>
      <c r="G573" s="28"/>
      <c r="H573" s="28"/>
      <c r="I573" s="28"/>
      <c r="J573" s="28"/>
      <c r="K573" s="28"/>
      <c r="L573" s="28"/>
      <c r="M573" s="28"/>
      <c r="N573" s="28"/>
      <c r="O573" s="28"/>
      <c r="P573" s="28"/>
      <c r="Q573" s="28"/>
      <c r="R573" s="28"/>
      <c r="S573" s="28"/>
      <c r="T573" s="28"/>
      <c r="U573" s="28"/>
      <c r="V573" s="28"/>
      <c r="W573" s="28"/>
      <c r="X573" s="28"/>
      <c r="Y573" s="28"/>
      <c r="Z573" s="28"/>
    </row>
    <row r="574">
      <c r="A574" s="1044"/>
      <c r="B574" s="1045"/>
      <c r="C574" s="1041"/>
      <c r="D574" s="1045"/>
      <c r="E574" s="1041"/>
      <c r="F574" s="1041"/>
      <c r="G574" s="28"/>
      <c r="H574" s="28"/>
      <c r="I574" s="28"/>
      <c r="J574" s="28"/>
      <c r="K574" s="28"/>
      <c r="L574" s="28"/>
      <c r="M574" s="28"/>
      <c r="N574" s="28"/>
      <c r="O574" s="28"/>
      <c r="P574" s="28"/>
      <c r="Q574" s="28"/>
      <c r="R574" s="28"/>
      <c r="S574" s="28"/>
      <c r="T574" s="28"/>
      <c r="U574" s="28"/>
      <c r="V574" s="28"/>
      <c r="W574" s="28"/>
      <c r="X574" s="28"/>
      <c r="Y574" s="28"/>
      <c r="Z574" s="28"/>
    </row>
    <row r="575">
      <c r="A575" s="1044"/>
      <c r="B575" s="1045"/>
      <c r="C575" s="1041"/>
      <c r="D575" s="1045"/>
      <c r="E575" s="1041"/>
      <c r="F575" s="1041"/>
      <c r="G575" s="28"/>
      <c r="H575" s="28"/>
      <c r="I575" s="28"/>
      <c r="J575" s="28"/>
      <c r="K575" s="28"/>
      <c r="L575" s="28"/>
      <c r="M575" s="28"/>
      <c r="N575" s="28"/>
      <c r="O575" s="28"/>
      <c r="P575" s="28"/>
      <c r="Q575" s="28"/>
      <c r="R575" s="28"/>
      <c r="S575" s="28"/>
      <c r="T575" s="28"/>
      <c r="U575" s="28"/>
      <c r="V575" s="28"/>
      <c r="W575" s="28"/>
      <c r="X575" s="28"/>
      <c r="Y575" s="28"/>
      <c r="Z575" s="28"/>
    </row>
    <row r="576">
      <c r="A576" s="1044"/>
      <c r="B576" s="1045"/>
      <c r="C576" s="1041"/>
      <c r="D576" s="1045"/>
      <c r="E576" s="1041"/>
      <c r="F576" s="1041"/>
      <c r="G576" s="28"/>
      <c r="H576" s="28"/>
      <c r="I576" s="28"/>
      <c r="J576" s="28"/>
      <c r="K576" s="28"/>
      <c r="L576" s="28"/>
      <c r="M576" s="28"/>
      <c r="N576" s="28"/>
      <c r="O576" s="28"/>
      <c r="P576" s="28"/>
      <c r="Q576" s="28"/>
      <c r="R576" s="28"/>
      <c r="S576" s="28"/>
      <c r="T576" s="28"/>
      <c r="U576" s="28"/>
      <c r="V576" s="28"/>
      <c r="W576" s="28"/>
      <c r="X576" s="28"/>
      <c r="Y576" s="28"/>
      <c r="Z576" s="28"/>
    </row>
    <row r="577">
      <c r="A577" s="1044"/>
      <c r="B577" s="1045"/>
      <c r="C577" s="1041"/>
      <c r="D577" s="1045"/>
      <c r="E577" s="1041"/>
      <c r="F577" s="1041"/>
      <c r="G577" s="28"/>
      <c r="H577" s="28"/>
      <c r="I577" s="28"/>
      <c r="J577" s="28"/>
      <c r="K577" s="28"/>
      <c r="L577" s="28"/>
      <c r="M577" s="28"/>
      <c r="N577" s="28"/>
      <c r="O577" s="28"/>
      <c r="P577" s="28"/>
      <c r="Q577" s="28"/>
      <c r="R577" s="28"/>
      <c r="S577" s="28"/>
      <c r="T577" s="28"/>
      <c r="U577" s="28"/>
      <c r="V577" s="28"/>
      <c r="W577" s="28"/>
      <c r="X577" s="28"/>
      <c r="Y577" s="28"/>
      <c r="Z577" s="28"/>
    </row>
    <row r="578">
      <c r="A578" s="1044"/>
      <c r="B578" s="1045"/>
      <c r="C578" s="1041"/>
      <c r="D578" s="1045"/>
      <c r="E578" s="1041"/>
      <c r="F578" s="1041"/>
      <c r="G578" s="28"/>
      <c r="H578" s="28"/>
      <c r="I578" s="28"/>
      <c r="J578" s="28"/>
      <c r="K578" s="28"/>
      <c r="L578" s="28"/>
      <c r="M578" s="28"/>
      <c r="N578" s="28"/>
      <c r="O578" s="28"/>
      <c r="P578" s="28"/>
      <c r="Q578" s="28"/>
      <c r="R578" s="28"/>
      <c r="S578" s="28"/>
      <c r="T578" s="28"/>
      <c r="U578" s="28"/>
      <c r="V578" s="28"/>
      <c r="W578" s="28"/>
      <c r="X578" s="28"/>
      <c r="Y578" s="28"/>
      <c r="Z578" s="28"/>
    </row>
    <row r="579">
      <c r="A579" s="1044"/>
      <c r="B579" s="1045"/>
      <c r="C579" s="1041"/>
      <c r="D579" s="1045"/>
      <c r="E579" s="1041"/>
      <c r="F579" s="1041"/>
      <c r="G579" s="28"/>
      <c r="H579" s="28"/>
      <c r="I579" s="28"/>
      <c r="J579" s="28"/>
      <c r="K579" s="28"/>
      <c r="L579" s="28"/>
      <c r="M579" s="28"/>
      <c r="N579" s="28"/>
      <c r="O579" s="28"/>
      <c r="P579" s="28"/>
      <c r="Q579" s="28"/>
      <c r="R579" s="28"/>
      <c r="S579" s="28"/>
      <c r="T579" s="28"/>
      <c r="U579" s="28"/>
      <c r="V579" s="28"/>
      <c r="W579" s="28"/>
      <c r="X579" s="28"/>
      <c r="Y579" s="28"/>
      <c r="Z579" s="28"/>
    </row>
    <row r="580">
      <c r="A580" s="1044"/>
      <c r="B580" s="1045"/>
      <c r="C580" s="1041"/>
      <c r="D580" s="1045"/>
      <c r="E580" s="1041"/>
      <c r="F580" s="1041"/>
      <c r="G580" s="28"/>
      <c r="H580" s="28"/>
      <c r="I580" s="28"/>
      <c r="J580" s="28"/>
      <c r="K580" s="28"/>
      <c r="L580" s="28"/>
      <c r="M580" s="28"/>
      <c r="N580" s="28"/>
      <c r="O580" s="28"/>
      <c r="P580" s="28"/>
      <c r="Q580" s="28"/>
      <c r="R580" s="28"/>
      <c r="S580" s="28"/>
      <c r="T580" s="28"/>
      <c r="U580" s="28"/>
      <c r="V580" s="28"/>
      <c r="W580" s="28"/>
      <c r="X580" s="28"/>
      <c r="Y580" s="28"/>
      <c r="Z580" s="28"/>
    </row>
    <row r="581">
      <c r="A581" s="1044"/>
      <c r="B581" s="1045"/>
      <c r="C581" s="1041"/>
      <c r="D581" s="1045"/>
      <c r="E581" s="1041"/>
      <c r="F581" s="1041"/>
      <c r="G581" s="28"/>
      <c r="H581" s="28"/>
      <c r="I581" s="28"/>
      <c r="J581" s="28"/>
      <c r="K581" s="28"/>
      <c r="L581" s="28"/>
      <c r="M581" s="28"/>
      <c r="N581" s="28"/>
      <c r="O581" s="28"/>
      <c r="P581" s="28"/>
      <c r="Q581" s="28"/>
      <c r="R581" s="28"/>
      <c r="S581" s="28"/>
      <c r="T581" s="28"/>
      <c r="U581" s="28"/>
      <c r="V581" s="28"/>
      <c r="W581" s="28"/>
      <c r="X581" s="28"/>
      <c r="Y581" s="28"/>
      <c r="Z581" s="28"/>
    </row>
    <row r="582">
      <c r="A582" s="1044"/>
      <c r="B582" s="1045"/>
      <c r="C582" s="1041"/>
      <c r="D582" s="1045"/>
      <c r="E582" s="1041"/>
      <c r="F582" s="1041"/>
      <c r="G582" s="28"/>
      <c r="H582" s="28"/>
      <c r="I582" s="28"/>
      <c r="J582" s="28"/>
      <c r="K582" s="28"/>
      <c r="L582" s="28"/>
      <c r="M582" s="28"/>
      <c r="N582" s="28"/>
      <c r="O582" s="28"/>
      <c r="P582" s="28"/>
      <c r="Q582" s="28"/>
      <c r="R582" s="28"/>
      <c r="S582" s="28"/>
      <c r="T582" s="28"/>
      <c r="U582" s="28"/>
      <c r="V582" s="28"/>
      <c r="W582" s="28"/>
      <c r="X582" s="28"/>
      <c r="Y582" s="28"/>
      <c r="Z582" s="28"/>
    </row>
    <row r="583">
      <c r="A583" s="1044"/>
      <c r="B583" s="1045"/>
      <c r="C583" s="1041"/>
      <c r="D583" s="1045"/>
      <c r="E583" s="1041"/>
      <c r="F583" s="1041"/>
      <c r="G583" s="28"/>
      <c r="H583" s="28"/>
      <c r="I583" s="28"/>
      <c r="J583" s="28"/>
      <c r="K583" s="28"/>
      <c r="L583" s="28"/>
      <c r="M583" s="28"/>
      <c r="N583" s="28"/>
      <c r="O583" s="28"/>
      <c r="P583" s="28"/>
      <c r="Q583" s="28"/>
      <c r="R583" s="28"/>
      <c r="S583" s="28"/>
      <c r="T583" s="28"/>
      <c r="U583" s="28"/>
      <c r="V583" s="28"/>
      <c r="W583" s="28"/>
      <c r="X583" s="28"/>
      <c r="Y583" s="28"/>
      <c r="Z583" s="28"/>
    </row>
    <row r="584">
      <c r="A584" s="1044"/>
      <c r="B584" s="1045"/>
      <c r="C584" s="1041"/>
      <c r="D584" s="1045"/>
      <c r="E584" s="1041"/>
      <c r="F584" s="1041"/>
      <c r="G584" s="28"/>
      <c r="H584" s="28"/>
      <c r="I584" s="28"/>
      <c r="J584" s="28"/>
      <c r="K584" s="28"/>
      <c r="L584" s="28"/>
      <c r="M584" s="28"/>
      <c r="N584" s="28"/>
      <c r="O584" s="28"/>
      <c r="P584" s="28"/>
      <c r="Q584" s="28"/>
      <c r="R584" s="28"/>
      <c r="S584" s="28"/>
      <c r="T584" s="28"/>
      <c r="U584" s="28"/>
      <c r="V584" s="28"/>
      <c r="W584" s="28"/>
      <c r="X584" s="28"/>
      <c r="Y584" s="28"/>
      <c r="Z584" s="28"/>
    </row>
    <row r="585">
      <c r="A585" s="1044"/>
      <c r="B585" s="1045"/>
      <c r="C585" s="1041"/>
      <c r="D585" s="1045"/>
      <c r="E585" s="1041"/>
      <c r="F585" s="1041"/>
      <c r="G585" s="28"/>
      <c r="H585" s="28"/>
      <c r="I585" s="28"/>
      <c r="J585" s="28"/>
      <c r="K585" s="28"/>
      <c r="L585" s="28"/>
      <c r="M585" s="28"/>
      <c r="N585" s="28"/>
      <c r="O585" s="28"/>
      <c r="P585" s="28"/>
      <c r="Q585" s="28"/>
      <c r="R585" s="28"/>
      <c r="S585" s="28"/>
      <c r="T585" s="28"/>
      <c r="U585" s="28"/>
      <c r="V585" s="28"/>
      <c r="W585" s="28"/>
      <c r="X585" s="28"/>
      <c r="Y585" s="28"/>
      <c r="Z585" s="28"/>
    </row>
    <row r="586">
      <c r="A586" s="1044"/>
      <c r="B586" s="1045"/>
      <c r="C586" s="1041"/>
      <c r="D586" s="1045"/>
      <c r="E586" s="1041"/>
      <c r="F586" s="1041"/>
      <c r="G586" s="28"/>
      <c r="H586" s="28"/>
      <c r="I586" s="28"/>
      <c r="J586" s="28"/>
      <c r="K586" s="28"/>
      <c r="L586" s="28"/>
      <c r="M586" s="28"/>
      <c r="N586" s="28"/>
      <c r="O586" s="28"/>
      <c r="P586" s="28"/>
      <c r="Q586" s="28"/>
      <c r="R586" s="28"/>
      <c r="S586" s="28"/>
      <c r="T586" s="28"/>
      <c r="U586" s="28"/>
      <c r="V586" s="28"/>
      <c r="W586" s="28"/>
      <c r="X586" s="28"/>
      <c r="Y586" s="28"/>
      <c r="Z586" s="28"/>
    </row>
    <row r="587">
      <c r="A587" s="1044"/>
      <c r="B587" s="1045"/>
      <c r="C587" s="1041"/>
      <c r="D587" s="1045"/>
      <c r="E587" s="1041"/>
      <c r="F587" s="1041"/>
      <c r="G587" s="28"/>
      <c r="H587" s="28"/>
      <c r="I587" s="28"/>
      <c r="J587" s="28"/>
      <c r="K587" s="28"/>
      <c r="L587" s="28"/>
      <c r="M587" s="28"/>
      <c r="N587" s="28"/>
      <c r="O587" s="28"/>
      <c r="P587" s="28"/>
      <c r="Q587" s="28"/>
      <c r="R587" s="28"/>
      <c r="S587" s="28"/>
      <c r="T587" s="28"/>
      <c r="U587" s="28"/>
      <c r="V587" s="28"/>
      <c r="W587" s="28"/>
      <c r="X587" s="28"/>
      <c r="Y587" s="28"/>
      <c r="Z587" s="28"/>
    </row>
    <row r="588">
      <c r="A588" s="1044"/>
      <c r="B588" s="1045"/>
      <c r="C588" s="1041"/>
      <c r="D588" s="1045"/>
      <c r="E588" s="1041"/>
      <c r="F588" s="1041"/>
      <c r="G588" s="28"/>
      <c r="H588" s="28"/>
      <c r="I588" s="28"/>
      <c r="J588" s="28"/>
      <c r="K588" s="28"/>
      <c r="L588" s="28"/>
      <c r="M588" s="28"/>
      <c r="N588" s="28"/>
      <c r="O588" s="28"/>
      <c r="P588" s="28"/>
      <c r="Q588" s="28"/>
      <c r="R588" s="28"/>
      <c r="S588" s="28"/>
      <c r="T588" s="28"/>
      <c r="U588" s="28"/>
      <c r="V588" s="28"/>
      <c r="W588" s="28"/>
      <c r="X588" s="28"/>
      <c r="Y588" s="28"/>
      <c r="Z588" s="28"/>
    </row>
    <row r="589">
      <c r="A589" s="1044"/>
      <c r="B589" s="1045"/>
      <c r="C589" s="1041"/>
      <c r="D589" s="1045"/>
      <c r="E589" s="1041"/>
      <c r="F589" s="1041"/>
      <c r="G589" s="28"/>
      <c r="H589" s="28"/>
      <c r="I589" s="28"/>
      <c r="J589" s="28"/>
      <c r="K589" s="28"/>
      <c r="L589" s="28"/>
      <c r="M589" s="28"/>
      <c r="N589" s="28"/>
      <c r="O589" s="28"/>
      <c r="P589" s="28"/>
      <c r="Q589" s="28"/>
      <c r="R589" s="28"/>
      <c r="S589" s="28"/>
      <c r="T589" s="28"/>
      <c r="U589" s="28"/>
      <c r="V589" s="28"/>
      <c r="W589" s="28"/>
      <c r="X589" s="28"/>
      <c r="Y589" s="28"/>
      <c r="Z589" s="28"/>
    </row>
    <row r="590">
      <c r="A590" s="1044"/>
      <c r="B590" s="1045"/>
      <c r="C590" s="1041"/>
      <c r="D590" s="1045"/>
      <c r="E590" s="1041"/>
      <c r="F590" s="1041"/>
      <c r="G590" s="28"/>
      <c r="H590" s="28"/>
      <c r="I590" s="28"/>
      <c r="J590" s="28"/>
      <c r="K590" s="28"/>
      <c r="L590" s="28"/>
      <c r="M590" s="28"/>
      <c r="N590" s="28"/>
      <c r="O590" s="28"/>
      <c r="P590" s="28"/>
      <c r="Q590" s="28"/>
      <c r="R590" s="28"/>
      <c r="S590" s="28"/>
      <c r="T590" s="28"/>
      <c r="U590" s="28"/>
      <c r="V590" s="28"/>
      <c r="W590" s="28"/>
      <c r="X590" s="28"/>
      <c r="Y590" s="28"/>
      <c r="Z590" s="28"/>
    </row>
    <row r="591">
      <c r="A591" s="1044"/>
      <c r="B591" s="1045"/>
      <c r="C591" s="1041"/>
      <c r="D591" s="1045"/>
      <c r="E591" s="1041"/>
      <c r="F591" s="1041"/>
      <c r="G591" s="28"/>
      <c r="H591" s="28"/>
      <c r="I591" s="28"/>
      <c r="J591" s="28"/>
      <c r="K591" s="28"/>
      <c r="L591" s="28"/>
      <c r="M591" s="28"/>
      <c r="N591" s="28"/>
      <c r="O591" s="28"/>
      <c r="P591" s="28"/>
      <c r="Q591" s="28"/>
      <c r="R591" s="28"/>
      <c r="S591" s="28"/>
      <c r="T591" s="28"/>
      <c r="U591" s="28"/>
      <c r="V591" s="28"/>
      <c r="W591" s="28"/>
      <c r="X591" s="28"/>
      <c r="Y591" s="28"/>
      <c r="Z591" s="28"/>
    </row>
    <row r="592">
      <c r="A592" s="1044"/>
      <c r="B592" s="1045"/>
      <c r="C592" s="1041"/>
      <c r="D592" s="1045"/>
      <c r="E592" s="1041"/>
      <c r="F592" s="1041"/>
      <c r="G592" s="28"/>
      <c r="H592" s="28"/>
      <c r="I592" s="28"/>
      <c r="J592" s="28"/>
      <c r="K592" s="28"/>
      <c r="L592" s="28"/>
      <c r="M592" s="28"/>
      <c r="N592" s="28"/>
      <c r="O592" s="28"/>
      <c r="P592" s="28"/>
      <c r="Q592" s="28"/>
      <c r="R592" s="28"/>
      <c r="S592" s="28"/>
      <c r="T592" s="28"/>
      <c r="U592" s="28"/>
      <c r="V592" s="28"/>
      <c r="W592" s="28"/>
      <c r="X592" s="28"/>
      <c r="Y592" s="28"/>
      <c r="Z592" s="28"/>
    </row>
    <row r="593">
      <c r="A593" s="1044"/>
      <c r="B593" s="1045"/>
      <c r="C593" s="1041"/>
      <c r="D593" s="1045"/>
      <c r="E593" s="1041"/>
      <c r="F593" s="1041"/>
      <c r="G593" s="28"/>
      <c r="H593" s="28"/>
      <c r="I593" s="28"/>
      <c r="J593" s="28"/>
      <c r="K593" s="28"/>
      <c r="L593" s="28"/>
      <c r="M593" s="28"/>
      <c r="N593" s="28"/>
      <c r="O593" s="28"/>
      <c r="P593" s="28"/>
      <c r="Q593" s="28"/>
      <c r="R593" s="28"/>
      <c r="S593" s="28"/>
      <c r="T593" s="28"/>
      <c r="U593" s="28"/>
      <c r="V593" s="28"/>
      <c r="W593" s="28"/>
      <c r="X593" s="28"/>
      <c r="Y593" s="28"/>
      <c r="Z593" s="28"/>
    </row>
    <row r="594">
      <c r="A594" s="1044"/>
      <c r="B594" s="1045"/>
      <c r="C594" s="1041"/>
      <c r="D594" s="1045"/>
      <c r="E594" s="1041"/>
      <c r="F594" s="1041"/>
      <c r="G594" s="28"/>
      <c r="H594" s="28"/>
      <c r="I594" s="28"/>
      <c r="J594" s="28"/>
      <c r="K594" s="28"/>
      <c r="L594" s="28"/>
      <c r="M594" s="28"/>
      <c r="N594" s="28"/>
      <c r="O594" s="28"/>
      <c r="P594" s="28"/>
      <c r="Q594" s="28"/>
      <c r="R594" s="28"/>
      <c r="S594" s="28"/>
      <c r="T594" s="28"/>
      <c r="U594" s="28"/>
      <c r="V594" s="28"/>
      <c r="W594" s="28"/>
      <c r="X594" s="28"/>
      <c r="Y594" s="28"/>
      <c r="Z594" s="28"/>
    </row>
    <row r="595">
      <c r="A595" s="1044"/>
      <c r="B595" s="1045"/>
      <c r="C595" s="1041"/>
      <c r="D595" s="1045"/>
      <c r="E595" s="1041"/>
      <c r="F595" s="1041"/>
      <c r="G595" s="28"/>
      <c r="H595" s="28"/>
      <c r="I595" s="28"/>
      <c r="J595" s="28"/>
      <c r="K595" s="28"/>
      <c r="L595" s="28"/>
      <c r="M595" s="28"/>
      <c r="N595" s="28"/>
      <c r="O595" s="28"/>
      <c r="P595" s="28"/>
      <c r="Q595" s="28"/>
      <c r="R595" s="28"/>
      <c r="S595" s="28"/>
      <c r="T595" s="28"/>
      <c r="U595" s="28"/>
      <c r="V595" s="28"/>
      <c r="W595" s="28"/>
      <c r="X595" s="28"/>
      <c r="Y595" s="28"/>
      <c r="Z595" s="28"/>
    </row>
    <row r="596">
      <c r="A596" s="1044"/>
      <c r="B596" s="1045"/>
      <c r="C596" s="1041"/>
      <c r="D596" s="1045"/>
      <c r="E596" s="1041"/>
      <c r="F596" s="1041"/>
      <c r="G596" s="28"/>
      <c r="H596" s="28"/>
      <c r="I596" s="28"/>
      <c r="J596" s="28"/>
      <c r="K596" s="28"/>
      <c r="L596" s="28"/>
      <c r="M596" s="28"/>
      <c r="N596" s="28"/>
      <c r="O596" s="28"/>
      <c r="P596" s="28"/>
      <c r="Q596" s="28"/>
      <c r="R596" s="28"/>
      <c r="S596" s="28"/>
      <c r="T596" s="28"/>
      <c r="U596" s="28"/>
      <c r="V596" s="28"/>
      <c r="W596" s="28"/>
      <c r="X596" s="28"/>
      <c r="Y596" s="28"/>
      <c r="Z596" s="28"/>
    </row>
    <row r="597">
      <c r="A597" s="1044"/>
      <c r="B597" s="1045"/>
      <c r="C597" s="1041"/>
      <c r="D597" s="1045"/>
      <c r="E597" s="1041"/>
      <c r="F597" s="1041"/>
      <c r="G597" s="28"/>
      <c r="H597" s="28"/>
      <c r="I597" s="28"/>
      <c r="J597" s="28"/>
      <c r="K597" s="28"/>
      <c r="L597" s="28"/>
      <c r="M597" s="28"/>
      <c r="N597" s="28"/>
      <c r="O597" s="28"/>
      <c r="P597" s="28"/>
      <c r="Q597" s="28"/>
      <c r="R597" s="28"/>
      <c r="S597" s="28"/>
      <c r="T597" s="28"/>
      <c r="U597" s="28"/>
      <c r="V597" s="28"/>
      <c r="W597" s="28"/>
      <c r="X597" s="28"/>
      <c r="Y597" s="28"/>
      <c r="Z597" s="28"/>
    </row>
    <row r="598">
      <c r="A598" s="1044"/>
      <c r="B598" s="1045"/>
      <c r="C598" s="1041"/>
      <c r="D598" s="1045"/>
      <c r="E598" s="1041"/>
      <c r="F598" s="1041"/>
      <c r="G598" s="28"/>
      <c r="H598" s="28"/>
      <c r="I598" s="28"/>
      <c r="J598" s="28"/>
      <c r="K598" s="28"/>
      <c r="L598" s="28"/>
      <c r="M598" s="28"/>
      <c r="N598" s="28"/>
      <c r="O598" s="28"/>
      <c r="P598" s="28"/>
      <c r="Q598" s="28"/>
      <c r="R598" s="28"/>
      <c r="S598" s="28"/>
      <c r="T598" s="28"/>
      <c r="U598" s="28"/>
      <c r="V598" s="28"/>
      <c r="W598" s="28"/>
      <c r="X598" s="28"/>
      <c r="Y598" s="28"/>
      <c r="Z598" s="28"/>
    </row>
    <row r="599">
      <c r="A599" s="1044"/>
      <c r="B599" s="1045"/>
      <c r="C599" s="1041"/>
      <c r="D599" s="1045"/>
      <c r="E599" s="1041"/>
      <c r="F599" s="1041"/>
      <c r="G599" s="28"/>
      <c r="H599" s="28"/>
      <c r="I599" s="28"/>
      <c r="J599" s="28"/>
      <c r="K599" s="28"/>
      <c r="L599" s="28"/>
      <c r="M599" s="28"/>
      <c r="N599" s="28"/>
      <c r="O599" s="28"/>
      <c r="P599" s="28"/>
      <c r="Q599" s="28"/>
      <c r="R599" s="28"/>
      <c r="S599" s="28"/>
      <c r="T599" s="28"/>
      <c r="U599" s="28"/>
      <c r="V599" s="28"/>
      <c r="W599" s="28"/>
      <c r="X599" s="28"/>
      <c r="Y599" s="28"/>
      <c r="Z599" s="28"/>
    </row>
    <row r="600">
      <c r="A600" s="1044"/>
      <c r="B600" s="1045"/>
      <c r="C600" s="1041"/>
      <c r="D600" s="1045"/>
      <c r="E600" s="1041"/>
      <c r="F600" s="1041"/>
      <c r="G600" s="28"/>
      <c r="H600" s="28"/>
      <c r="I600" s="28"/>
      <c r="J600" s="28"/>
      <c r="K600" s="28"/>
      <c r="L600" s="28"/>
      <c r="M600" s="28"/>
      <c r="N600" s="28"/>
      <c r="O600" s="28"/>
      <c r="P600" s="28"/>
      <c r="Q600" s="28"/>
      <c r="R600" s="28"/>
      <c r="S600" s="28"/>
      <c r="T600" s="28"/>
      <c r="U600" s="28"/>
      <c r="V600" s="28"/>
      <c r="W600" s="28"/>
      <c r="X600" s="28"/>
      <c r="Y600" s="28"/>
      <c r="Z600" s="28"/>
    </row>
    <row r="601">
      <c r="A601" s="1044"/>
      <c r="B601" s="1045"/>
      <c r="C601" s="1041"/>
      <c r="D601" s="1045"/>
      <c r="E601" s="1041"/>
      <c r="F601" s="1041"/>
      <c r="G601" s="28"/>
      <c r="H601" s="28"/>
      <c r="I601" s="28"/>
      <c r="J601" s="28"/>
      <c r="K601" s="28"/>
      <c r="L601" s="28"/>
      <c r="M601" s="28"/>
      <c r="N601" s="28"/>
      <c r="O601" s="28"/>
      <c r="P601" s="28"/>
      <c r="Q601" s="28"/>
      <c r="R601" s="28"/>
      <c r="S601" s="28"/>
      <c r="T601" s="28"/>
      <c r="U601" s="28"/>
      <c r="V601" s="28"/>
      <c r="W601" s="28"/>
      <c r="X601" s="28"/>
      <c r="Y601" s="28"/>
      <c r="Z601" s="28"/>
    </row>
    <row r="602">
      <c r="A602" s="1044"/>
      <c r="B602" s="1045"/>
      <c r="C602" s="1041"/>
      <c r="D602" s="1045"/>
      <c r="E602" s="1041"/>
      <c r="F602" s="1041"/>
      <c r="G602" s="28"/>
      <c r="H602" s="28"/>
      <c r="I602" s="28"/>
      <c r="J602" s="28"/>
      <c r="K602" s="28"/>
      <c r="L602" s="28"/>
      <c r="M602" s="28"/>
      <c r="N602" s="28"/>
      <c r="O602" s="28"/>
      <c r="P602" s="28"/>
      <c r="Q602" s="28"/>
      <c r="R602" s="28"/>
      <c r="S602" s="28"/>
      <c r="T602" s="28"/>
      <c r="U602" s="28"/>
      <c r="V602" s="28"/>
      <c r="W602" s="28"/>
      <c r="X602" s="28"/>
      <c r="Y602" s="28"/>
      <c r="Z602" s="28"/>
    </row>
    <row r="603">
      <c r="A603" s="1044"/>
      <c r="B603" s="1045"/>
      <c r="C603" s="1041"/>
      <c r="D603" s="1045"/>
      <c r="E603" s="1041"/>
      <c r="F603" s="1041"/>
      <c r="G603" s="28"/>
      <c r="H603" s="28"/>
      <c r="I603" s="28"/>
      <c r="J603" s="28"/>
      <c r="K603" s="28"/>
      <c r="L603" s="28"/>
      <c r="M603" s="28"/>
      <c r="N603" s="28"/>
      <c r="O603" s="28"/>
      <c r="P603" s="28"/>
      <c r="Q603" s="28"/>
      <c r="R603" s="28"/>
      <c r="S603" s="28"/>
      <c r="T603" s="28"/>
      <c r="U603" s="28"/>
      <c r="V603" s="28"/>
      <c r="W603" s="28"/>
      <c r="X603" s="28"/>
      <c r="Y603" s="28"/>
      <c r="Z603" s="28"/>
    </row>
    <row r="604">
      <c r="A604" s="1044"/>
      <c r="B604" s="1045"/>
      <c r="C604" s="1041"/>
      <c r="D604" s="1045"/>
      <c r="E604" s="1041"/>
      <c r="F604" s="1041"/>
      <c r="G604" s="28"/>
      <c r="H604" s="28"/>
      <c r="I604" s="28"/>
      <c r="J604" s="28"/>
      <c r="K604" s="28"/>
      <c r="L604" s="28"/>
      <c r="M604" s="28"/>
      <c r="N604" s="28"/>
      <c r="O604" s="28"/>
      <c r="P604" s="28"/>
      <c r="Q604" s="28"/>
      <c r="R604" s="28"/>
      <c r="S604" s="28"/>
      <c r="T604" s="28"/>
      <c r="U604" s="28"/>
      <c r="V604" s="28"/>
      <c r="W604" s="28"/>
      <c r="X604" s="28"/>
      <c r="Y604" s="28"/>
      <c r="Z604" s="28"/>
    </row>
    <row r="605">
      <c r="A605" s="1044"/>
      <c r="B605" s="1045"/>
      <c r="C605" s="1041"/>
      <c r="D605" s="1045"/>
      <c r="E605" s="1041"/>
      <c r="F605" s="1041"/>
      <c r="G605" s="28"/>
      <c r="H605" s="28"/>
      <c r="I605" s="28"/>
      <c r="J605" s="28"/>
      <c r="K605" s="28"/>
      <c r="L605" s="28"/>
      <c r="M605" s="28"/>
      <c r="N605" s="28"/>
      <c r="O605" s="28"/>
      <c r="P605" s="28"/>
      <c r="Q605" s="28"/>
      <c r="R605" s="28"/>
      <c r="S605" s="28"/>
      <c r="T605" s="28"/>
      <c r="U605" s="28"/>
      <c r="V605" s="28"/>
      <c r="W605" s="28"/>
      <c r="X605" s="28"/>
      <c r="Y605" s="28"/>
      <c r="Z605" s="28"/>
    </row>
    <row r="606">
      <c r="A606" s="1044"/>
      <c r="B606" s="1045"/>
      <c r="C606" s="1041"/>
      <c r="D606" s="1045"/>
      <c r="E606" s="1041"/>
      <c r="F606" s="1041"/>
      <c r="G606" s="28"/>
      <c r="H606" s="28"/>
      <c r="I606" s="28"/>
      <c r="J606" s="28"/>
      <c r="K606" s="28"/>
      <c r="L606" s="28"/>
      <c r="M606" s="28"/>
      <c r="N606" s="28"/>
      <c r="O606" s="28"/>
      <c r="P606" s="28"/>
      <c r="Q606" s="28"/>
      <c r="R606" s="28"/>
      <c r="S606" s="28"/>
      <c r="T606" s="28"/>
      <c r="U606" s="28"/>
      <c r="V606" s="28"/>
      <c r="W606" s="28"/>
      <c r="X606" s="28"/>
      <c r="Y606" s="28"/>
      <c r="Z606" s="28"/>
    </row>
    <row r="607">
      <c r="A607" s="1044"/>
      <c r="B607" s="1045"/>
      <c r="C607" s="1041"/>
      <c r="D607" s="1045"/>
      <c r="E607" s="1041"/>
      <c r="F607" s="1041"/>
      <c r="G607" s="28"/>
      <c r="H607" s="28"/>
      <c r="I607" s="28"/>
      <c r="J607" s="28"/>
      <c r="K607" s="28"/>
      <c r="L607" s="28"/>
      <c r="M607" s="28"/>
      <c r="N607" s="28"/>
      <c r="O607" s="28"/>
      <c r="P607" s="28"/>
      <c r="Q607" s="28"/>
      <c r="R607" s="28"/>
      <c r="S607" s="28"/>
      <c r="T607" s="28"/>
      <c r="U607" s="28"/>
      <c r="V607" s="28"/>
      <c r="W607" s="28"/>
      <c r="X607" s="28"/>
      <c r="Y607" s="28"/>
      <c r="Z607" s="28"/>
    </row>
    <row r="608">
      <c r="A608" s="1044"/>
      <c r="B608" s="1045"/>
      <c r="C608" s="1041"/>
      <c r="D608" s="1045"/>
      <c r="E608" s="1041"/>
      <c r="F608" s="1041"/>
      <c r="G608" s="28"/>
      <c r="H608" s="28"/>
      <c r="I608" s="28"/>
      <c r="J608" s="28"/>
      <c r="K608" s="28"/>
      <c r="L608" s="28"/>
      <c r="M608" s="28"/>
      <c r="N608" s="28"/>
      <c r="O608" s="28"/>
      <c r="P608" s="28"/>
      <c r="Q608" s="28"/>
      <c r="R608" s="28"/>
      <c r="S608" s="28"/>
      <c r="T608" s="28"/>
      <c r="U608" s="28"/>
      <c r="V608" s="28"/>
      <c r="W608" s="28"/>
      <c r="X608" s="28"/>
      <c r="Y608" s="28"/>
      <c r="Z608" s="28"/>
    </row>
    <row r="609">
      <c r="A609" s="1044"/>
      <c r="B609" s="1045"/>
      <c r="C609" s="1041"/>
      <c r="D609" s="1045"/>
      <c r="E609" s="1041"/>
      <c r="F609" s="1041"/>
      <c r="G609" s="28"/>
      <c r="H609" s="28"/>
      <c r="I609" s="28"/>
      <c r="J609" s="28"/>
      <c r="K609" s="28"/>
      <c r="L609" s="28"/>
      <c r="M609" s="28"/>
      <c r="N609" s="28"/>
      <c r="O609" s="28"/>
      <c r="P609" s="28"/>
      <c r="Q609" s="28"/>
      <c r="R609" s="28"/>
      <c r="S609" s="28"/>
      <c r="T609" s="28"/>
      <c r="U609" s="28"/>
      <c r="V609" s="28"/>
      <c r="W609" s="28"/>
      <c r="X609" s="28"/>
      <c r="Y609" s="28"/>
      <c r="Z609" s="28"/>
    </row>
    <row r="610">
      <c r="A610" s="1044"/>
      <c r="B610" s="1045"/>
      <c r="C610" s="1041"/>
      <c r="D610" s="1045"/>
      <c r="E610" s="1041"/>
      <c r="F610" s="1041"/>
      <c r="G610" s="28"/>
      <c r="H610" s="28"/>
      <c r="I610" s="28"/>
      <c r="J610" s="28"/>
      <c r="K610" s="28"/>
      <c r="L610" s="28"/>
      <c r="M610" s="28"/>
      <c r="N610" s="28"/>
      <c r="O610" s="28"/>
      <c r="P610" s="28"/>
      <c r="Q610" s="28"/>
      <c r="R610" s="28"/>
      <c r="S610" s="28"/>
      <c r="T610" s="28"/>
      <c r="U610" s="28"/>
      <c r="V610" s="28"/>
      <c r="W610" s="28"/>
      <c r="X610" s="28"/>
      <c r="Y610" s="28"/>
      <c r="Z610" s="28"/>
    </row>
    <row r="611">
      <c r="A611" s="1044"/>
      <c r="B611" s="1045"/>
      <c r="C611" s="1041"/>
      <c r="D611" s="1045"/>
      <c r="E611" s="1041"/>
      <c r="F611" s="1041"/>
      <c r="G611" s="28"/>
      <c r="H611" s="28"/>
      <c r="I611" s="28"/>
      <c r="J611" s="28"/>
      <c r="K611" s="28"/>
      <c r="L611" s="28"/>
      <c r="M611" s="28"/>
      <c r="N611" s="28"/>
      <c r="O611" s="28"/>
      <c r="P611" s="28"/>
      <c r="Q611" s="28"/>
      <c r="R611" s="28"/>
      <c r="S611" s="28"/>
      <c r="T611" s="28"/>
      <c r="U611" s="28"/>
      <c r="V611" s="28"/>
      <c r="W611" s="28"/>
      <c r="X611" s="28"/>
      <c r="Y611" s="28"/>
      <c r="Z611" s="28"/>
    </row>
    <row r="612">
      <c r="A612" s="1044"/>
      <c r="B612" s="1045"/>
      <c r="C612" s="1041"/>
      <c r="D612" s="1045"/>
      <c r="E612" s="1041"/>
      <c r="F612" s="1041"/>
      <c r="G612" s="28"/>
      <c r="H612" s="28"/>
      <c r="I612" s="28"/>
      <c r="J612" s="28"/>
      <c r="K612" s="28"/>
      <c r="L612" s="28"/>
      <c r="M612" s="28"/>
      <c r="N612" s="28"/>
      <c r="O612" s="28"/>
      <c r="P612" s="28"/>
      <c r="Q612" s="28"/>
      <c r="R612" s="28"/>
      <c r="S612" s="28"/>
      <c r="T612" s="28"/>
      <c r="U612" s="28"/>
      <c r="V612" s="28"/>
      <c r="W612" s="28"/>
      <c r="X612" s="28"/>
      <c r="Y612" s="28"/>
      <c r="Z612" s="28"/>
    </row>
    <row r="613">
      <c r="A613" s="1044"/>
      <c r="B613" s="1045"/>
      <c r="C613" s="1041"/>
      <c r="D613" s="1045"/>
      <c r="E613" s="1041"/>
      <c r="F613" s="1041"/>
      <c r="G613" s="28"/>
      <c r="H613" s="28"/>
      <c r="I613" s="28"/>
      <c r="J613" s="28"/>
      <c r="K613" s="28"/>
      <c r="L613" s="28"/>
      <c r="M613" s="28"/>
      <c r="N613" s="28"/>
      <c r="O613" s="28"/>
      <c r="P613" s="28"/>
      <c r="Q613" s="28"/>
      <c r="R613" s="28"/>
      <c r="S613" s="28"/>
      <c r="T613" s="28"/>
      <c r="U613" s="28"/>
      <c r="V613" s="28"/>
      <c r="W613" s="28"/>
      <c r="X613" s="28"/>
      <c r="Y613" s="28"/>
      <c r="Z613" s="28"/>
    </row>
    <row r="614">
      <c r="A614" s="1044"/>
      <c r="B614" s="1045"/>
      <c r="C614" s="1041"/>
      <c r="D614" s="1045"/>
      <c r="E614" s="1041"/>
      <c r="F614" s="1041"/>
      <c r="G614" s="28"/>
      <c r="H614" s="28"/>
      <c r="I614" s="28"/>
      <c r="J614" s="28"/>
      <c r="K614" s="28"/>
      <c r="L614" s="28"/>
      <c r="M614" s="28"/>
      <c r="N614" s="28"/>
      <c r="O614" s="28"/>
      <c r="P614" s="28"/>
      <c r="Q614" s="28"/>
      <c r="R614" s="28"/>
      <c r="S614" s="28"/>
      <c r="T614" s="28"/>
      <c r="U614" s="28"/>
      <c r="V614" s="28"/>
      <c r="W614" s="28"/>
      <c r="X614" s="28"/>
      <c r="Y614" s="28"/>
      <c r="Z614" s="28"/>
    </row>
    <row r="615">
      <c r="A615" s="1044"/>
      <c r="B615" s="1045"/>
      <c r="C615" s="1041"/>
      <c r="D615" s="1045"/>
      <c r="E615" s="1041"/>
      <c r="F615" s="1041"/>
      <c r="G615" s="28"/>
      <c r="H615" s="28"/>
      <c r="I615" s="28"/>
      <c r="J615" s="28"/>
      <c r="K615" s="28"/>
      <c r="L615" s="28"/>
      <c r="M615" s="28"/>
      <c r="N615" s="28"/>
      <c r="O615" s="28"/>
      <c r="P615" s="28"/>
      <c r="Q615" s="28"/>
      <c r="R615" s="28"/>
      <c r="S615" s="28"/>
      <c r="T615" s="28"/>
      <c r="U615" s="28"/>
      <c r="V615" s="28"/>
      <c r="W615" s="28"/>
      <c r="X615" s="28"/>
      <c r="Y615" s="28"/>
      <c r="Z615" s="28"/>
    </row>
    <row r="616">
      <c r="A616" s="1044"/>
      <c r="B616" s="1045"/>
      <c r="C616" s="1041"/>
      <c r="D616" s="1045"/>
      <c r="E616" s="1041"/>
      <c r="F616" s="1041"/>
      <c r="G616" s="28"/>
      <c r="H616" s="28"/>
      <c r="I616" s="28"/>
      <c r="J616" s="28"/>
      <c r="K616" s="28"/>
      <c r="L616" s="28"/>
      <c r="M616" s="28"/>
      <c r="N616" s="28"/>
      <c r="O616" s="28"/>
      <c r="P616" s="28"/>
      <c r="Q616" s="28"/>
      <c r="R616" s="28"/>
      <c r="S616" s="28"/>
      <c r="T616" s="28"/>
      <c r="U616" s="28"/>
      <c r="V616" s="28"/>
      <c r="W616" s="28"/>
      <c r="X616" s="28"/>
      <c r="Y616" s="28"/>
      <c r="Z616" s="28"/>
    </row>
    <row r="617">
      <c r="A617" s="1044"/>
      <c r="B617" s="1045"/>
      <c r="C617" s="1041"/>
      <c r="D617" s="1045"/>
      <c r="E617" s="1041"/>
      <c r="F617" s="1041"/>
      <c r="G617" s="28"/>
      <c r="H617" s="28"/>
      <c r="I617" s="28"/>
      <c r="J617" s="28"/>
      <c r="K617" s="28"/>
      <c r="L617" s="28"/>
      <c r="M617" s="28"/>
      <c r="N617" s="28"/>
      <c r="O617" s="28"/>
      <c r="P617" s="28"/>
      <c r="Q617" s="28"/>
      <c r="R617" s="28"/>
      <c r="S617" s="28"/>
      <c r="T617" s="28"/>
      <c r="U617" s="28"/>
      <c r="V617" s="28"/>
      <c r="W617" s="28"/>
      <c r="X617" s="28"/>
      <c r="Y617" s="28"/>
      <c r="Z617" s="28"/>
    </row>
    <row r="618">
      <c r="A618" s="1044"/>
      <c r="B618" s="1045"/>
      <c r="C618" s="1041"/>
      <c r="D618" s="1045"/>
      <c r="E618" s="1041"/>
      <c r="F618" s="1041"/>
      <c r="G618" s="28"/>
      <c r="H618" s="28"/>
      <c r="I618" s="28"/>
      <c r="J618" s="28"/>
      <c r="K618" s="28"/>
      <c r="L618" s="28"/>
      <c r="M618" s="28"/>
      <c r="N618" s="28"/>
      <c r="O618" s="28"/>
      <c r="P618" s="28"/>
      <c r="Q618" s="28"/>
      <c r="R618" s="28"/>
      <c r="S618" s="28"/>
      <c r="T618" s="28"/>
      <c r="U618" s="28"/>
      <c r="V618" s="28"/>
      <c r="W618" s="28"/>
      <c r="X618" s="28"/>
      <c r="Y618" s="28"/>
      <c r="Z618" s="28"/>
    </row>
    <row r="619">
      <c r="A619" s="1044"/>
      <c r="B619" s="1045"/>
      <c r="C619" s="1041"/>
      <c r="D619" s="1045"/>
      <c r="E619" s="1041"/>
      <c r="F619" s="1041"/>
      <c r="G619" s="28"/>
      <c r="H619" s="28"/>
      <c r="I619" s="28"/>
      <c r="J619" s="28"/>
      <c r="K619" s="28"/>
      <c r="L619" s="28"/>
      <c r="M619" s="28"/>
      <c r="N619" s="28"/>
      <c r="O619" s="28"/>
      <c r="P619" s="28"/>
      <c r="Q619" s="28"/>
      <c r="R619" s="28"/>
      <c r="S619" s="28"/>
      <c r="T619" s="28"/>
      <c r="U619" s="28"/>
      <c r="V619" s="28"/>
      <c r="W619" s="28"/>
      <c r="X619" s="28"/>
      <c r="Y619" s="28"/>
      <c r="Z619" s="28"/>
    </row>
    <row r="620">
      <c r="A620" s="1044"/>
      <c r="B620" s="1045"/>
      <c r="C620" s="1041"/>
      <c r="D620" s="1045"/>
      <c r="E620" s="1041"/>
      <c r="F620" s="1041"/>
      <c r="G620" s="28"/>
      <c r="H620" s="28"/>
      <c r="I620" s="28"/>
      <c r="J620" s="28"/>
      <c r="K620" s="28"/>
      <c r="L620" s="28"/>
      <c r="M620" s="28"/>
      <c r="N620" s="28"/>
      <c r="O620" s="28"/>
      <c r="P620" s="28"/>
      <c r="Q620" s="28"/>
      <c r="R620" s="28"/>
      <c r="S620" s="28"/>
      <c r="T620" s="28"/>
      <c r="U620" s="28"/>
      <c r="V620" s="28"/>
      <c r="W620" s="28"/>
      <c r="X620" s="28"/>
      <c r="Y620" s="28"/>
      <c r="Z620" s="28"/>
    </row>
    <row r="621">
      <c r="A621" s="1044"/>
      <c r="B621" s="1045"/>
      <c r="C621" s="1041"/>
      <c r="D621" s="1045"/>
      <c r="E621" s="1041"/>
      <c r="F621" s="1041"/>
      <c r="G621" s="28"/>
      <c r="H621" s="28"/>
      <c r="I621" s="28"/>
      <c r="J621" s="28"/>
      <c r="K621" s="28"/>
      <c r="L621" s="28"/>
      <c r="M621" s="28"/>
      <c r="N621" s="28"/>
      <c r="O621" s="28"/>
      <c r="P621" s="28"/>
      <c r="Q621" s="28"/>
      <c r="R621" s="28"/>
      <c r="S621" s="28"/>
      <c r="T621" s="28"/>
      <c r="U621" s="28"/>
      <c r="V621" s="28"/>
      <c r="W621" s="28"/>
      <c r="X621" s="28"/>
      <c r="Y621" s="28"/>
      <c r="Z621" s="28"/>
    </row>
    <row r="622">
      <c r="A622" s="1044"/>
      <c r="B622" s="1045"/>
      <c r="C622" s="1041"/>
      <c r="D622" s="1045"/>
      <c r="E622" s="1041"/>
      <c r="F622" s="1041"/>
      <c r="G622" s="28"/>
      <c r="H622" s="28"/>
      <c r="I622" s="28"/>
      <c r="J622" s="28"/>
      <c r="K622" s="28"/>
      <c r="L622" s="28"/>
      <c r="M622" s="28"/>
      <c r="N622" s="28"/>
      <c r="O622" s="28"/>
      <c r="P622" s="28"/>
      <c r="Q622" s="28"/>
      <c r="R622" s="28"/>
      <c r="S622" s="28"/>
      <c r="T622" s="28"/>
      <c r="U622" s="28"/>
      <c r="V622" s="28"/>
      <c r="W622" s="28"/>
      <c r="X622" s="28"/>
      <c r="Y622" s="28"/>
      <c r="Z622" s="28"/>
    </row>
    <row r="623">
      <c r="A623" s="1044"/>
      <c r="B623" s="1045"/>
      <c r="C623" s="1041"/>
      <c r="D623" s="1045"/>
      <c r="E623" s="1041"/>
      <c r="F623" s="1041"/>
      <c r="G623" s="28"/>
      <c r="H623" s="28"/>
      <c r="I623" s="28"/>
      <c r="J623" s="28"/>
      <c r="K623" s="28"/>
      <c r="L623" s="28"/>
      <c r="M623" s="28"/>
      <c r="N623" s="28"/>
      <c r="O623" s="28"/>
      <c r="P623" s="28"/>
      <c r="Q623" s="28"/>
      <c r="R623" s="28"/>
      <c r="S623" s="28"/>
      <c r="T623" s="28"/>
      <c r="U623" s="28"/>
      <c r="V623" s="28"/>
      <c r="W623" s="28"/>
      <c r="X623" s="28"/>
      <c r="Y623" s="28"/>
      <c r="Z623" s="28"/>
    </row>
    <row r="624">
      <c r="A624" s="1044"/>
      <c r="B624" s="1045"/>
      <c r="C624" s="1041"/>
      <c r="D624" s="1045"/>
      <c r="E624" s="1041"/>
      <c r="F624" s="1041"/>
      <c r="G624" s="28"/>
      <c r="H624" s="28"/>
      <c r="I624" s="28"/>
      <c r="J624" s="28"/>
      <c r="K624" s="28"/>
      <c r="L624" s="28"/>
      <c r="M624" s="28"/>
      <c r="N624" s="28"/>
      <c r="O624" s="28"/>
      <c r="P624" s="28"/>
      <c r="Q624" s="28"/>
      <c r="R624" s="28"/>
      <c r="S624" s="28"/>
      <c r="T624" s="28"/>
      <c r="U624" s="28"/>
      <c r="V624" s="28"/>
      <c r="W624" s="28"/>
      <c r="X624" s="28"/>
      <c r="Y624" s="28"/>
      <c r="Z624" s="28"/>
    </row>
    <row r="625">
      <c r="A625" s="1044"/>
      <c r="B625" s="1045"/>
      <c r="C625" s="1041"/>
      <c r="D625" s="1045"/>
      <c r="E625" s="1041"/>
      <c r="F625" s="1041"/>
      <c r="G625" s="28"/>
      <c r="H625" s="28"/>
      <c r="I625" s="28"/>
      <c r="J625" s="28"/>
      <c r="K625" s="28"/>
      <c r="L625" s="28"/>
      <c r="M625" s="28"/>
      <c r="N625" s="28"/>
      <c r="O625" s="28"/>
      <c r="P625" s="28"/>
      <c r="Q625" s="28"/>
      <c r="R625" s="28"/>
      <c r="S625" s="28"/>
      <c r="T625" s="28"/>
      <c r="U625" s="28"/>
      <c r="V625" s="28"/>
      <c r="W625" s="28"/>
      <c r="X625" s="28"/>
      <c r="Y625" s="28"/>
      <c r="Z625" s="28"/>
    </row>
    <row r="626">
      <c r="A626" s="1044"/>
      <c r="B626" s="1045"/>
      <c r="C626" s="1041"/>
      <c r="D626" s="1045"/>
      <c r="E626" s="1041"/>
      <c r="F626" s="1041"/>
      <c r="G626" s="28"/>
      <c r="H626" s="28"/>
      <c r="I626" s="28"/>
      <c r="J626" s="28"/>
      <c r="K626" s="28"/>
      <c r="L626" s="28"/>
      <c r="M626" s="28"/>
      <c r="N626" s="28"/>
      <c r="O626" s="28"/>
      <c r="P626" s="28"/>
      <c r="Q626" s="28"/>
      <c r="R626" s="28"/>
      <c r="S626" s="28"/>
      <c r="T626" s="28"/>
      <c r="U626" s="28"/>
      <c r="V626" s="28"/>
      <c r="W626" s="28"/>
      <c r="X626" s="28"/>
      <c r="Y626" s="28"/>
      <c r="Z626" s="28"/>
    </row>
    <row r="627">
      <c r="A627" s="1044"/>
      <c r="B627" s="1045"/>
      <c r="C627" s="1041"/>
      <c r="D627" s="1045"/>
      <c r="E627" s="1041"/>
      <c r="F627" s="1041"/>
      <c r="G627" s="28"/>
      <c r="H627" s="28"/>
      <c r="I627" s="28"/>
      <c r="J627" s="28"/>
      <c r="K627" s="28"/>
      <c r="L627" s="28"/>
      <c r="M627" s="28"/>
      <c r="N627" s="28"/>
      <c r="O627" s="28"/>
      <c r="P627" s="28"/>
      <c r="Q627" s="28"/>
      <c r="R627" s="28"/>
      <c r="S627" s="28"/>
      <c r="T627" s="28"/>
      <c r="U627" s="28"/>
      <c r="V627" s="28"/>
      <c r="W627" s="28"/>
      <c r="X627" s="28"/>
      <c r="Y627" s="28"/>
      <c r="Z627" s="28"/>
    </row>
    <row r="628">
      <c r="A628" s="1044"/>
      <c r="B628" s="1045"/>
      <c r="C628" s="1041"/>
      <c r="D628" s="1045"/>
      <c r="E628" s="1041"/>
      <c r="F628" s="1041"/>
      <c r="G628" s="28"/>
      <c r="H628" s="28"/>
      <c r="I628" s="28"/>
      <c r="J628" s="28"/>
      <c r="K628" s="28"/>
      <c r="L628" s="28"/>
      <c r="M628" s="28"/>
      <c r="N628" s="28"/>
      <c r="O628" s="28"/>
      <c r="P628" s="28"/>
      <c r="Q628" s="28"/>
      <c r="R628" s="28"/>
      <c r="S628" s="28"/>
      <c r="T628" s="28"/>
      <c r="U628" s="28"/>
      <c r="V628" s="28"/>
      <c r="W628" s="28"/>
      <c r="X628" s="28"/>
      <c r="Y628" s="28"/>
      <c r="Z628" s="28"/>
    </row>
    <row r="629">
      <c r="A629" s="1044"/>
      <c r="B629" s="1045"/>
      <c r="C629" s="1041"/>
      <c r="D629" s="1045"/>
      <c r="E629" s="1041"/>
      <c r="F629" s="1041"/>
      <c r="G629" s="28"/>
      <c r="H629" s="28"/>
      <c r="I629" s="28"/>
      <c r="J629" s="28"/>
      <c r="K629" s="28"/>
      <c r="L629" s="28"/>
      <c r="M629" s="28"/>
      <c r="N629" s="28"/>
      <c r="O629" s="28"/>
      <c r="P629" s="28"/>
      <c r="Q629" s="28"/>
      <c r="R629" s="28"/>
      <c r="S629" s="28"/>
      <c r="T629" s="28"/>
      <c r="U629" s="28"/>
      <c r="V629" s="28"/>
      <c r="W629" s="28"/>
      <c r="X629" s="28"/>
      <c r="Y629" s="28"/>
      <c r="Z629" s="28"/>
    </row>
    <row r="630">
      <c r="A630" s="1044"/>
      <c r="B630" s="1045"/>
      <c r="C630" s="1041"/>
      <c r="D630" s="1045"/>
      <c r="E630" s="1041"/>
      <c r="F630" s="1041"/>
      <c r="G630" s="28"/>
      <c r="H630" s="28"/>
      <c r="I630" s="28"/>
      <c r="J630" s="28"/>
      <c r="K630" s="28"/>
      <c r="L630" s="28"/>
      <c r="M630" s="28"/>
      <c r="N630" s="28"/>
      <c r="O630" s="28"/>
      <c r="P630" s="28"/>
      <c r="Q630" s="28"/>
      <c r="R630" s="28"/>
      <c r="S630" s="28"/>
      <c r="T630" s="28"/>
      <c r="U630" s="28"/>
      <c r="V630" s="28"/>
      <c r="W630" s="28"/>
      <c r="X630" s="28"/>
      <c r="Y630" s="28"/>
      <c r="Z630" s="28"/>
    </row>
    <row r="631">
      <c r="A631" s="1044"/>
      <c r="B631" s="1045"/>
      <c r="C631" s="1041"/>
      <c r="D631" s="1045"/>
      <c r="E631" s="1041"/>
      <c r="F631" s="1041"/>
      <c r="G631" s="28"/>
      <c r="H631" s="28"/>
      <c r="I631" s="28"/>
      <c r="J631" s="28"/>
      <c r="K631" s="28"/>
      <c r="L631" s="28"/>
      <c r="M631" s="28"/>
      <c r="N631" s="28"/>
      <c r="O631" s="28"/>
      <c r="P631" s="28"/>
      <c r="Q631" s="28"/>
      <c r="R631" s="28"/>
      <c r="S631" s="28"/>
      <c r="T631" s="28"/>
      <c r="U631" s="28"/>
      <c r="V631" s="28"/>
      <c r="W631" s="28"/>
      <c r="X631" s="28"/>
      <c r="Y631" s="28"/>
      <c r="Z631" s="28"/>
    </row>
    <row r="632">
      <c r="A632" s="1044"/>
      <c r="B632" s="1045"/>
      <c r="C632" s="1041"/>
      <c r="D632" s="1045"/>
      <c r="E632" s="1041"/>
      <c r="F632" s="1041"/>
      <c r="G632" s="28"/>
      <c r="H632" s="28"/>
      <c r="I632" s="28"/>
      <c r="J632" s="28"/>
      <c r="K632" s="28"/>
      <c r="L632" s="28"/>
      <c r="M632" s="28"/>
      <c r="N632" s="28"/>
      <c r="O632" s="28"/>
      <c r="P632" s="28"/>
      <c r="Q632" s="28"/>
      <c r="R632" s="28"/>
      <c r="S632" s="28"/>
      <c r="T632" s="28"/>
      <c r="U632" s="28"/>
      <c r="V632" s="28"/>
      <c r="W632" s="28"/>
      <c r="X632" s="28"/>
      <c r="Y632" s="28"/>
      <c r="Z632" s="28"/>
    </row>
    <row r="633">
      <c r="A633" s="1044"/>
      <c r="B633" s="1045"/>
      <c r="C633" s="1041"/>
      <c r="D633" s="1045"/>
      <c r="E633" s="1041"/>
      <c r="F633" s="1041"/>
      <c r="G633" s="28"/>
      <c r="H633" s="28"/>
      <c r="I633" s="28"/>
      <c r="J633" s="28"/>
      <c r="K633" s="28"/>
      <c r="L633" s="28"/>
      <c r="M633" s="28"/>
      <c r="N633" s="28"/>
      <c r="O633" s="28"/>
      <c r="P633" s="28"/>
      <c r="Q633" s="28"/>
      <c r="R633" s="28"/>
      <c r="S633" s="28"/>
      <c r="T633" s="28"/>
      <c r="U633" s="28"/>
      <c r="V633" s="28"/>
      <c r="W633" s="28"/>
      <c r="X633" s="28"/>
      <c r="Y633" s="28"/>
      <c r="Z633" s="28"/>
    </row>
    <row r="634">
      <c r="A634" s="1044"/>
      <c r="B634" s="1045"/>
      <c r="C634" s="1041"/>
      <c r="D634" s="1045"/>
      <c r="E634" s="1041"/>
      <c r="F634" s="1041"/>
      <c r="G634" s="28"/>
      <c r="H634" s="28"/>
      <c r="I634" s="28"/>
      <c r="J634" s="28"/>
      <c r="K634" s="28"/>
      <c r="L634" s="28"/>
      <c r="M634" s="28"/>
      <c r="N634" s="28"/>
      <c r="O634" s="28"/>
      <c r="P634" s="28"/>
      <c r="Q634" s="28"/>
      <c r="R634" s="28"/>
      <c r="S634" s="28"/>
      <c r="T634" s="28"/>
      <c r="U634" s="28"/>
      <c r="V634" s="28"/>
      <c r="W634" s="28"/>
      <c r="X634" s="28"/>
      <c r="Y634" s="28"/>
      <c r="Z634" s="28"/>
    </row>
    <row r="635">
      <c r="A635" s="1044"/>
      <c r="B635" s="1045"/>
      <c r="C635" s="1041"/>
      <c r="D635" s="1045"/>
      <c r="E635" s="1041"/>
      <c r="F635" s="1041"/>
      <c r="G635" s="28"/>
      <c r="H635" s="28"/>
      <c r="I635" s="28"/>
      <c r="J635" s="28"/>
      <c r="K635" s="28"/>
      <c r="L635" s="28"/>
      <c r="M635" s="28"/>
      <c r="N635" s="28"/>
      <c r="O635" s="28"/>
      <c r="P635" s="28"/>
      <c r="Q635" s="28"/>
      <c r="R635" s="28"/>
      <c r="S635" s="28"/>
      <c r="T635" s="28"/>
      <c r="U635" s="28"/>
      <c r="V635" s="28"/>
      <c r="W635" s="28"/>
      <c r="X635" s="28"/>
      <c r="Y635" s="28"/>
      <c r="Z635" s="28"/>
    </row>
    <row r="636">
      <c r="A636" s="1044"/>
      <c r="B636" s="1045"/>
      <c r="C636" s="1041"/>
      <c r="D636" s="1045"/>
      <c r="E636" s="1041"/>
      <c r="F636" s="1041"/>
      <c r="G636" s="28"/>
      <c r="H636" s="28"/>
      <c r="I636" s="28"/>
      <c r="J636" s="28"/>
      <c r="K636" s="28"/>
      <c r="L636" s="28"/>
      <c r="M636" s="28"/>
      <c r="N636" s="28"/>
      <c r="O636" s="28"/>
      <c r="P636" s="28"/>
      <c r="Q636" s="28"/>
      <c r="R636" s="28"/>
      <c r="S636" s="28"/>
      <c r="T636" s="28"/>
      <c r="U636" s="28"/>
      <c r="V636" s="28"/>
      <c r="W636" s="28"/>
      <c r="X636" s="28"/>
      <c r="Y636" s="28"/>
      <c r="Z636" s="28"/>
    </row>
    <row r="637">
      <c r="A637" s="1044"/>
      <c r="B637" s="1045"/>
      <c r="C637" s="1041"/>
      <c r="D637" s="1045"/>
      <c r="E637" s="1041"/>
      <c r="F637" s="1041"/>
      <c r="G637" s="28"/>
      <c r="H637" s="28"/>
      <c r="I637" s="28"/>
      <c r="J637" s="28"/>
      <c r="K637" s="28"/>
      <c r="L637" s="28"/>
      <c r="M637" s="28"/>
      <c r="N637" s="28"/>
      <c r="O637" s="28"/>
      <c r="P637" s="28"/>
      <c r="Q637" s="28"/>
      <c r="R637" s="28"/>
      <c r="S637" s="28"/>
      <c r="T637" s="28"/>
      <c r="U637" s="28"/>
      <c r="V637" s="28"/>
      <c r="W637" s="28"/>
      <c r="X637" s="28"/>
      <c r="Y637" s="28"/>
      <c r="Z637" s="28"/>
    </row>
    <row r="638">
      <c r="A638" s="1044"/>
      <c r="B638" s="1045"/>
      <c r="C638" s="1041"/>
      <c r="D638" s="1045"/>
      <c r="E638" s="1041"/>
      <c r="F638" s="1041"/>
      <c r="G638" s="28"/>
      <c r="H638" s="28"/>
      <c r="I638" s="28"/>
      <c r="J638" s="28"/>
      <c r="K638" s="28"/>
      <c r="L638" s="28"/>
      <c r="M638" s="28"/>
      <c r="N638" s="28"/>
      <c r="O638" s="28"/>
      <c r="P638" s="28"/>
      <c r="Q638" s="28"/>
      <c r="R638" s="28"/>
      <c r="S638" s="28"/>
      <c r="T638" s="28"/>
      <c r="U638" s="28"/>
      <c r="V638" s="28"/>
      <c r="W638" s="28"/>
      <c r="X638" s="28"/>
      <c r="Y638" s="28"/>
      <c r="Z638" s="28"/>
    </row>
    <row r="639">
      <c r="A639" s="1044"/>
      <c r="B639" s="1045"/>
      <c r="C639" s="1041"/>
      <c r="D639" s="1045"/>
      <c r="E639" s="1041"/>
      <c r="F639" s="1041"/>
      <c r="G639" s="28"/>
      <c r="H639" s="28"/>
      <c r="I639" s="28"/>
      <c r="J639" s="28"/>
      <c r="K639" s="28"/>
      <c r="L639" s="28"/>
      <c r="M639" s="28"/>
      <c r="N639" s="28"/>
      <c r="O639" s="28"/>
      <c r="P639" s="28"/>
      <c r="Q639" s="28"/>
      <c r="R639" s="28"/>
      <c r="S639" s="28"/>
      <c r="T639" s="28"/>
      <c r="U639" s="28"/>
      <c r="V639" s="28"/>
      <c r="W639" s="28"/>
      <c r="X639" s="28"/>
      <c r="Y639" s="28"/>
      <c r="Z639" s="28"/>
    </row>
    <row r="640">
      <c r="A640" s="1044"/>
      <c r="B640" s="1045"/>
      <c r="C640" s="1041"/>
      <c r="D640" s="1045"/>
      <c r="E640" s="1041"/>
      <c r="F640" s="1041"/>
      <c r="G640" s="28"/>
      <c r="H640" s="28"/>
      <c r="I640" s="28"/>
      <c r="J640" s="28"/>
      <c r="K640" s="28"/>
      <c r="L640" s="28"/>
      <c r="M640" s="28"/>
      <c r="N640" s="28"/>
      <c r="O640" s="28"/>
      <c r="P640" s="28"/>
      <c r="Q640" s="28"/>
      <c r="R640" s="28"/>
      <c r="S640" s="28"/>
      <c r="T640" s="28"/>
      <c r="U640" s="28"/>
      <c r="V640" s="28"/>
      <c r="W640" s="28"/>
      <c r="X640" s="28"/>
      <c r="Y640" s="28"/>
      <c r="Z640" s="28"/>
    </row>
    <row r="641">
      <c r="A641" s="1044"/>
      <c r="B641" s="1045"/>
      <c r="C641" s="1041"/>
      <c r="D641" s="1045"/>
      <c r="E641" s="1041"/>
      <c r="F641" s="1041"/>
      <c r="G641" s="28"/>
      <c r="H641" s="28"/>
      <c r="I641" s="28"/>
      <c r="J641" s="28"/>
      <c r="K641" s="28"/>
      <c r="L641" s="28"/>
      <c r="M641" s="28"/>
      <c r="N641" s="28"/>
      <c r="O641" s="28"/>
      <c r="P641" s="28"/>
      <c r="Q641" s="28"/>
      <c r="R641" s="28"/>
      <c r="S641" s="28"/>
      <c r="T641" s="28"/>
      <c r="U641" s="28"/>
      <c r="V641" s="28"/>
      <c r="W641" s="28"/>
      <c r="X641" s="28"/>
      <c r="Y641" s="28"/>
      <c r="Z641" s="28"/>
    </row>
    <row r="642">
      <c r="A642" s="1044"/>
      <c r="B642" s="1045"/>
      <c r="C642" s="1041"/>
      <c r="D642" s="1045"/>
      <c r="E642" s="1041"/>
      <c r="F642" s="1041"/>
      <c r="G642" s="28"/>
      <c r="H642" s="28"/>
      <c r="I642" s="28"/>
      <c r="J642" s="28"/>
      <c r="K642" s="28"/>
      <c r="L642" s="28"/>
      <c r="M642" s="28"/>
      <c r="N642" s="28"/>
      <c r="O642" s="28"/>
      <c r="P642" s="28"/>
      <c r="Q642" s="28"/>
      <c r="R642" s="28"/>
      <c r="S642" s="28"/>
      <c r="T642" s="28"/>
      <c r="U642" s="28"/>
      <c r="V642" s="28"/>
      <c r="W642" s="28"/>
      <c r="X642" s="28"/>
      <c r="Y642" s="28"/>
      <c r="Z642" s="28"/>
    </row>
    <row r="643">
      <c r="A643" s="1044"/>
      <c r="B643" s="1045"/>
      <c r="C643" s="1041"/>
      <c r="D643" s="1045"/>
      <c r="E643" s="1041"/>
      <c r="F643" s="1041"/>
      <c r="G643" s="28"/>
      <c r="H643" s="28"/>
      <c r="I643" s="28"/>
      <c r="J643" s="28"/>
      <c r="K643" s="28"/>
      <c r="L643" s="28"/>
      <c r="M643" s="28"/>
      <c r="N643" s="28"/>
      <c r="O643" s="28"/>
      <c r="P643" s="28"/>
      <c r="Q643" s="28"/>
      <c r="R643" s="28"/>
      <c r="S643" s="28"/>
      <c r="T643" s="28"/>
      <c r="U643" s="28"/>
      <c r="V643" s="28"/>
      <c r="W643" s="28"/>
      <c r="X643" s="28"/>
      <c r="Y643" s="28"/>
      <c r="Z643" s="28"/>
    </row>
    <row r="644">
      <c r="A644" s="1044"/>
      <c r="B644" s="1045"/>
      <c r="C644" s="1041"/>
      <c r="D644" s="1045"/>
      <c r="E644" s="1041"/>
      <c r="F644" s="1041"/>
      <c r="G644" s="28"/>
      <c r="H644" s="28"/>
      <c r="I644" s="28"/>
      <c r="J644" s="28"/>
      <c r="K644" s="28"/>
      <c r="L644" s="28"/>
      <c r="M644" s="28"/>
      <c r="N644" s="28"/>
      <c r="O644" s="28"/>
      <c r="P644" s="28"/>
      <c r="Q644" s="28"/>
      <c r="R644" s="28"/>
      <c r="S644" s="28"/>
      <c r="T644" s="28"/>
      <c r="U644" s="28"/>
      <c r="V644" s="28"/>
      <c r="W644" s="28"/>
      <c r="X644" s="28"/>
      <c r="Y644" s="28"/>
      <c r="Z644" s="28"/>
    </row>
    <row r="645">
      <c r="A645" s="1044"/>
      <c r="B645" s="1045"/>
      <c r="C645" s="1041"/>
      <c r="D645" s="1045"/>
      <c r="E645" s="1041"/>
      <c r="F645" s="1041"/>
      <c r="G645" s="28"/>
      <c r="H645" s="28"/>
      <c r="I645" s="28"/>
      <c r="J645" s="28"/>
      <c r="K645" s="28"/>
      <c r="L645" s="28"/>
      <c r="M645" s="28"/>
      <c r="N645" s="28"/>
      <c r="O645" s="28"/>
      <c r="P645" s="28"/>
      <c r="Q645" s="28"/>
      <c r="R645" s="28"/>
      <c r="S645" s="28"/>
      <c r="T645" s="28"/>
      <c r="U645" s="28"/>
      <c r="V645" s="28"/>
      <c r="W645" s="28"/>
      <c r="X645" s="28"/>
      <c r="Y645" s="28"/>
      <c r="Z645" s="28"/>
    </row>
    <row r="646">
      <c r="A646" s="1044"/>
      <c r="B646" s="1045"/>
      <c r="C646" s="1041"/>
      <c r="D646" s="1045"/>
      <c r="E646" s="1041"/>
      <c r="F646" s="1041"/>
      <c r="G646" s="28"/>
      <c r="H646" s="28"/>
      <c r="I646" s="28"/>
      <c r="J646" s="28"/>
      <c r="K646" s="28"/>
      <c r="L646" s="28"/>
      <c r="M646" s="28"/>
      <c r="N646" s="28"/>
      <c r="O646" s="28"/>
      <c r="P646" s="28"/>
      <c r="Q646" s="28"/>
      <c r="R646" s="28"/>
      <c r="S646" s="28"/>
      <c r="T646" s="28"/>
      <c r="U646" s="28"/>
      <c r="V646" s="28"/>
      <c r="W646" s="28"/>
      <c r="X646" s="28"/>
      <c r="Y646" s="28"/>
      <c r="Z646" s="28"/>
    </row>
    <row r="647">
      <c r="A647" s="1044"/>
      <c r="B647" s="1045"/>
      <c r="C647" s="1041"/>
      <c r="D647" s="1045"/>
      <c r="E647" s="1041"/>
      <c r="F647" s="1041"/>
      <c r="G647" s="28"/>
      <c r="H647" s="28"/>
      <c r="I647" s="28"/>
      <c r="J647" s="28"/>
      <c r="K647" s="28"/>
      <c r="L647" s="28"/>
      <c r="M647" s="28"/>
      <c r="N647" s="28"/>
      <c r="O647" s="28"/>
      <c r="P647" s="28"/>
      <c r="Q647" s="28"/>
      <c r="R647" s="28"/>
      <c r="S647" s="28"/>
      <c r="T647" s="28"/>
      <c r="U647" s="28"/>
      <c r="V647" s="28"/>
      <c r="W647" s="28"/>
      <c r="X647" s="28"/>
      <c r="Y647" s="28"/>
      <c r="Z647" s="28"/>
    </row>
    <row r="648">
      <c r="A648" s="1044"/>
      <c r="B648" s="1045"/>
      <c r="C648" s="1041"/>
      <c r="D648" s="1045"/>
      <c r="E648" s="1041"/>
      <c r="F648" s="1041"/>
      <c r="G648" s="28"/>
      <c r="H648" s="28"/>
      <c r="I648" s="28"/>
      <c r="J648" s="28"/>
      <c r="K648" s="28"/>
      <c r="L648" s="28"/>
      <c r="M648" s="28"/>
      <c r="N648" s="28"/>
      <c r="O648" s="28"/>
      <c r="P648" s="28"/>
      <c r="Q648" s="28"/>
      <c r="R648" s="28"/>
      <c r="S648" s="28"/>
      <c r="T648" s="28"/>
      <c r="U648" s="28"/>
      <c r="V648" s="28"/>
      <c r="W648" s="28"/>
      <c r="X648" s="28"/>
      <c r="Y648" s="28"/>
      <c r="Z648" s="28"/>
    </row>
    <row r="649">
      <c r="A649" s="1044"/>
      <c r="B649" s="1045"/>
      <c r="C649" s="1041"/>
      <c r="D649" s="1045"/>
      <c r="E649" s="1041"/>
      <c r="F649" s="1041"/>
      <c r="G649" s="28"/>
      <c r="H649" s="28"/>
      <c r="I649" s="28"/>
      <c r="J649" s="28"/>
      <c r="K649" s="28"/>
      <c r="L649" s="28"/>
      <c r="M649" s="28"/>
      <c r="N649" s="28"/>
      <c r="O649" s="28"/>
      <c r="P649" s="28"/>
      <c r="Q649" s="28"/>
      <c r="R649" s="28"/>
      <c r="S649" s="28"/>
      <c r="T649" s="28"/>
      <c r="U649" s="28"/>
      <c r="V649" s="28"/>
      <c r="W649" s="28"/>
      <c r="X649" s="28"/>
      <c r="Y649" s="28"/>
      <c r="Z649" s="28"/>
    </row>
    <row r="650">
      <c r="A650" s="1044"/>
      <c r="B650" s="1045"/>
      <c r="C650" s="1041"/>
      <c r="D650" s="1045"/>
      <c r="E650" s="1041"/>
      <c r="F650" s="1041"/>
      <c r="G650" s="28"/>
      <c r="H650" s="28"/>
      <c r="I650" s="28"/>
      <c r="J650" s="28"/>
      <c r="K650" s="28"/>
      <c r="L650" s="28"/>
      <c r="M650" s="28"/>
      <c r="N650" s="28"/>
      <c r="O650" s="28"/>
      <c r="P650" s="28"/>
      <c r="Q650" s="28"/>
      <c r="R650" s="28"/>
      <c r="S650" s="28"/>
      <c r="T650" s="28"/>
      <c r="U650" s="28"/>
      <c r="V650" s="28"/>
      <c r="W650" s="28"/>
      <c r="X650" s="28"/>
      <c r="Y650" s="28"/>
      <c r="Z650" s="28"/>
    </row>
    <row r="651">
      <c r="A651" s="1044"/>
      <c r="B651" s="1045"/>
      <c r="C651" s="1041"/>
      <c r="D651" s="1045"/>
      <c r="E651" s="1041"/>
      <c r="F651" s="1041"/>
      <c r="G651" s="28"/>
      <c r="H651" s="28"/>
      <c r="I651" s="28"/>
      <c r="J651" s="28"/>
      <c r="K651" s="28"/>
      <c r="L651" s="28"/>
      <c r="M651" s="28"/>
      <c r="N651" s="28"/>
      <c r="O651" s="28"/>
      <c r="P651" s="28"/>
      <c r="Q651" s="28"/>
      <c r="R651" s="28"/>
      <c r="S651" s="28"/>
      <c r="T651" s="28"/>
      <c r="U651" s="28"/>
      <c r="V651" s="28"/>
      <c r="W651" s="28"/>
      <c r="X651" s="28"/>
      <c r="Y651" s="28"/>
      <c r="Z651" s="28"/>
    </row>
    <row r="652">
      <c r="A652" s="1044"/>
      <c r="B652" s="1045"/>
      <c r="C652" s="1041"/>
      <c r="D652" s="1045"/>
      <c r="E652" s="1041"/>
      <c r="F652" s="1041"/>
      <c r="G652" s="28"/>
      <c r="H652" s="28"/>
      <c r="I652" s="28"/>
      <c r="J652" s="28"/>
      <c r="K652" s="28"/>
      <c r="L652" s="28"/>
      <c r="M652" s="28"/>
      <c r="N652" s="28"/>
      <c r="O652" s="28"/>
      <c r="P652" s="28"/>
      <c r="Q652" s="28"/>
      <c r="R652" s="28"/>
      <c r="S652" s="28"/>
      <c r="T652" s="28"/>
      <c r="U652" s="28"/>
      <c r="V652" s="28"/>
      <c r="W652" s="28"/>
      <c r="X652" s="28"/>
      <c r="Y652" s="28"/>
      <c r="Z652" s="28"/>
    </row>
    <row r="653">
      <c r="A653" s="1044"/>
      <c r="B653" s="1045"/>
      <c r="C653" s="1041"/>
      <c r="D653" s="1045"/>
      <c r="E653" s="1041"/>
      <c r="F653" s="1041"/>
      <c r="G653" s="28"/>
      <c r="H653" s="28"/>
      <c r="I653" s="28"/>
      <c r="J653" s="28"/>
      <c r="K653" s="28"/>
      <c r="L653" s="28"/>
      <c r="M653" s="28"/>
      <c r="N653" s="28"/>
      <c r="O653" s="28"/>
      <c r="P653" s="28"/>
      <c r="Q653" s="28"/>
      <c r="R653" s="28"/>
      <c r="S653" s="28"/>
      <c r="T653" s="28"/>
      <c r="U653" s="28"/>
      <c r="V653" s="28"/>
      <c r="W653" s="28"/>
      <c r="X653" s="28"/>
      <c r="Y653" s="28"/>
      <c r="Z653" s="28"/>
    </row>
    <row r="654">
      <c r="A654" s="1044"/>
      <c r="B654" s="1045"/>
      <c r="C654" s="1041"/>
      <c r="D654" s="1045"/>
      <c r="E654" s="1041"/>
      <c r="F654" s="1041"/>
      <c r="G654" s="28"/>
      <c r="H654" s="28"/>
      <c r="I654" s="28"/>
      <c r="J654" s="28"/>
      <c r="K654" s="28"/>
      <c r="L654" s="28"/>
      <c r="M654" s="28"/>
      <c r="N654" s="28"/>
      <c r="O654" s="28"/>
      <c r="P654" s="28"/>
      <c r="Q654" s="28"/>
      <c r="R654" s="28"/>
      <c r="S654" s="28"/>
      <c r="T654" s="28"/>
      <c r="U654" s="28"/>
      <c r="V654" s="28"/>
      <c r="W654" s="28"/>
      <c r="X654" s="28"/>
      <c r="Y654" s="28"/>
      <c r="Z654" s="28"/>
    </row>
    <row r="655">
      <c r="A655" s="1044"/>
      <c r="B655" s="1045"/>
      <c r="C655" s="1041"/>
      <c r="D655" s="1045"/>
      <c r="E655" s="1041"/>
      <c r="F655" s="1041"/>
      <c r="G655" s="28"/>
      <c r="H655" s="28"/>
      <c r="I655" s="28"/>
      <c r="J655" s="28"/>
      <c r="K655" s="28"/>
      <c r="L655" s="28"/>
      <c r="M655" s="28"/>
      <c r="N655" s="28"/>
      <c r="O655" s="28"/>
      <c r="P655" s="28"/>
      <c r="Q655" s="28"/>
      <c r="R655" s="28"/>
      <c r="S655" s="28"/>
      <c r="T655" s="28"/>
      <c r="U655" s="28"/>
      <c r="V655" s="28"/>
      <c r="W655" s="28"/>
      <c r="X655" s="28"/>
      <c r="Y655" s="28"/>
      <c r="Z655" s="28"/>
    </row>
    <row r="656">
      <c r="A656" s="1044"/>
      <c r="B656" s="1045"/>
      <c r="C656" s="1041"/>
      <c r="D656" s="1045"/>
      <c r="E656" s="1041"/>
      <c r="F656" s="1041"/>
      <c r="G656" s="28"/>
      <c r="H656" s="28"/>
      <c r="I656" s="28"/>
      <c r="J656" s="28"/>
      <c r="K656" s="28"/>
      <c r="L656" s="28"/>
      <c r="M656" s="28"/>
      <c r="N656" s="28"/>
      <c r="O656" s="28"/>
      <c r="P656" s="28"/>
      <c r="Q656" s="28"/>
      <c r="R656" s="28"/>
      <c r="S656" s="28"/>
      <c r="T656" s="28"/>
      <c r="U656" s="28"/>
      <c r="V656" s="28"/>
      <c r="W656" s="28"/>
      <c r="X656" s="28"/>
      <c r="Y656" s="28"/>
      <c r="Z656" s="28"/>
    </row>
    <row r="657">
      <c r="A657" s="1044"/>
      <c r="B657" s="1045"/>
      <c r="C657" s="1041"/>
      <c r="D657" s="1045"/>
      <c r="E657" s="1041"/>
      <c r="F657" s="1041"/>
      <c r="G657" s="28"/>
      <c r="H657" s="28"/>
      <c r="I657" s="28"/>
      <c r="J657" s="28"/>
      <c r="K657" s="28"/>
      <c r="L657" s="28"/>
      <c r="M657" s="28"/>
      <c r="N657" s="28"/>
      <c r="O657" s="28"/>
      <c r="P657" s="28"/>
      <c r="Q657" s="28"/>
      <c r="R657" s="28"/>
      <c r="S657" s="28"/>
      <c r="T657" s="28"/>
      <c r="U657" s="28"/>
      <c r="V657" s="28"/>
      <c r="W657" s="28"/>
      <c r="X657" s="28"/>
      <c r="Y657" s="28"/>
      <c r="Z657" s="28"/>
    </row>
    <row r="658">
      <c r="A658" s="1044"/>
      <c r="B658" s="1045"/>
      <c r="C658" s="1041"/>
      <c r="D658" s="1045"/>
      <c r="E658" s="1041"/>
      <c r="F658" s="1041"/>
      <c r="G658" s="28"/>
      <c r="H658" s="28"/>
      <c r="I658" s="28"/>
      <c r="J658" s="28"/>
      <c r="K658" s="28"/>
      <c r="L658" s="28"/>
      <c r="M658" s="28"/>
      <c r="N658" s="28"/>
      <c r="O658" s="28"/>
      <c r="P658" s="28"/>
      <c r="Q658" s="28"/>
      <c r="R658" s="28"/>
      <c r="S658" s="28"/>
      <c r="T658" s="28"/>
      <c r="U658" s="28"/>
      <c r="V658" s="28"/>
      <c r="W658" s="28"/>
      <c r="X658" s="28"/>
      <c r="Y658" s="28"/>
      <c r="Z658" s="28"/>
    </row>
    <row r="659">
      <c r="A659" s="1044"/>
      <c r="B659" s="1045"/>
      <c r="C659" s="1041"/>
      <c r="D659" s="1045"/>
      <c r="E659" s="1041"/>
      <c r="F659" s="1041"/>
      <c r="G659" s="28"/>
      <c r="H659" s="28"/>
      <c r="I659" s="28"/>
      <c r="J659" s="28"/>
      <c r="K659" s="28"/>
      <c r="L659" s="28"/>
      <c r="M659" s="28"/>
      <c r="N659" s="28"/>
      <c r="O659" s="28"/>
      <c r="P659" s="28"/>
      <c r="Q659" s="28"/>
      <c r="R659" s="28"/>
      <c r="S659" s="28"/>
      <c r="T659" s="28"/>
      <c r="U659" s="28"/>
      <c r="V659" s="28"/>
      <c r="W659" s="28"/>
      <c r="X659" s="28"/>
      <c r="Y659" s="28"/>
      <c r="Z659" s="28"/>
    </row>
    <row r="660">
      <c r="A660" s="1044"/>
      <c r="B660" s="1045"/>
      <c r="C660" s="1041"/>
      <c r="D660" s="1045"/>
      <c r="E660" s="1041"/>
      <c r="F660" s="1041"/>
      <c r="G660" s="28"/>
      <c r="H660" s="28"/>
      <c r="I660" s="28"/>
      <c r="J660" s="28"/>
      <c r="K660" s="28"/>
      <c r="L660" s="28"/>
      <c r="M660" s="28"/>
      <c r="N660" s="28"/>
      <c r="O660" s="28"/>
      <c r="P660" s="28"/>
      <c r="Q660" s="28"/>
      <c r="R660" s="28"/>
      <c r="S660" s="28"/>
      <c r="T660" s="28"/>
      <c r="U660" s="28"/>
      <c r="V660" s="28"/>
      <c r="W660" s="28"/>
      <c r="X660" s="28"/>
      <c r="Y660" s="28"/>
      <c r="Z660" s="28"/>
    </row>
    <row r="661">
      <c r="A661" s="1044"/>
      <c r="B661" s="1045"/>
      <c r="C661" s="1041"/>
      <c r="D661" s="1045"/>
      <c r="E661" s="1041"/>
      <c r="F661" s="1041"/>
      <c r="G661" s="28"/>
      <c r="H661" s="28"/>
      <c r="I661" s="28"/>
      <c r="J661" s="28"/>
      <c r="K661" s="28"/>
      <c r="L661" s="28"/>
      <c r="M661" s="28"/>
      <c r="N661" s="28"/>
      <c r="O661" s="28"/>
      <c r="P661" s="28"/>
      <c r="Q661" s="28"/>
      <c r="R661" s="28"/>
      <c r="S661" s="28"/>
      <c r="T661" s="28"/>
      <c r="U661" s="28"/>
      <c r="V661" s="28"/>
      <c r="W661" s="28"/>
      <c r="X661" s="28"/>
      <c r="Y661" s="28"/>
      <c r="Z661" s="28"/>
    </row>
    <row r="662">
      <c r="A662" s="1044"/>
      <c r="B662" s="1045"/>
      <c r="C662" s="1041"/>
      <c r="D662" s="1045"/>
      <c r="E662" s="1041"/>
      <c r="F662" s="1041"/>
      <c r="G662" s="28"/>
      <c r="H662" s="28"/>
      <c r="I662" s="28"/>
      <c r="J662" s="28"/>
      <c r="K662" s="28"/>
      <c r="L662" s="28"/>
      <c r="M662" s="28"/>
      <c r="N662" s="28"/>
      <c r="O662" s="28"/>
      <c r="P662" s="28"/>
      <c r="Q662" s="28"/>
      <c r="R662" s="28"/>
      <c r="S662" s="28"/>
      <c r="T662" s="28"/>
      <c r="U662" s="28"/>
      <c r="V662" s="28"/>
      <c r="W662" s="28"/>
      <c r="X662" s="28"/>
      <c r="Y662" s="28"/>
      <c r="Z662" s="28"/>
    </row>
    <row r="663">
      <c r="A663" s="1044"/>
      <c r="B663" s="1045"/>
      <c r="C663" s="1041"/>
      <c r="D663" s="1045"/>
      <c r="E663" s="1041"/>
      <c r="F663" s="1041"/>
      <c r="G663" s="28"/>
      <c r="H663" s="28"/>
      <c r="I663" s="28"/>
      <c r="J663" s="28"/>
      <c r="K663" s="28"/>
      <c r="L663" s="28"/>
      <c r="M663" s="28"/>
      <c r="N663" s="28"/>
      <c r="O663" s="28"/>
      <c r="P663" s="28"/>
      <c r="Q663" s="28"/>
      <c r="R663" s="28"/>
      <c r="S663" s="28"/>
      <c r="T663" s="28"/>
      <c r="U663" s="28"/>
      <c r="V663" s="28"/>
      <c r="W663" s="28"/>
      <c r="X663" s="28"/>
      <c r="Y663" s="28"/>
      <c r="Z663" s="28"/>
    </row>
    <row r="664">
      <c r="A664" s="1044"/>
      <c r="B664" s="1045"/>
      <c r="C664" s="1041"/>
      <c r="D664" s="1045"/>
      <c r="E664" s="1041"/>
      <c r="F664" s="1041"/>
      <c r="G664" s="28"/>
      <c r="H664" s="28"/>
      <c r="I664" s="28"/>
      <c r="J664" s="28"/>
      <c r="K664" s="28"/>
      <c r="L664" s="28"/>
      <c r="M664" s="28"/>
      <c r="N664" s="28"/>
      <c r="O664" s="28"/>
      <c r="P664" s="28"/>
      <c r="Q664" s="28"/>
      <c r="R664" s="28"/>
      <c r="S664" s="28"/>
      <c r="T664" s="28"/>
      <c r="U664" s="28"/>
      <c r="V664" s="28"/>
      <c r="W664" s="28"/>
      <c r="X664" s="28"/>
      <c r="Y664" s="28"/>
      <c r="Z664" s="28"/>
    </row>
    <row r="665">
      <c r="A665" s="1044"/>
      <c r="B665" s="1045"/>
      <c r="C665" s="1041"/>
      <c r="D665" s="1045"/>
      <c r="E665" s="1041"/>
      <c r="F665" s="1041"/>
      <c r="G665" s="28"/>
      <c r="H665" s="28"/>
      <c r="I665" s="28"/>
      <c r="J665" s="28"/>
      <c r="K665" s="28"/>
      <c r="L665" s="28"/>
      <c r="M665" s="28"/>
      <c r="N665" s="28"/>
      <c r="O665" s="28"/>
      <c r="P665" s="28"/>
      <c r="Q665" s="28"/>
      <c r="R665" s="28"/>
      <c r="S665" s="28"/>
      <c r="T665" s="28"/>
      <c r="U665" s="28"/>
      <c r="V665" s="28"/>
      <c r="W665" s="28"/>
      <c r="X665" s="28"/>
      <c r="Y665" s="28"/>
      <c r="Z665" s="28"/>
    </row>
    <row r="666">
      <c r="A666" s="1044"/>
      <c r="B666" s="1045"/>
      <c r="C666" s="1041"/>
      <c r="D666" s="1045"/>
      <c r="E666" s="1041"/>
      <c r="F666" s="1041"/>
      <c r="G666" s="28"/>
      <c r="H666" s="28"/>
      <c r="I666" s="28"/>
      <c r="J666" s="28"/>
      <c r="K666" s="28"/>
      <c r="L666" s="28"/>
      <c r="M666" s="28"/>
      <c r="N666" s="28"/>
      <c r="O666" s="28"/>
      <c r="P666" s="28"/>
      <c r="Q666" s="28"/>
      <c r="R666" s="28"/>
      <c r="S666" s="28"/>
      <c r="T666" s="28"/>
      <c r="U666" s="28"/>
      <c r="V666" s="28"/>
      <c r="W666" s="28"/>
      <c r="X666" s="28"/>
      <c r="Y666" s="28"/>
      <c r="Z666" s="28"/>
    </row>
    <row r="667">
      <c r="A667" s="1044"/>
      <c r="B667" s="1045"/>
      <c r="C667" s="1041"/>
      <c r="D667" s="1045"/>
      <c r="E667" s="1041"/>
      <c r="F667" s="1041"/>
      <c r="G667" s="28"/>
      <c r="H667" s="28"/>
      <c r="I667" s="28"/>
      <c r="J667" s="28"/>
      <c r="K667" s="28"/>
      <c r="L667" s="28"/>
      <c r="M667" s="28"/>
      <c r="N667" s="28"/>
      <c r="O667" s="28"/>
      <c r="P667" s="28"/>
      <c r="Q667" s="28"/>
      <c r="R667" s="28"/>
      <c r="S667" s="28"/>
      <c r="T667" s="28"/>
      <c r="U667" s="28"/>
      <c r="V667" s="28"/>
      <c r="W667" s="28"/>
      <c r="X667" s="28"/>
      <c r="Y667" s="28"/>
      <c r="Z667" s="28"/>
    </row>
    <row r="668">
      <c r="A668" s="1044"/>
      <c r="B668" s="1045"/>
      <c r="C668" s="1041"/>
      <c r="D668" s="1045"/>
      <c r="E668" s="1041"/>
      <c r="F668" s="1041"/>
      <c r="G668" s="28"/>
      <c r="H668" s="28"/>
      <c r="I668" s="28"/>
      <c r="J668" s="28"/>
      <c r="K668" s="28"/>
      <c r="L668" s="28"/>
      <c r="M668" s="28"/>
      <c r="N668" s="28"/>
      <c r="O668" s="28"/>
      <c r="P668" s="28"/>
      <c r="Q668" s="28"/>
      <c r="R668" s="28"/>
      <c r="S668" s="28"/>
      <c r="T668" s="28"/>
      <c r="U668" s="28"/>
      <c r="V668" s="28"/>
      <c r="W668" s="28"/>
      <c r="X668" s="28"/>
      <c r="Y668" s="28"/>
      <c r="Z668" s="28"/>
    </row>
    <row r="669">
      <c r="A669" s="1044"/>
      <c r="B669" s="1045"/>
      <c r="C669" s="1041"/>
      <c r="D669" s="1045"/>
      <c r="E669" s="1041"/>
      <c r="F669" s="1041"/>
      <c r="G669" s="28"/>
      <c r="H669" s="28"/>
      <c r="I669" s="28"/>
      <c r="J669" s="28"/>
      <c r="K669" s="28"/>
      <c r="L669" s="28"/>
      <c r="M669" s="28"/>
      <c r="N669" s="28"/>
      <c r="O669" s="28"/>
      <c r="P669" s="28"/>
      <c r="Q669" s="28"/>
      <c r="R669" s="28"/>
      <c r="S669" s="28"/>
      <c r="T669" s="28"/>
      <c r="U669" s="28"/>
      <c r="V669" s="28"/>
      <c r="W669" s="28"/>
      <c r="X669" s="28"/>
      <c r="Y669" s="28"/>
      <c r="Z669" s="28"/>
    </row>
    <row r="670">
      <c r="A670" s="1044"/>
      <c r="B670" s="1045"/>
      <c r="C670" s="1041"/>
      <c r="D670" s="1045"/>
      <c r="E670" s="1041"/>
      <c r="F670" s="1041"/>
      <c r="G670" s="28"/>
      <c r="H670" s="28"/>
      <c r="I670" s="28"/>
      <c r="J670" s="28"/>
      <c r="K670" s="28"/>
      <c r="L670" s="28"/>
      <c r="M670" s="28"/>
      <c r="N670" s="28"/>
      <c r="O670" s="28"/>
      <c r="P670" s="28"/>
      <c r="Q670" s="28"/>
      <c r="R670" s="28"/>
      <c r="S670" s="28"/>
      <c r="T670" s="28"/>
      <c r="U670" s="28"/>
      <c r="V670" s="28"/>
      <c r="W670" s="28"/>
      <c r="X670" s="28"/>
      <c r="Y670" s="28"/>
      <c r="Z670" s="28"/>
    </row>
    <row r="671">
      <c r="A671" s="1044"/>
      <c r="B671" s="1045"/>
      <c r="C671" s="1041"/>
      <c r="D671" s="1045"/>
      <c r="E671" s="1041"/>
      <c r="F671" s="1041"/>
      <c r="G671" s="28"/>
      <c r="H671" s="28"/>
      <c r="I671" s="28"/>
      <c r="J671" s="28"/>
      <c r="K671" s="28"/>
      <c r="L671" s="28"/>
      <c r="M671" s="28"/>
      <c r="N671" s="28"/>
      <c r="O671" s="28"/>
      <c r="P671" s="28"/>
      <c r="Q671" s="28"/>
      <c r="R671" s="28"/>
      <c r="S671" s="28"/>
      <c r="T671" s="28"/>
      <c r="U671" s="28"/>
      <c r="V671" s="28"/>
      <c r="W671" s="28"/>
      <c r="X671" s="28"/>
      <c r="Y671" s="28"/>
      <c r="Z671" s="28"/>
    </row>
    <row r="672">
      <c r="A672" s="1044"/>
      <c r="B672" s="1045"/>
      <c r="C672" s="1041"/>
      <c r="D672" s="1045"/>
      <c r="E672" s="1041"/>
      <c r="F672" s="1041"/>
      <c r="G672" s="28"/>
      <c r="H672" s="28"/>
      <c r="I672" s="28"/>
      <c r="J672" s="28"/>
      <c r="K672" s="28"/>
      <c r="L672" s="28"/>
      <c r="M672" s="28"/>
      <c r="N672" s="28"/>
      <c r="O672" s="28"/>
      <c r="P672" s="28"/>
      <c r="Q672" s="28"/>
      <c r="R672" s="28"/>
      <c r="S672" s="28"/>
      <c r="T672" s="28"/>
      <c r="U672" s="28"/>
      <c r="V672" s="28"/>
      <c r="W672" s="28"/>
      <c r="X672" s="28"/>
      <c r="Y672" s="28"/>
      <c r="Z672" s="28"/>
    </row>
    <row r="673">
      <c r="A673" s="1044"/>
      <c r="B673" s="1045"/>
      <c r="C673" s="1041"/>
      <c r="D673" s="1045"/>
      <c r="E673" s="1041"/>
      <c r="F673" s="1041"/>
      <c r="G673" s="28"/>
      <c r="H673" s="28"/>
      <c r="I673" s="28"/>
      <c r="J673" s="28"/>
      <c r="K673" s="28"/>
      <c r="L673" s="28"/>
      <c r="M673" s="28"/>
      <c r="N673" s="28"/>
      <c r="O673" s="28"/>
      <c r="P673" s="28"/>
      <c r="Q673" s="28"/>
      <c r="R673" s="28"/>
      <c r="S673" s="28"/>
      <c r="T673" s="28"/>
      <c r="U673" s="28"/>
      <c r="V673" s="28"/>
      <c r="W673" s="28"/>
      <c r="X673" s="28"/>
      <c r="Y673" s="28"/>
      <c r="Z673" s="28"/>
    </row>
    <row r="674">
      <c r="A674" s="1044"/>
      <c r="B674" s="1045"/>
      <c r="C674" s="1041"/>
      <c r="D674" s="1045"/>
      <c r="E674" s="1041"/>
      <c r="F674" s="1041"/>
      <c r="G674" s="28"/>
      <c r="H674" s="28"/>
      <c r="I674" s="28"/>
      <c r="J674" s="28"/>
      <c r="K674" s="28"/>
      <c r="L674" s="28"/>
      <c r="M674" s="28"/>
      <c r="N674" s="28"/>
      <c r="O674" s="28"/>
      <c r="P674" s="28"/>
      <c r="Q674" s="28"/>
      <c r="R674" s="28"/>
      <c r="S674" s="28"/>
      <c r="T674" s="28"/>
      <c r="U674" s="28"/>
      <c r="V674" s="28"/>
      <c r="W674" s="28"/>
      <c r="X674" s="28"/>
      <c r="Y674" s="28"/>
      <c r="Z674" s="28"/>
    </row>
    <row r="675">
      <c r="A675" s="1044"/>
      <c r="B675" s="1045"/>
      <c r="C675" s="1041"/>
      <c r="D675" s="1045"/>
      <c r="E675" s="1041"/>
      <c r="F675" s="1041"/>
      <c r="G675" s="28"/>
      <c r="H675" s="28"/>
      <c r="I675" s="28"/>
      <c r="J675" s="28"/>
      <c r="K675" s="28"/>
      <c r="L675" s="28"/>
      <c r="M675" s="28"/>
      <c r="N675" s="28"/>
      <c r="O675" s="28"/>
      <c r="P675" s="28"/>
      <c r="Q675" s="28"/>
      <c r="R675" s="28"/>
      <c r="S675" s="28"/>
      <c r="T675" s="28"/>
      <c r="U675" s="28"/>
      <c r="V675" s="28"/>
      <c r="W675" s="28"/>
      <c r="X675" s="28"/>
      <c r="Y675" s="28"/>
      <c r="Z675" s="28"/>
    </row>
    <row r="676">
      <c r="A676" s="1044"/>
      <c r="B676" s="1045"/>
      <c r="C676" s="1041"/>
      <c r="D676" s="1045"/>
      <c r="E676" s="1041"/>
      <c r="F676" s="1041"/>
      <c r="G676" s="28"/>
      <c r="H676" s="28"/>
      <c r="I676" s="28"/>
      <c r="J676" s="28"/>
      <c r="K676" s="28"/>
      <c r="L676" s="28"/>
      <c r="M676" s="28"/>
      <c r="N676" s="28"/>
      <c r="O676" s="28"/>
      <c r="P676" s="28"/>
      <c r="Q676" s="28"/>
      <c r="R676" s="28"/>
      <c r="S676" s="28"/>
      <c r="T676" s="28"/>
      <c r="U676" s="28"/>
      <c r="V676" s="28"/>
      <c r="W676" s="28"/>
      <c r="X676" s="28"/>
      <c r="Y676" s="28"/>
      <c r="Z676" s="28"/>
    </row>
    <row r="677">
      <c r="A677" s="1044"/>
      <c r="B677" s="1045"/>
      <c r="C677" s="1041"/>
      <c r="D677" s="1045"/>
      <c r="E677" s="1041"/>
      <c r="F677" s="1041"/>
      <c r="G677" s="28"/>
      <c r="H677" s="28"/>
      <c r="I677" s="28"/>
      <c r="J677" s="28"/>
      <c r="K677" s="28"/>
      <c r="L677" s="28"/>
      <c r="M677" s="28"/>
      <c r="N677" s="28"/>
      <c r="O677" s="28"/>
      <c r="P677" s="28"/>
      <c r="Q677" s="28"/>
      <c r="R677" s="28"/>
      <c r="S677" s="28"/>
      <c r="T677" s="28"/>
      <c r="U677" s="28"/>
      <c r="V677" s="28"/>
      <c r="W677" s="28"/>
      <c r="X677" s="28"/>
      <c r="Y677" s="28"/>
      <c r="Z677" s="28"/>
    </row>
    <row r="678">
      <c r="A678" s="1044"/>
      <c r="B678" s="1045"/>
      <c r="C678" s="1041"/>
      <c r="D678" s="1045"/>
      <c r="E678" s="1041"/>
      <c r="F678" s="1041"/>
      <c r="G678" s="28"/>
      <c r="H678" s="28"/>
      <c r="I678" s="28"/>
      <c r="J678" s="28"/>
      <c r="K678" s="28"/>
      <c r="L678" s="28"/>
      <c r="M678" s="28"/>
      <c r="N678" s="28"/>
      <c r="O678" s="28"/>
      <c r="P678" s="28"/>
      <c r="Q678" s="28"/>
      <c r="R678" s="28"/>
      <c r="S678" s="28"/>
      <c r="T678" s="28"/>
      <c r="U678" s="28"/>
      <c r="V678" s="28"/>
      <c r="W678" s="28"/>
      <c r="X678" s="28"/>
      <c r="Y678" s="28"/>
      <c r="Z678" s="28"/>
    </row>
    <row r="679">
      <c r="A679" s="1044"/>
      <c r="B679" s="1045"/>
      <c r="C679" s="1041"/>
      <c r="D679" s="1045"/>
      <c r="E679" s="1041"/>
      <c r="F679" s="1041"/>
      <c r="G679" s="28"/>
      <c r="H679" s="28"/>
      <c r="I679" s="28"/>
      <c r="J679" s="28"/>
      <c r="K679" s="28"/>
      <c r="L679" s="28"/>
      <c r="M679" s="28"/>
      <c r="N679" s="28"/>
      <c r="O679" s="28"/>
      <c r="P679" s="28"/>
      <c r="Q679" s="28"/>
      <c r="R679" s="28"/>
      <c r="S679" s="28"/>
      <c r="T679" s="28"/>
      <c r="U679" s="28"/>
      <c r="V679" s="28"/>
      <c r="W679" s="28"/>
      <c r="X679" s="28"/>
      <c r="Y679" s="28"/>
      <c r="Z679" s="28"/>
    </row>
    <row r="680">
      <c r="A680" s="1044"/>
      <c r="B680" s="1045"/>
      <c r="C680" s="1041"/>
      <c r="D680" s="1045"/>
      <c r="E680" s="1041"/>
      <c r="F680" s="1041"/>
      <c r="G680" s="28"/>
      <c r="H680" s="28"/>
      <c r="I680" s="28"/>
      <c r="J680" s="28"/>
      <c r="K680" s="28"/>
      <c r="L680" s="28"/>
      <c r="M680" s="28"/>
      <c r="N680" s="28"/>
      <c r="O680" s="28"/>
      <c r="P680" s="28"/>
      <c r="Q680" s="28"/>
      <c r="R680" s="28"/>
      <c r="S680" s="28"/>
      <c r="T680" s="28"/>
      <c r="U680" s="28"/>
      <c r="V680" s="28"/>
      <c r="W680" s="28"/>
      <c r="X680" s="28"/>
      <c r="Y680" s="28"/>
      <c r="Z680" s="28"/>
    </row>
    <row r="681">
      <c r="A681" s="1044"/>
      <c r="B681" s="1045"/>
      <c r="C681" s="1041"/>
      <c r="D681" s="1045"/>
      <c r="E681" s="1041"/>
      <c r="F681" s="1041"/>
      <c r="G681" s="28"/>
      <c r="H681" s="28"/>
      <c r="I681" s="28"/>
      <c r="J681" s="28"/>
      <c r="K681" s="28"/>
      <c r="L681" s="28"/>
      <c r="M681" s="28"/>
      <c r="N681" s="28"/>
      <c r="O681" s="28"/>
      <c r="P681" s="28"/>
      <c r="Q681" s="28"/>
      <c r="R681" s="28"/>
      <c r="S681" s="28"/>
      <c r="T681" s="28"/>
      <c r="U681" s="28"/>
      <c r="V681" s="28"/>
      <c r="W681" s="28"/>
      <c r="X681" s="28"/>
      <c r="Y681" s="28"/>
      <c r="Z681" s="28"/>
    </row>
    <row r="682">
      <c r="A682" s="1044"/>
      <c r="B682" s="1045"/>
      <c r="C682" s="1041"/>
      <c r="D682" s="1045"/>
      <c r="E682" s="1041"/>
      <c r="F682" s="1041"/>
      <c r="G682" s="28"/>
      <c r="H682" s="28"/>
      <c r="I682" s="28"/>
      <c r="J682" s="28"/>
      <c r="K682" s="28"/>
      <c r="L682" s="28"/>
      <c r="M682" s="28"/>
      <c r="N682" s="28"/>
      <c r="O682" s="28"/>
      <c r="P682" s="28"/>
      <c r="Q682" s="28"/>
      <c r="R682" s="28"/>
      <c r="S682" s="28"/>
      <c r="T682" s="28"/>
      <c r="U682" s="28"/>
      <c r="V682" s="28"/>
      <c r="W682" s="28"/>
      <c r="X682" s="28"/>
      <c r="Y682" s="28"/>
      <c r="Z682" s="28"/>
    </row>
    <row r="683">
      <c r="A683" s="1044"/>
      <c r="B683" s="1045"/>
      <c r="C683" s="1041"/>
      <c r="D683" s="1045"/>
      <c r="E683" s="1041"/>
      <c r="F683" s="1041"/>
      <c r="G683" s="28"/>
      <c r="H683" s="28"/>
      <c r="I683" s="28"/>
      <c r="J683" s="28"/>
      <c r="K683" s="28"/>
      <c r="L683" s="28"/>
      <c r="M683" s="28"/>
      <c r="N683" s="28"/>
      <c r="O683" s="28"/>
      <c r="P683" s="28"/>
      <c r="Q683" s="28"/>
      <c r="R683" s="28"/>
      <c r="S683" s="28"/>
      <c r="T683" s="28"/>
      <c r="U683" s="28"/>
      <c r="V683" s="28"/>
      <c r="W683" s="28"/>
      <c r="X683" s="28"/>
      <c r="Y683" s="28"/>
      <c r="Z683" s="28"/>
    </row>
    <row r="684">
      <c r="A684" s="1044"/>
      <c r="B684" s="1045"/>
      <c r="C684" s="1041"/>
      <c r="D684" s="1045"/>
      <c r="E684" s="1041"/>
      <c r="F684" s="1041"/>
      <c r="G684" s="28"/>
      <c r="H684" s="28"/>
      <c r="I684" s="28"/>
      <c r="J684" s="28"/>
      <c r="K684" s="28"/>
      <c r="L684" s="28"/>
      <c r="M684" s="28"/>
      <c r="N684" s="28"/>
      <c r="O684" s="28"/>
      <c r="P684" s="28"/>
      <c r="Q684" s="28"/>
      <c r="R684" s="28"/>
      <c r="S684" s="28"/>
      <c r="T684" s="28"/>
      <c r="U684" s="28"/>
      <c r="V684" s="28"/>
      <c r="W684" s="28"/>
      <c r="X684" s="28"/>
      <c r="Y684" s="28"/>
      <c r="Z684" s="28"/>
    </row>
    <row r="685">
      <c r="A685" s="1044"/>
      <c r="B685" s="1045"/>
      <c r="C685" s="1041"/>
      <c r="D685" s="1045"/>
      <c r="E685" s="1041"/>
      <c r="F685" s="1041"/>
      <c r="G685" s="28"/>
      <c r="H685" s="28"/>
      <c r="I685" s="28"/>
      <c r="J685" s="28"/>
      <c r="K685" s="28"/>
      <c r="L685" s="28"/>
      <c r="M685" s="28"/>
      <c r="N685" s="28"/>
      <c r="O685" s="28"/>
      <c r="P685" s="28"/>
      <c r="Q685" s="28"/>
      <c r="R685" s="28"/>
      <c r="S685" s="28"/>
      <c r="T685" s="28"/>
      <c r="U685" s="28"/>
      <c r="V685" s="28"/>
      <c r="W685" s="28"/>
      <c r="X685" s="28"/>
      <c r="Y685" s="28"/>
      <c r="Z685" s="28"/>
    </row>
    <row r="686">
      <c r="A686" s="1044"/>
      <c r="B686" s="1045"/>
      <c r="C686" s="1041"/>
      <c r="D686" s="1045"/>
      <c r="E686" s="1041"/>
      <c r="F686" s="1041"/>
      <c r="G686" s="28"/>
      <c r="H686" s="28"/>
      <c r="I686" s="28"/>
      <c r="J686" s="28"/>
      <c r="K686" s="28"/>
      <c r="L686" s="28"/>
      <c r="M686" s="28"/>
      <c r="N686" s="28"/>
      <c r="O686" s="28"/>
      <c r="P686" s="28"/>
      <c r="Q686" s="28"/>
      <c r="R686" s="28"/>
      <c r="S686" s="28"/>
      <c r="T686" s="28"/>
      <c r="U686" s="28"/>
      <c r="V686" s="28"/>
      <c r="W686" s="28"/>
      <c r="X686" s="28"/>
      <c r="Y686" s="28"/>
      <c r="Z686" s="28"/>
    </row>
    <row r="687">
      <c r="A687" s="1044"/>
      <c r="B687" s="1045"/>
      <c r="C687" s="1041"/>
      <c r="D687" s="1045"/>
      <c r="E687" s="1041"/>
      <c r="F687" s="1041"/>
      <c r="G687" s="28"/>
      <c r="H687" s="28"/>
      <c r="I687" s="28"/>
      <c r="J687" s="28"/>
      <c r="K687" s="28"/>
      <c r="L687" s="28"/>
      <c r="M687" s="28"/>
      <c r="N687" s="28"/>
      <c r="O687" s="28"/>
      <c r="P687" s="28"/>
      <c r="Q687" s="28"/>
      <c r="R687" s="28"/>
      <c r="S687" s="28"/>
      <c r="T687" s="28"/>
      <c r="U687" s="28"/>
      <c r="V687" s="28"/>
      <c r="W687" s="28"/>
      <c r="X687" s="28"/>
      <c r="Y687" s="28"/>
      <c r="Z687" s="28"/>
    </row>
    <row r="688">
      <c r="A688" s="1044"/>
      <c r="B688" s="1045"/>
      <c r="C688" s="1041"/>
      <c r="D688" s="1045"/>
      <c r="E688" s="1041"/>
      <c r="F688" s="1041"/>
      <c r="G688" s="28"/>
      <c r="H688" s="28"/>
      <c r="I688" s="28"/>
      <c r="J688" s="28"/>
      <c r="K688" s="28"/>
      <c r="L688" s="28"/>
      <c r="M688" s="28"/>
      <c r="N688" s="28"/>
      <c r="O688" s="28"/>
      <c r="P688" s="28"/>
      <c r="Q688" s="28"/>
      <c r="R688" s="28"/>
      <c r="S688" s="28"/>
      <c r="T688" s="28"/>
      <c r="U688" s="28"/>
      <c r="V688" s="28"/>
      <c r="W688" s="28"/>
      <c r="X688" s="28"/>
      <c r="Y688" s="28"/>
      <c r="Z688" s="28"/>
    </row>
    <row r="689">
      <c r="A689" s="1044"/>
      <c r="B689" s="1045"/>
      <c r="C689" s="1041"/>
      <c r="D689" s="1045"/>
      <c r="E689" s="1041"/>
      <c r="F689" s="1041"/>
      <c r="G689" s="28"/>
      <c r="H689" s="28"/>
      <c r="I689" s="28"/>
      <c r="J689" s="28"/>
      <c r="K689" s="28"/>
      <c r="L689" s="28"/>
      <c r="M689" s="28"/>
      <c r="N689" s="28"/>
      <c r="O689" s="28"/>
      <c r="P689" s="28"/>
      <c r="Q689" s="28"/>
      <c r="R689" s="28"/>
      <c r="S689" s="28"/>
      <c r="T689" s="28"/>
      <c r="U689" s="28"/>
      <c r="V689" s="28"/>
      <c r="W689" s="28"/>
      <c r="X689" s="28"/>
      <c r="Y689" s="28"/>
      <c r="Z689" s="28"/>
    </row>
    <row r="690">
      <c r="A690" s="1044"/>
      <c r="B690" s="1045"/>
      <c r="C690" s="1041"/>
      <c r="D690" s="1045"/>
      <c r="E690" s="1041"/>
      <c r="F690" s="1041"/>
      <c r="G690" s="28"/>
      <c r="H690" s="28"/>
      <c r="I690" s="28"/>
      <c r="J690" s="28"/>
      <c r="K690" s="28"/>
      <c r="L690" s="28"/>
      <c r="M690" s="28"/>
      <c r="N690" s="28"/>
      <c r="O690" s="28"/>
      <c r="P690" s="28"/>
      <c r="Q690" s="28"/>
      <c r="R690" s="28"/>
      <c r="S690" s="28"/>
      <c r="T690" s="28"/>
      <c r="U690" s="28"/>
      <c r="V690" s="28"/>
      <c r="W690" s="28"/>
      <c r="X690" s="28"/>
      <c r="Y690" s="28"/>
      <c r="Z690" s="28"/>
    </row>
    <row r="691">
      <c r="A691" s="1044"/>
      <c r="B691" s="1045"/>
      <c r="C691" s="1041"/>
      <c r="D691" s="1045"/>
      <c r="E691" s="1041"/>
      <c r="F691" s="1041"/>
      <c r="G691" s="28"/>
      <c r="H691" s="28"/>
      <c r="I691" s="28"/>
      <c r="J691" s="28"/>
      <c r="K691" s="28"/>
      <c r="L691" s="28"/>
      <c r="M691" s="28"/>
      <c r="N691" s="28"/>
      <c r="O691" s="28"/>
      <c r="P691" s="28"/>
      <c r="Q691" s="28"/>
      <c r="R691" s="28"/>
      <c r="S691" s="28"/>
      <c r="T691" s="28"/>
      <c r="U691" s="28"/>
      <c r="V691" s="28"/>
      <c r="W691" s="28"/>
      <c r="X691" s="28"/>
      <c r="Y691" s="28"/>
      <c r="Z691" s="28"/>
    </row>
    <row r="692">
      <c r="A692" s="1044"/>
      <c r="B692" s="1045"/>
      <c r="C692" s="1041"/>
      <c r="D692" s="1045"/>
      <c r="E692" s="1041"/>
      <c r="F692" s="1041"/>
      <c r="G692" s="28"/>
      <c r="H692" s="28"/>
      <c r="I692" s="28"/>
      <c r="J692" s="28"/>
      <c r="K692" s="28"/>
      <c r="L692" s="28"/>
      <c r="M692" s="28"/>
      <c r="N692" s="28"/>
      <c r="O692" s="28"/>
      <c r="P692" s="28"/>
      <c r="Q692" s="28"/>
      <c r="R692" s="28"/>
      <c r="S692" s="28"/>
      <c r="T692" s="28"/>
      <c r="U692" s="28"/>
      <c r="V692" s="28"/>
      <c r="W692" s="28"/>
      <c r="X692" s="28"/>
      <c r="Y692" s="28"/>
      <c r="Z692" s="28"/>
    </row>
    <row r="693">
      <c r="A693" s="1044"/>
      <c r="B693" s="1045"/>
      <c r="C693" s="1041"/>
      <c r="D693" s="1045"/>
      <c r="E693" s="1041"/>
      <c r="F693" s="1041"/>
      <c r="G693" s="28"/>
      <c r="H693" s="28"/>
      <c r="I693" s="28"/>
      <c r="J693" s="28"/>
      <c r="K693" s="28"/>
      <c r="L693" s="28"/>
      <c r="M693" s="28"/>
      <c r="N693" s="28"/>
      <c r="O693" s="28"/>
      <c r="P693" s="28"/>
      <c r="Q693" s="28"/>
      <c r="R693" s="28"/>
      <c r="S693" s="28"/>
      <c r="T693" s="28"/>
      <c r="U693" s="28"/>
      <c r="V693" s="28"/>
      <c r="W693" s="28"/>
      <c r="X693" s="28"/>
      <c r="Y693" s="28"/>
      <c r="Z693" s="28"/>
    </row>
    <row r="694">
      <c r="A694" s="1044"/>
      <c r="B694" s="1045"/>
      <c r="C694" s="1041"/>
      <c r="D694" s="1045"/>
      <c r="E694" s="1041"/>
      <c r="F694" s="1041"/>
      <c r="G694" s="28"/>
      <c r="H694" s="28"/>
      <c r="I694" s="28"/>
      <c r="J694" s="28"/>
      <c r="K694" s="28"/>
      <c r="L694" s="28"/>
      <c r="M694" s="28"/>
      <c r="N694" s="28"/>
      <c r="O694" s="28"/>
      <c r="P694" s="28"/>
      <c r="Q694" s="28"/>
      <c r="R694" s="28"/>
      <c r="S694" s="28"/>
      <c r="T694" s="28"/>
      <c r="U694" s="28"/>
      <c r="V694" s="28"/>
      <c r="W694" s="28"/>
      <c r="X694" s="28"/>
      <c r="Y694" s="28"/>
      <c r="Z694" s="28"/>
    </row>
    <row r="695">
      <c r="A695" s="1044"/>
      <c r="B695" s="1045"/>
      <c r="C695" s="1041"/>
      <c r="D695" s="1045"/>
      <c r="E695" s="1041"/>
      <c r="F695" s="1041"/>
      <c r="G695" s="28"/>
      <c r="H695" s="28"/>
      <c r="I695" s="28"/>
      <c r="J695" s="28"/>
      <c r="K695" s="28"/>
      <c r="L695" s="28"/>
      <c r="M695" s="28"/>
      <c r="N695" s="28"/>
      <c r="O695" s="28"/>
      <c r="P695" s="28"/>
      <c r="Q695" s="28"/>
      <c r="R695" s="28"/>
      <c r="S695" s="28"/>
      <c r="T695" s="28"/>
      <c r="U695" s="28"/>
      <c r="V695" s="28"/>
      <c r="W695" s="28"/>
      <c r="X695" s="28"/>
      <c r="Y695" s="28"/>
      <c r="Z695" s="28"/>
    </row>
    <row r="696">
      <c r="A696" s="1044"/>
      <c r="B696" s="1045"/>
      <c r="C696" s="1041"/>
      <c r="D696" s="1045"/>
      <c r="E696" s="1041"/>
      <c r="F696" s="1041"/>
      <c r="G696" s="28"/>
      <c r="H696" s="28"/>
      <c r="I696" s="28"/>
      <c r="J696" s="28"/>
      <c r="K696" s="28"/>
      <c r="L696" s="28"/>
      <c r="M696" s="28"/>
      <c r="N696" s="28"/>
      <c r="O696" s="28"/>
      <c r="P696" s="28"/>
      <c r="Q696" s="28"/>
      <c r="R696" s="28"/>
      <c r="S696" s="28"/>
      <c r="T696" s="28"/>
      <c r="U696" s="28"/>
      <c r="V696" s="28"/>
      <c r="W696" s="28"/>
      <c r="X696" s="28"/>
      <c r="Y696" s="28"/>
      <c r="Z696" s="28"/>
    </row>
    <row r="697">
      <c r="A697" s="1044"/>
      <c r="B697" s="1045"/>
      <c r="C697" s="1041"/>
      <c r="D697" s="1045"/>
      <c r="E697" s="1041"/>
      <c r="F697" s="1041"/>
      <c r="G697" s="28"/>
      <c r="H697" s="28"/>
      <c r="I697" s="28"/>
      <c r="J697" s="28"/>
      <c r="K697" s="28"/>
      <c r="L697" s="28"/>
      <c r="M697" s="28"/>
      <c r="N697" s="28"/>
      <c r="O697" s="28"/>
      <c r="P697" s="28"/>
      <c r="Q697" s="28"/>
      <c r="R697" s="28"/>
      <c r="S697" s="28"/>
      <c r="T697" s="28"/>
      <c r="U697" s="28"/>
      <c r="V697" s="28"/>
      <c r="W697" s="28"/>
      <c r="X697" s="28"/>
      <c r="Y697" s="28"/>
      <c r="Z697" s="28"/>
    </row>
    <row r="698">
      <c r="A698" s="1044"/>
      <c r="B698" s="1045"/>
      <c r="C698" s="1041"/>
      <c r="D698" s="1045"/>
      <c r="E698" s="1041"/>
      <c r="F698" s="1041"/>
      <c r="G698" s="28"/>
      <c r="H698" s="28"/>
      <c r="I698" s="28"/>
      <c r="J698" s="28"/>
      <c r="K698" s="28"/>
      <c r="L698" s="28"/>
      <c r="M698" s="28"/>
      <c r="N698" s="28"/>
      <c r="O698" s="28"/>
      <c r="P698" s="28"/>
      <c r="Q698" s="28"/>
      <c r="R698" s="28"/>
      <c r="S698" s="28"/>
      <c r="T698" s="28"/>
      <c r="U698" s="28"/>
      <c r="V698" s="28"/>
      <c r="W698" s="28"/>
      <c r="X698" s="28"/>
      <c r="Y698" s="28"/>
      <c r="Z698" s="28"/>
    </row>
    <row r="699">
      <c r="A699" s="1044"/>
      <c r="B699" s="1045"/>
      <c r="C699" s="1041"/>
      <c r="D699" s="1045"/>
      <c r="E699" s="1041"/>
      <c r="F699" s="1041"/>
      <c r="G699" s="28"/>
      <c r="H699" s="28"/>
      <c r="I699" s="28"/>
      <c r="J699" s="28"/>
      <c r="K699" s="28"/>
      <c r="L699" s="28"/>
      <c r="M699" s="28"/>
      <c r="N699" s="28"/>
      <c r="O699" s="28"/>
      <c r="P699" s="28"/>
      <c r="Q699" s="28"/>
      <c r="R699" s="28"/>
      <c r="S699" s="28"/>
      <c r="T699" s="28"/>
      <c r="U699" s="28"/>
      <c r="V699" s="28"/>
      <c r="W699" s="28"/>
      <c r="X699" s="28"/>
      <c r="Y699" s="28"/>
      <c r="Z699" s="28"/>
    </row>
    <row r="700">
      <c r="A700" s="1044"/>
      <c r="B700" s="1045"/>
      <c r="C700" s="1041"/>
      <c r="D700" s="1045"/>
      <c r="E700" s="1041"/>
      <c r="F700" s="1041"/>
      <c r="G700" s="28"/>
      <c r="H700" s="28"/>
      <c r="I700" s="28"/>
      <c r="J700" s="28"/>
      <c r="K700" s="28"/>
      <c r="L700" s="28"/>
      <c r="M700" s="28"/>
      <c r="N700" s="28"/>
      <c r="O700" s="28"/>
      <c r="P700" s="28"/>
      <c r="Q700" s="28"/>
      <c r="R700" s="28"/>
      <c r="S700" s="28"/>
      <c r="T700" s="28"/>
      <c r="U700" s="28"/>
      <c r="V700" s="28"/>
      <c r="W700" s="28"/>
      <c r="X700" s="28"/>
      <c r="Y700" s="28"/>
      <c r="Z700" s="28"/>
    </row>
    <row r="701">
      <c r="A701" s="1044"/>
      <c r="B701" s="1045"/>
      <c r="C701" s="1041"/>
      <c r="D701" s="1045"/>
      <c r="E701" s="1041"/>
      <c r="F701" s="1041"/>
      <c r="G701" s="28"/>
      <c r="H701" s="28"/>
      <c r="I701" s="28"/>
      <c r="J701" s="28"/>
      <c r="K701" s="28"/>
      <c r="L701" s="28"/>
      <c r="M701" s="28"/>
      <c r="N701" s="28"/>
      <c r="O701" s="28"/>
      <c r="P701" s="28"/>
      <c r="Q701" s="28"/>
      <c r="R701" s="28"/>
      <c r="S701" s="28"/>
      <c r="T701" s="28"/>
      <c r="U701" s="28"/>
      <c r="V701" s="28"/>
      <c r="W701" s="28"/>
      <c r="X701" s="28"/>
      <c r="Y701" s="28"/>
      <c r="Z701" s="28"/>
    </row>
    <row r="702">
      <c r="A702" s="1044"/>
      <c r="B702" s="1045"/>
      <c r="C702" s="1041"/>
      <c r="D702" s="1045"/>
      <c r="E702" s="1041"/>
      <c r="F702" s="1041"/>
      <c r="G702" s="28"/>
      <c r="H702" s="28"/>
      <c r="I702" s="28"/>
      <c r="J702" s="28"/>
      <c r="K702" s="28"/>
      <c r="L702" s="28"/>
      <c r="M702" s="28"/>
      <c r="N702" s="28"/>
      <c r="O702" s="28"/>
      <c r="P702" s="28"/>
      <c r="Q702" s="28"/>
      <c r="R702" s="28"/>
      <c r="S702" s="28"/>
      <c r="T702" s="28"/>
      <c r="U702" s="28"/>
      <c r="V702" s="28"/>
      <c r="W702" s="28"/>
      <c r="X702" s="28"/>
      <c r="Y702" s="28"/>
      <c r="Z702" s="28"/>
    </row>
    <row r="703">
      <c r="A703" s="1044"/>
      <c r="B703" s="1045"/>
      <c r="C703" s="1041"/>
      <c r="D703" s="1045"/>
      <c r="E703" s="1041"/>
      <c r="F703" s="1041"/>
      <c r="G703" s="28"/>
      <c r="H703" s="28"/>
      <c r="I703" s="28"/>
      <c r="J703" s="28"/>
      <c r="K703" s="28"/>
      <c r="L703" s="28"/>
      <c r="M703" s="28"/>
      <c r="N703" s="28"/>
      <c r="O703" s="28"/>
      <c r="P703" s="28"/>
      <c r="Q703" s="28"/>
      <c r="R703" s="28"/>
      <c r="S703" s="28"/>
      <c r="T703" s="28"/>
      <c r="U703" s="28"/>
      <c r="V703" s="28"/>
      <c r="W703" s="28"/>
      <c r="X703" s="28"/>
      <c r="Y703" s="28"/>
      <c r="Z703" s="28"/>
    </row>
    <row r="704">
      <c r="A704" s="1044"/>
      <c r="B704" s="1045"/>
      <c r="C704" s="1041"/>
      <c r="D704" s="1045"/>
      <c r="E704" s="1041"/>
      <c r="F704" s="1041"/>
      <c r="G704" s="28"/>
      <c r="H704" s="28"/>
      <c r="I704" s="28"/>
      <c r="J704" s="28"/>
      <c r="K704" s="28"/>
      <c r="L704" s="28"/>
      <c r="M704" s="28"/>
      <c r="N704" s="28"/>
      <c r="O704" s="28"/>
      <c r="P704" s="28"/>
      <c r="Q704" s="28"/>
      <c r="R704" s="28"/>
      <c r="S704" s="28"/>
      <c r="T704" s="28"/>
      <c r="U704" s="28"/>
      <c r="V704" s="28"/>
      <c r="W704" s="28"/>
      <c r="X704" s="28"/>
      <c r="Y704" s="28"/>
      <c r="Z704" s="28"/>
    </row>
    <row r="705">
      <c r="A705" s="1044"/>
      <c r="B705" s="1045"/>
      <c r="C705" s="1041"/>
      <c r="D705" s="1045"/>
      <c r="E705" s="1041"/>
      <c r="F705" s="1041"/>
      <c r="G705" s="28"/>
      <c r="H705" s="28"/>
      <c r="I705" s="28"/>
      <c r="J705" s="28"/>
      <c r="K705" s="28"/>
      <c r="L705" s="28"/>
      <c r="M705" s="28"/>
      <c r="N705" s="28"/>
      <c r="O705" s="28"/>
      <c r="P705" s="28"/>
      <c r="Q705" s="28"/>
      <c r="R705" s="28"/>
      <c r="S705" s="28"/>
      <c r="T705" s="28"/>
      <c r="U705" s="28"/>
      <c r="V705" s="28"/>
      <c r="W705" s="28"/>
      <c r="X705" s="28"/>
      <c r="Y705" s="28"/>
      <c r="Z705" s="28"/>
    </row>
    <row r="706">
      <c r="A706" s="1044"/>
      <c r="B706" s="1045"/>
      <c r="C706" s="1041"/>
      <c r="D706" s="1045"/>
      <c r="E706" s="1041"/>
      <c r="F706" s="1041"/>
      <c r="G706" s="28"/>
      <c r="H706" s="28"/>
      <c r="I706" s="28"/>
      <c r="J706" s="28"/>
      <c r="K706" s="28"/>
      <c r="L706" s="28"/>
      <c r="M706" s="28"/>
      <c r="N706" s="28"/>
      <c r="O706" s="28"/>
      <c r="P706" s="28"/>
      <c r="Q706" s="28"/>
      <c r="R706" s="28"/>
      <c r="S706" s="28"/>
      <c r="T706" s="28"/>
      <c r="U706" s="28"/>
      <c r="V706" s="28"/>
      <c r="W706" s="28"/>
      <c r="X706" s="28"/>
      <c r="Y706" s="28"/>
      <c r="Z706" s="28"/>
    </row>
    <row r="707">
      <c r="A707" s="1044"/>
      <c r="B707" s="1045"/>
      <c r="C707" s="1041"/>
      <c r="D707" s="1045"/>
      <c r="E707" s="1041"/>
      <c r="F707" s="1041"/>
      <c r="G707" s="28"/>
      <c r="H707" s="28"/>
      <c r="I707" s="28"/>
      <c r="J707" s="28"/>
      <c r="K707" s="28"/>
      <c r="L707" s="28"/>
      <c r="M707" s="28"/>
      <c r="N707" s="28"/>
      <c r="O707" s="28"/>
      <c r="P707" s="28"/>
      <c r="Q707" s="28"/>
      <c r="R707" s="28"/>
      <c r="S707" s="28"/>
      <c r="T707" s="28"/>
      <c r="U707" s="28"/>
      <c r="V707" s="28"/>
      <c r="W707" s="28"/>
      <c r="X707" s="28"/>
      <c r="Y707" s="28"/>
      <c r="Z707" s="28"/>
    </row>
    <row r="708">
      <c r="A708" s="1044"/>
      <c r="B708" s="1045"/>
      <c r="C708" s="1041"/>
      <c r="D708" s="1045"/>
      <c r="E708" s="1041"/>
      <c r="F708" s="1041"/>
      <c r="G708" s="28"/>
      <c r="H708" s="28"/>
      <c r="I708" s="28"/>
      <c r="J708" s="28"/>
      <c r="K708" s="28"/>
      <c r="L708" s="28"/>
      <c r="M708" s="28"/>
      <c r="N708" s="28"/>
      <c r="O708" s="28"/>
      <c r="P708" s="28"/>
      <c r="Q708" s="28"/>
      <c r="R708" s="28"/>
      <c r="S708" s="28"/>
      <c r="T708" s="28"/>
      <c r="U708" s="28"/>
      <c r="V708" s="28"/>
      <c r="W708" s="28"/>
      <c r="X708" s="28"/>
      <c r="Y708" s="28"/>
      <c r="Z708" s="28"/>
    </row>
    <row r="709">
      <c r="A709" s="1044"/>
      <c r="B709" s="1045"/>
      <c r="C709" s="1041"/>
      <c r="D709" s="1045"/>
      <c r="E709" s="1041"/>
      <c r="F709" s="1041"/>
      <c r="G709" s="28"/>
      <c r="H709" s="28"/>
      <c r="I709" s="28"/>
      <c r="J709" s="28"/>
      <c r="K709" s="28"/>
      <c r="L709" s="28"/>
      <c r="M709" s="28"/>
      <c r="N709" s="28"/>
      <c r="O709" s="28"/>
      <c r="P709" s="28"/>
      <c r="Q709" s="28"/>
      <c r="R709" s="28"/>
      <c r="S709" s="28"/>
      <c r="T709" s="28"/>
      <c r="U709" s="28"/>
      <c r="V709" s="28"/>
      <c r="W709" s="28"/>
      <c r="X709" s="28"/>
      <c r="Y709" s="28"/>
      <c r="Z709" s="28"/>
    </row>
    <row r="710">
      <c r="A710" s="1044"/>
      <c r="B710" s="1045"/>
      <c r="C710" s="1041"/>
      <c r="D710" s="1045"/>
      <c r="E710" s="1041"/>
      <c r="F710" s="1041"/>
      <c r="G710" s="28"/>
      <c r="H710" s="28"/>
      <c r="I710" s="28"/>
      <c r="J710" s="28"/>
      <c r="K710" s="28"/>
      <c r="L710" s="28"/>
      <c r="M710" s="28"/>
      <c r="N710" s="28"/>
      <c r="O710" s="28"/>
      <c r="P710" s="28"/>
      <c r="Q710" s="28"/>
      <c r="R710" s="28"/>
      <c r="S710" s="28"/>
      <c r="T710" s="28"/>
      <c r="U710" s="28"/>
      <c r="V710" s="28"/>
      <c r="W710" s="28"/>
      <c r="X710" s="28"/>
      <c r="Y710" s="28"/>
      <c r="Z710" s="28"/>
    </row>
    <row r="711">
      <c r="A711" s="1044"/>
      <c r="B711" s="1045"/>
      <c r="C711" s="1041"/>
      <c r="D711" s="1045"/>
      <c r="E711" s="1041"/>
      <c r="F711" s="1041"/>
      <c r="G711" s="28"/>
      <c r="H711" s="28"/>
      <c r="I711" s="28"/>
      <c r="J711" s="28"/>
      <c r="K711" s="28"/>
      <c r="L711" s="28"/>
      <c r="M711" s="28"/>
      <c r="N711" s="28"/>
      <c r="O711" s="28"/>
      <c r="P711" s="28"/>
      <c r="Q711" s="28"/>
      <c r="R711" s="28"/>
      <c r="S711" s="28"/>
      <c r="T711" s="28"/>
      <c r="U711" s="28"/>
      <c r="V711" s="28"/>
      <c r="W711" s="28"/>
      <c r="X711" s="28"/>
      <c r="Y711" s="28"/>
      <c r="Z711" s="28"/>
    </row>
    <row r="712">
      <c r="A712" s="1044"/>
      <c r="B712" s="1045"/>
      <c r="C712" s="1041"/>
      <c r="D712" s="1045"/>
      <c r="E712" s="1041"/>
      <c r="F712" s="1041"/>
      <c r="G712" s="28"/>
      <c r="H712" s="28"/>
      <c r="I712" s="28"/>
      <c r="J712" s="28"/>
      <c r="K712" s="28"/>
      <c r="L712" s="28"/>
      <c r="M712" s="28"/>
      <c r="N712" s="28"/>
      <c r="O712" s="28"/>
      <c r="P712" s="28"/>
      <c r="Q712" s="28"/>
      <c r="R712" s="28"/>
      <c r="S712" s="28"/>
      <c r="T712" s="28"/>
      <c r="U712" s="28"/>
      <c r="V712" s="28"/>
      <c r="W712" s="28"/>
      <c r="X712" s="28"/>
      <c r="Y712" s="28"/>
      <c r="Z712" s="28"/>
    </row>
    <row r="713">
      <c r="A713" s="1044"/>
      <c r="B713" s="1045"/>
      <c r="C713" s="1041"/>
      <c r="D713" s="1045"/>
      <c r="E713" s="1041"/>
      <c r="F713" s="1041"/>
      <c r="G713" s="28"/>
      <c r="H713" s="28"/>
      <c r="I713" s="28"/>
      <c r="J713" s="28"/>
      <c r="K713" s="28"/>
      <c r="L713" s="28"/>
      <c r="M713" s="28"/>
      <c r="N713" s="28"/>
      <c r="O713" s="28"/>
      <c r="P713" s="28"/>
      <c r="Q713" s="28"/>
      <c r="R713" s="28"/>
      <c r="S713" s="28"/>
      <c r="T713" s="28"/>
      <c r="U713" s="28"/>
      <c r="V713" s="28"/>
      <c r="W713" s="28"/>
      <c r="X713" s="28"/>
      <c r="Y713" s="28"/>
      <c r="Z713" s="28"/>
    </row>
    <row r="714">
      <c r="A714" s="1044"/>
      <c r="B714" s="1045"/>
      <c r="C714" s="1041"/>
      <c r="D714" s="1045"/>
      <c r="E714" s="1041"/>
      <c r="F714" s="1041"/>
      <c r="G714" s="28"/>
      <c r="H714" s="28"/>
      <c r="I714" s="28"/>
      <c r="J714" s="28"/>
      <c r="K714" s="28"/>
      <c r="L714" s="28"/>
      <c r="M714" s="28"/>
      <c r="N714" s="28"/>
      <c r="O714" s="28"/>
      <c r="P714" s="28"/>
      <c r="Q714" s="28"/>
      <c r="R714" s="28"/>
      <c r="S714" s="28"/>
      <c r="T714" s="28"/>
      <c r="U714" s="28"/>
      <c r="V714" s="28"/>
      <c r="W714" s="28"/>
      <c r="X714" s="28"/>
      <c r="Y714" s="28"/>
      <c r="Z714" s="28"/>
    </row>
    <row r="715">
      <c r="A715" s="1044"/>
      <c r="B715" s="1045"/>
      <c r="C715" s="1041"/>
      <c r="D715" s="1045"/>
      <c r="E715" s="1041"/>
      <c r="F715" s="1041"/>
      <c r="G715" s="28"/>
      <c r="H715" s="28"/>
      <c r="I715" s="28"/>
      <c r="J715" s="28"/>
      <c r="K715" s="28"/>
      <c r="L715" s="28"/>
      <c r="M715" s="28"/>
      <c r="N715" s="28"/>
      <c r="O715" s="28"/>
      <c r="P715" s="28"/>
      <c r="Q715" s="28"/>
      <c r="R715" s="28"/>
      <c r="S715" s="28"/>
      <c r="T715" s="28"/>
      <c r="U715" s="28"/>
      <c r="V715" s="28"/>
      <c r="W715" s="28"/>
      <c r="X715" s="28"/>
      <c r="Y715" s="28"/>
      <c r="Z715" s="28"/>
    </row>
    <row r="716">
      <c r="A716" s="1044"/>
      <c r="B716" s="1045"/>
      <c r="C716" s="1041"/>
      <c r="D716" s="1045"/>
      <c r="E716" s="1041"/>
      <c r="F716" s="1041"/>
      <c r="G716" s="28"/>
      <c r="H716" s="28"/>
      <c r="I716" s="28"/>
      <c r="J716" s="28"/>
      <c r="K716" s="28"/>
      <c r="L716" s="28"/>
      <c r="M716" s="28"/>
      <c r="N716" s="28"/>
      <c r="O716" s="28"/>
      <c r="P716" s="28"/>
      <c r="Q716" s="28"/>
      <c r="R716" s="28"/>
      <c r="S716" s="28"/>
      <c r="T716" s="28"/>
      <c r="U716" s="28"/>
      <c r="V716" s="28"/>
      <c r="W716" s="28"/>
      <c r="X716" s="28"/>
      <c r="Y716" s="28"/>
      <c r="Z716" s="28"/>
    </row>
    <row r="717">
      <c r="A717" s="1044"/>
      <c r="B717" s="1045"/>
      <c r="C717" s="1041"/>
      <c r="D717" s="1045"/>
      <c r="E717" s="1041"/>
      <c r="F717" s="1041"/>
      <c r="G717" s="28"/>
      <c r="H717" s="28"/>
      <c r="I717" s="28"/>
      <c r="J717" s="28"/>
      <c r="K717" s="28"/>
      <c r="L717" s="28"/>
      <c r="M717" s="28"/>
      <c r="N717" s="28"/>
      <c r="O717" s="28"/>
      <c r="P717" s="28"/>
      <c r="Q717" s="28"/>
      <c r="R717" s="28"/>
      <c r="S717" s="28"/>
      <c r="T717" s="28"/>
      <c r="U717" s="28"/>
      <c r="V717" s="28"/>
      <c r="W717" s="28"/>
      <c r="X717" s="28"/>
      <c r="Y717" s="28"/>
      <c r="Z717" s="28"/>
    </row>
    <row r="718">
      <c r="A718" s="1044"/>
      <c r="B718" s="1045"/>
      <c r="C718" s="1041"/>
      <c r="D718" s="1045"/>
      <c r="E718" s="1041"/>
      <c r="F718" s="1041"/>
      <c r="G718" s="28"/>
      <c r="H718" s="28"/>
      <c r="I718" s="28"/>
      <c r="J718" s="28"/>
      <c r="K718" s="28"/>
      <c r="L718" s="28"/>
      <c r="M718" s="28"/>
      <c r="N718" s="28"/>
      <c r="O718" s="28"/>
      <c r="P718" s="28"/>
      <c r="Q718" s="28"/>
      <c r="R718" s="28"/>
      <c r="S718" s="28"/>
      <c r="T718" s="28"/>
      <c r="U718" s="28"/>
      <c r="V718" s="28"/>
      <c r="W718" s="28"/>
      <c r="X718" s="28"/>
      <c r="Y718" s="28"/>
      <c r="Z718" s="28"/>
    </row>
    <row r="719">
      <c r="A719" s="1044"/>
      <c r="B719" s="1045"/>
      <c r="C719" s="1041"/>
      <c r="D719" s="1045"/>
      <c r="E719" s="1041"/>
      <c r="F719" s="1041"/>
      <c r="G719" s="28"/>
      <c r="H719" s="28"/>
      <c r="I719" s="28"/>
      <c r="J719" s="28"/>
      <c r="K719" s="28"/>
      <c r="L719" s="28"/>
      <c r="M719" s="28"/>
      <c r="N719" s="28"/>
      <c r="O719" s="28"/>
      <c r="P719" s="28"/>
      <c r="Q719" s="28"/>
      <c r="R719" s="28"/>
      <c r="S719" s="28"/>
      <c r="T719" s="28"/>
      <c r="U719" s="28"/>
      <c r="V719" s="28"/>
      <c r="W719" s="28"/>
      <c r="X719" s="28"/>
      <c r="Y719" s="28"/>
      <c r="Z719" s="28"/>
    </row>
    <row r="720">
      <c r="A720" s="1044"/>
      <c r="B720" s="1045"/>
      <c r="C720" s="1041"/>
      <c r="D720" s="1045"/>
      <c r="E720" s="1041"/>
      <c r="F720" s="1041"/>
      <c r="G720" s="28"/>
      <c r="H720" s="28"/>
      <c r="I720" s="28"/>
      <c r="J720" s="28"/>
      <c r="K720" s="28"/>
      <c r="L720" s="28"/>
      <c r="M720" s="28"/>
      <c r="N720" s="28"/>
      <c r="O720" s="28"/>
      <c r="P720" s="28"/>
      <c r="Q720" s="28"/>
      <c r="R720" s="28"/>
      <c r="S720" s="28"/>
      <c r="T720" s="28"/>
      <c r="U720" s="28"/>
      <c r="V720" s="28"/>
      <c r="W720" s="28"/>
      <c r="X720" s="28"/>
      <c r="Y720" s="28"/>
      <c r="Z720" s="28"/>
    </row>
    <row r="721">
      <c r="A721" s="1044"/>
      <c r="B721" s="1045"/>
      <c r="C721" s="1041"/>
      <c r="D721" s="1045"/>
      <c r="E721" s="1041"/>
      <c r="F721" s="1041"/>
      <c r="G721" s="28"/>
      <c r="H721" s="28"/>
      <c r="I721" s="28"/>
      <c r="J721" s="28"/>
      <c r="K721" s="28"/>
      <c r="L721" s="28"/>
      <c r="M721" s="28"/>
      <c r="N721" s="28"/>
      <c r="O721" s="28"/>
      <c r="P721" s="28"/>
      <c r="Q721" s="28"/>
      <c r="R721" s="28"/>
      <c r="S721" s="28"/>
      <c r="T721" s="28"/>
      <c r="U721" s="28"/>
      <c r="V721" s="28"/>
      <c r="W721" s="28"/>
      <c r="X721" s="28"/>
      <c r="Y721" s="28"/>
      <c r="Z721" s="28"/>
    </row>
    <row r="722">
      <c r="A722" s="1044"/>
      <c r="B722" s="1045"/>
      <c r="C722" s="1041"/>
      <c r="D722" s="1045"/>
      <c r="E722" s="1041"/>
      <c r="F722" s="1041"/>
      <c r="G722" s="28"/>
      <c r="H722" s="28"/>
      <c r="I722" s="28"/>
      <c r="J722" s="28"/>
      <c r="K722" s="28"/>
      <c r="L722" s="28"/>
      <c r="M722" s="28"/>
      <c r="N722" s="28"/>
      <c r="O722" s="28"/>
      <c r="P722" s="28"/>
      <c r="Q722" s="28"/>
      <c r="R722" s="28"/>
      <c r="S722" s="28"/>
      <c r="T722" s="28"/>
      <c r="U722" s="28"/>
      <c r="V722" s="28"/>
      <c r="W722" s="28"/>
      <c r="X722" s="28"/>
      <c r="Y722" s="28"/>
      <c r="Z722" s="28"/>
    </row>
    <row r="723">
      <c r="A723" s="1044"/>
      <c r="B723" s="1045"/>
      <c r="C723" s="1041"/>
      <c r="D723" s="1045"/>
      <c r="E723" s="1041"/>
      <c r="F723" s="1041"/>
      <c r="G723" s="28"/>
      <c r="H723" s="28"/>
      <c r="I723" s="28"/>
      <c r="J723" s="28"/>
      <c r="K723" s="28"/>
      <c r="L723" s="28"/>
      <c r="M723" s="28"/>
      <c r="N723" s="28"/>
      <c r="O723" s="28"/>
      <c r="P723" s="28"/>
      <c r="Q723" s="28"/>
      <c r="R723" s="28"/>
      <c r="S723" s="28"/>
      <c r="T723" s="28"/>
      <c r="U723" s="28"/>
      <c r="V723" s="28"/>
      <c r="W723" s="28"/>
      <c r="X723" s="28"/>
      <c r="Y723" s="28"/>
      <c r="Z723" s="28"/>
    </row>
    <row r="724">
      <c r="A724" s="1044"/>
      <c r="B724" s="1045"/>
      <c r="C724" s="1041"/>
      <c r="D724" s="1045"/>
      <c r="E724" s="1041"/>
      <c r="F724" s="1041"/>
      <c r="G724" s="28"/>
      <c r="H724" s="28"/>
      <c r="I724" s="28"/>
      <c r="J724" s="28"/>
      <c r="K724" s="28"/>
      <c r="L724" s="28"/>
      <c r="M724" s="28"/>
      <c r="N724" s="28"/>
      <c r="O724" s="28"/>
      <c r="P724" s="28"/>
      <c r="Q724" s="28"/>
      <c r="R724" s="28"/>
      <c r="S724" s="28"/>
      <c r="T724" s="28"/>
      <c r="U724" s="28"/>
      <c r="V724" s="28"/>
      <c r="W724" s="28"/>
      <c r="X724" s="28"/>
      <c r="Y724" s="28"/>
      <c r="Z724" s="28"/>
    </row>
    <row r="725">
      <c r="A725" s="1044"/>
      <c r="B725" s="1045"/>
      <c r="C725" s="1041"/>
      <c r="D725" s="1045"/>
      <c r="E725" s="1041"/>
      <c r="F725" s="1041"/>
      <c r="G725" s="28"/>
      <c r="H725" s="28"/>
      <c r="I725" s="28"/>
      <c r="J725" s="28"/>
      <c r="K725" s="28"/>
      <c r="L725" s="28"/>
      <c r="M725" s="28"/>
      <c r="N725" s="28"/>
      <c r="O725" s="28"/>
      <c r="P725" s="28"/>
      <c r="Q725" s="28"/>
      <c r="R725" s="28"/>
      <c r="S725" s="28"/>
      <c r="T725" s="28"/>
      <c r="U725" s="28"/>
      <c r="V725" s="28"/>
      <c r="W725" s="28"/>
      <c r="X725" s="28"/>
      <c r="Y725" s="28"/>
      <c r="Z725" s="28"/>
    </row>
    <row r="726">
      <c r="A726" s="1044"/>
      <c r="B726" s="1045"/>
      <c r="C726" s="1041"/>
      <c r="D726" s="1045"/>
      <c r="E726" s="1041"/>
      <c r="F726" s="1041"/>
      <c r="G726" s="28"/>
      <c r="H726" s="28"/>
      <c r="I726" s="28"/>
      <c r="J726" s="28"/>
      <c r="K726" s="28"/>
      <c r="L726" s="28"/>
      <c r="M726" s="28"/>
      <c r="N726" s="28"/>
      <c r="O726" s="28"/>
      <c r="P726" s="28"/>
      <c r="Q726" s="28"/>
      <c r="R726" s="28"/>
      <c r="S726" s="28"/>
      <c r="T726" s="28"/>
      <c r="U726" s="28"/>
      <c r="V726" s="28"/>
      <c r="W726" s="28"/>
      <c r="X726" s="28"/>
      <c r="Y726" s="28"/>
      <c r="Z726" s="28"/>
    </row>
    <row r="727">
      <c r="A727" s="1044"/>
      <c r="B727" s="1045"/>
      <c r="C727" s="1041"/>
      <c r="D727" s="1045"/>
      <c r="E727" s="1041"/>
      <c r="F727" s="1041"/>
      <c r="G727" s="28"/>
      <c r="H727" s="28"/>
      <c r="I727" s="28"/>
      <c r="J727" s="28"/>
      <c r="K727" s="28"/>
      <c r="L727" s="28"/>
      <c r="M727" s="28"/>
      <c r="N727" s="28"/>
      <c r="O727" s="28"/>
      <c r="P727" s="28"/>
      <c r="Q727" s="28"/>
      <c r="R727" s="28"/>
      <c r="S727" s="28"/>
      <c r="T727" s="28"/>
      <c r="U727" s="28"/>
      <c r="V727" s="28"/>
      <c r="W727" s="28"/>
      <c r="X727" s="28"/>
      <c r="Y727" s="28"/>
      <c r="Z727" s="28"/>
    </row>
    <row r="728">
      <c r="A728" s="1044"/>
      <c r="B728" s="1045"/>
      <c r="C728" s="1041"/>
      <c r="D728" s="1045"/>
      <c r="E728" s="1041"/>
      <c r="F728" s="1041"/>
      <c r="G728" s="28"/>
      <c r="H728" s="28"/>
      <c r="I728" s="28"/>
      <c r="J728" s="28"/>
      <c r="K728" s="28"/>
      <c r="L728" s="28"/>
      <c r="M728" s="28"/>
      <c r="N728" s="28"/>
      <c r="O728" s="28"/>
      <c r="P728" s="28"/>
      <c r="Q728" s="28"/>
      <c r="R728" s="28"/>
      <c r="S728" s="28"/>
      <c r="T728" s="28"/>
      <c r="U728" s="28"/>
      <c r="V728" s="28"/>
      <c r="W728" s="28"/>
      <c r="X728" s="28"/>
      <c r="Y728" s="28"/>
      <c r="Z728" s="28"/>
    </row>
    <row r="729">
      <c r="A729" s="1044"/>
      <c r="B729" s="1045"/>
      <c r="C729" s="1041"/>
      <c r="D729" s="1045"/>
      <c r="E729" s="1041"/>
      <c r="F729" s="1041"/>
      <c r="G729" s="28"/>
      <c r="H729" s="28"/>
      <c r="I729" s="28"/>
      <c r="J729" s="28"/>
      <c r="K729" s="28"/>
      <c r="L729" s="28"/>
      <c r="M729" s="28"/>
      <c r="N729" s="28"/>
      <c r="O729" s="28"/>
      <c r="P729" s="28"/>
      <c r="Q729" s="28"/>
      <c r="R729" s="28"/>
      <c r="S729" s="28"/>
      <c r="T729" s="28"/>
      <c r="U729" s="28"/>
      <c r="V729" s="28"/>
      <c r="W729" s="28"/>
      <c r="X729" s="28"/>
      <c r="Y729" s="28"/>
      <c r="Z729" s="28"/>
    </row>
    <row r="730">
      <c r="A730" s="1044"/>
      <c r="B730" s="1045"/>
      <c r="C730" s="1041"/>
      <c r="D730" s="1045"/>
      <c r="E730" s="1041"/>
      <c r="F730" s="1041"/>
      <c r="G730" s="28"/>
      <c r="H730" s="28"/>
      <c r="I730" s="28"/>
      <c r="J730" s="28"/>
      <c r="K730" s="28"/>
      <c r="L730" s="28"/>
      <c r="M730" s="28"/>
      <c r="N730" s="28"/>
      <c r="O730" s="28"/>
      <c r="P730" s="28"/>
      <c r="Q730" s="28"/>
      <c r="R730" s="28"/>
      <c r="S730" s="28"/>
      <c r="T730" s="28"/>
      <c r="U730" s="28"/>
      <c r="V730" s="28"/>
      <c r="W730" s="28"/>
      <c r="X730" s="28"/>
      <c r="Y730" s="28"/>
      <c r="Z730" s="28"/>
    </row>
    <row r="731">
      <c r="A731" s="1044"/>
      <c r="B731" s="1045"/>
      <c r="C731" s="1041"/>
      <c r="D731" s="1045"/>
      <c r="E731" s="1041"/>
      <c r="F731" s="1041"/>
      <c r="G731" s="28"/>
      <c r="H731" s="28"/>
      <c r="I731" s="28"/>
      <c r="J731" s="28"/>
      <c r="K731" s="28"/>
      <c r="L731" s="28"/>
      <c r="M731" s="28"/>
      <c r="N731" s="28"/>
      <c r="O731" s="28"/>
      <c r="P731" s="28"/>
      <c r="Q731" s="28"/>
      <c r="R731" s="28"/>
      <c r="S731" s="28"/>
      <c r="T731" s="28"/>
      <c r="U731" s="28"/>
      <c r="V731" s="28"/>
      <c r="W731" s="28"/>
      <c r="X731" s="28"/>
      <c r="Y731" s="28"/>
      <c r="Z731" s="28"/>
    </row>
    <row r="732">
      <c r="A732" s="1044"/>
      <c r="B732" s="1045"/>
      <c r="C732" s="1041"/>
      <c r="D732" s="1045"/>
      <c r="E732" s="1041"/>
      <c r="F732" s="1041"/>
      <c r="G732" s="28"/>
      <c r="H732" s="28"/>
      <c r="I732" s="28"/>
      <c r="J732" s="28"/>
      <c r="K732" s="28"/>
      <c r="L732" s="28"/>
      <c r="M732" s="28"/>
      <c r="N732" s="28"/>
      <c r="O732" s="28"/>
      <c r="P732" s="28"/>
      <c r="Q732" s="28"/>
      <c r="R732" s="28"/>
      <c r="S732" s="28"/>
      <c r="T732" s="28"/>
      <c r="U732" s="28"/>
      <c r="V732" s="28"/>
      <c r="W732" s="28"/>
      <c r="X732" s="28"/>
      <c r="Y732" s="28"/>
      <c r="Z732" s="28"/>
    </row>
    <row r="733">
      <c r="A733" s="1044"/>
      <c r="B733" s="1045"/>
      <c r="C733" s="1041"/>
      <c r="D733" s="1045"/>
      <c r="E733" s="1041"/>
      <c r="F733" s="1041"/>
      <c r="G733" s="28"/>
      <c r="H733" s="28"/>
      <c r="I733" s="28"/>
      <c r="J733" s="28"/>
      <c r="K733" s="28"/>
      <c r="L733" s="28"/>
      <c r="M733" s="28"/>
      <c r="N733" s="28"/>
      <c r="O733" s="28"/>
      <c r="P733" s="28"/>
      <c r="Q733" s="28"/>
      <c r="R733" s="28"/>
      <c r="S733" s="28"/>
      <c r="T733" s="28"/>
      <c r="U733" s="28"/>
      <c r="V733" s="28"/>
      <c r="W733" s="28"/>
      <c r="X733" s="28"/>
      <c r="Y733" s="28"/>
      <c r="Z733" s="28"/>
    </row>
    <row r="734">
      <c r="A734" s="1044"/>
      <c r="B734" s="1045"/>
      <c r="C734" s="1041"/>
      <c r="D734" s="1045"/>
      <c r="E734" s="1041"/>
      <c r="F734" s="1041"/>
      <c r="G734" s="28"/>
      <c r="H734" s="28"/>
      <c r="I734" s="28"/>
      <c r="J734" s="28"/>
      <c r="K734" s="28"/>
      <c r="L734" s="28"/>
      <c r="M734" s="28"/>
      <c r="N734" s="28"/>
      <c r="O734" s="28"/>
      <c r="P734" s="28"/>
      <c r="Q734" s="28"/>
      <c r="R734" s="28"/>
      <c r="S734" s="28"/>
      <c r="T734" s="28"/>
      <c r="U734" s="28"/>
      <c r="V734" s="28"/>
      <c r="W734" s="28"/>
      <c r="X734" s="28"/>
      <c r="Y734" s="28"/>
      <c r="Z734" s="28"/>
    </row>
    <row r="735">
      <c r="A735" s="1044"/>
      <c r="B735" s="1045"/>
      <c r="C735" s="1041"/>
      <c r="D735" s="1045"/>
      <c r="E735" s="1041"/>
      <c r="F735" s="1041"/>
      <c r="G735" s="28"/>
      <c r="H735" s="28"/>
      <c r="I735" s="28"/>
      <c r="J735" s="28"/>
      <c r="K735" s="28"/>
      <c r="L735" s="28"/>
      <c r="M735" s="28"/>
      <c r="N735" s="28"/>
      <c r="O735" s="28"/>
      <c r="P735" s="28"/>
      <c r="Q735" s="28"/>
      <c r="R735" s="28"/>
      <c r="S735" s="28"/>
      <c r="T735" s="28"/>
      <c r="U735" s="28"/>
      <c r="V735" s="28"/>
      <c r="W735" s="28"/>
      <c r="X735" s="28"/>
      <c r="Y735" s="28"/>
      <c r="Z735" s="28"/>
    </row>
    <row r="736">
      <c r="A736" s="1044"/>
      <c r="B736" s="1045"/>
      <c r="C736" s="1041"/>
      <c r="D736" s="1045"/>
      <c r="E736" s="1041"/>
      <c r="F736" s="1041"/>
      <c r="G736" s="28"/>
      <c r="H736" s="28"/>
      <c r="I736" s="28"/>
      <c r="J736" s="28"/>
      <c r="K736" s="28"/>
      <c r="L736" s="28"/>
      <c r="M736" s="28"/>
      <c r="N736" s="28"/>
      <c r="O736" s="28"/>
      <c r="P736" s="28"/>
      <c r="Q736" s="28"/>
      <c r="R736" s="28"/>
      <c r="S736" s="28"/>
      <c r="T736" s="28"/>
      <c r="U736" s="28"/>
      <c r="V736" s="28"/>
      <c r="W736" s="28"/>
      <c r="X736" s="28"/>
      <c r="Y736" s="28"/>
      <c r="Z736" s="28"/>
    </row>
    <row r="737">
      <c r="A737" s="1044"/>
      <c r="B737" s="1045"/>
      <c r="C737" s="1041"/>
      <c r="D737" s="1045"/>
      <c r="E737" s="1041"/>
      <c r="F737" s="1041"/>
      <c r="G737" s="28"/>
      <c r="H737" s="28"/>
      <c r="I737" s="28"/>
      <c r="J737" s="28"/>
      <c r="K737" s="28"/>
      <c r="L737" s="28"/>
      <c r="M737" s="28"/>
      <c r="N737" s="28"/>
      <c r="O737" s="28"/>
      <c r="P737" s="28"/>
      <c r="Q737" s="28"/>
      <c r="R737" s="28"/>
      <c r="S737" s="28"/>
      <c r="T737" s="28"/>
      <c r="U737" s="28"/>
      <c r="V737" s="28"/>
      <c r="W737" s="28"/>
      <c r="X737" s="28"/>
      <c r="Y737" s="28"/>
      <c r="Z737" s="28"/>
    </row>
    <row r="738">
      <c r="A738" s="1044"/>
      <c r="B738" s="1045"/>
      <c r="C738" s="1041"/>
      <c r="D738" s="1045"/>
      <c r="E738" s="1041"/>
      <c r="F738" s="1041"/>
      <c r="G738" s="28"/>
      <c r="H738" s="28"/>
      <c r="I738" s="28"/>
      <c r="J738" s="28"/>
      <c r="K738" s="28"/>
      <c r="L738" s="28"/>
      <c r="M738" s="28"/>
      <c r="N738" s="28"/>
      <c r="O738" s="28"/>
      <c r="P738" s="28"/>
      <c r="Q738" s="28"/>
      <c r="R738" s="28"/>
      <c r="S738" s="28"/>
      <c r="T738" s="28"/>
      <c r="U738" s="28"/>
      <c r="V738" s="28"/>
      <c r="W738" s="28"/>
      <c r="X738" s="28"/>
      <c r="Y738" s="28"/>
      <c r="Z738" s="28"/>
    </row>
    <row r="739">
      <c r="A739" s="1044"/>
      <c r="B739" s="1045"/>
      <c r="C739" s="1041"/>
      <c r="D739" s="1045"/>
      <c r="E739" s="1041"/>
      <c r="F739" s="1041"/>
      <c r="G739" s="28"/>
      <c r="H739" s="28"/>
      <c r="I739" s="28"/>
      <c r="J739" s="28"/>
      <c r="K739" s="28"/>
      <c r="L739" s="28"/>
      <c r="M739" s="28"/>
      <c r="N739" s="28"/>
      <c r="O739" s="28"/>
      <c r="P739" s="28"/>
      <c r="Q739" s="28"/>
      <c r="R739" s="28"/>
      <c r="S739" s="28"/>
      <c r="T739" s="28"/>
      <c r="U739" s="28"/>
      <c r="V739" s="28"/>
      <c r="W739" s="28"/>
      <c r="X739" s="28"/>
      <c r="Y739" s="28"/>
      <c r="Z739" s="28"/>
    </row>
    <row r="740">
      <c r="A740" s="1044"/>
      <c r="B740" s="1045"/>
      <c r="C740" s="1041"/>
      <c r="D740" s="1045"/>
      <c r="E740" s="1041"/>
      <c r="F740" s="1041"/>
      <c r="G740" s="28"/>
      <c r="H740" s="28"/>
      <c r="I740" s="28"/>
      <c r="J740" s="28"/>
      <c r="K740" s="28"/>
      <c r="L740" s="28"/>
      <c r="M740" s="28"/>
      <c r="N740" s="28"/>
      <c r="O740" s="28"/>
      <c r="P740" s="28"/>
      <c r="Q740" s="28"/>
      <c r="R740" s="28"/>
      <c r="S740" s="28"/>
      <c r="T740" s="28"/>
      <c r="U740" s="28"/>
      <c r="V740" s="28"/>
      <c r="W740" s="28"/>
      <c r="X740" s="28"/>
      <c r="Y740" s="28"/>
      <c r="Z740" s="28"/>
    </row>
    <row r="741">
      <c r="A741" s="1044"/>
      <c r="B741" s="1045"/>
      <c r="C741" s="1041"/>
      <c r="D741" s="1045"/>
      <c r="E741" s="1041"/>
      <c r="F741" s="1041"/>
      <c r="G741" s="28"/>
      <c r="H741" s="28"/>
      <c r="I741" s="28"/>
      <c r="J741" s="28"/>
      <c r="K741" s="28"/>
      <c r="L741" s="28"/>
      <c r="M741" s="28"/>
      <c r="N741" s="28"/>
      <c r="O741" s="28"/>
      <c r="P741" s="28"/>
      <c r="Q741" s="28"/>
      <c r="R741" s="28"/>
      <c r="S741" s="28"/>
      <c r="T741" s="28"/>
      <c r="U741" s="28"/>
      <c r="V741" s="28"/>
      <c r="W741" s="28"/>
      <c r="X741" s="28"/>
      <c r="Y741" s="28"/>
      <c r="Z741" s="28"/>
    </row>
    <row r="742">
      <c r="A742" s="1044"/>
      <c r="B742" s="1045"/>
      <c r="C742" s="1041"/>
      <c r="D742" s="1045"/>
      <c r="E742" s="1041"/>
      <c r="F742" s="1041"/>
      <c r="G742" s="28"/>
      <c r="H742" s="28"/>
      <c r="I742" s="28"/>
      <c r="J742" s="28"/>
      <c r="K742" s="28"/>
      <c r="L742" s="28"/>
      <c r="M742" s="28"/>
      <c r="N742" s="28"/>
      <c r="O742" s="28"/>
      <c r="P742" s="28"/>
      <c r="Q742" s="28"/>
      <c r="R742" s="28"/>
      <c r="S742" s="28"/>
      <c r="T742" s="28"/>
      <c r="U742" s="28"/>
      <c r="V742" s="28"/>
      <c r="W742" s="28"/>
      <c r="X742" s="28"/>
      <c r="Y742" s="28"/>
      <c r="Z742" s="28"/>
    </row>
    <row r="743">
      <c r="A743" s="1044"/>
      <c r="B743" s="1045"/>
      <c r="C743" s="1041"/>
      <c r="D743" s="1045"/>
      <c r="E743" s="1041"/>
      <c r="F743" s="1041"/>
      <c r="G743" s="28"/>
      <c r="H743" s="28"/>
      <c r="I743" s="28"/>
      <c r="J743" s="28"/>
      <c r="K743" s="28"/>
      <c r="L743" s="28"/>
      <c r="M743" s="28"/>
      <c r="N743" s="28"/>
      <c r="O743" s="28"/>
      <c r="P743" s="28"/>
      <c r="Q743" s="28"/>
      <c r="R743" s="28"/>
      <c r="S743" s="28"/>
      <c r="T743" s="28"/>
      <c r="U743" s="28"/>
      <c r="V743" s="28"/>
      <c r="W743" s="28"/>
      <c r="X743" s="28"/>
      <c r="Y743" s="28"/>
      <c r="Z743" s="28"/>
    </row>
    <row r="744">
      <c r="A744" s="1044"/>
      <c r="B744" s="1045"/>
      <c r="C744" s="1041"/>
      <c r="D744" s="1045"/>
      <c r="E744" s="1041"/>
      <c r="F744" s="1041"/>
      <c r="G744" s="28"/>
      <c r="H744" s="28"/>
      <c r="I744" s="28"/>
      <c r="J744" s="28"/>
      <c r="K744" s="28"/>
      <c r="L744" s="28"/>
      <c r="M744" s="28"/>
      <c r="N744" s="28"/>
      <c r="O744" s="28"/>
      <c r="P744" s="28"/>
      <c r="Q744" s="28"/>
      <c r="R744" s="28"/>
      <c r="S744" s="28"/>
      <c r="T744" s="28"/>
      <c r="U744" s="28"/>
      <c r="V744" s="28"/>
      <c r="W744" s="28"/>
      <c r="X744" s="28"/>
      <c r="Y744" s="28"/>
      <c r="Z744" s="28"/>
    </row>
    <row r="745">
      <c r="A745" s="1044"/>
      <c r="B745" s="1045"/>
      <c r="C745" s="1041"/>
      <c r="D745" s="1045"/>
      <c r="E745" s="1041"/>
      <c r="F745" s="1041"/>
      <c r="G745" s="28"/>
      <c r="H745" s="28"/>
      <c r="I745" s="28"/>
      <c r="J745" s="28"/>
      <c r="K745" s="28"/>
      <c r="L745" s="28"/>
      <c r="M745" s="28"/>
      <c r="N745" s="28"/>
      <c r="O745" s="28"/>
      <c r="P745" s="28"/>
      <c r="Q745" s="28"/>
      <c r="R745" s="28"/>
      <c r="S745" s="28"/>
      <c r="T745" s="28"/>
      <c r="U745" s="28"/>
      <c r="V745" s="28"/>
      <c r="W745" s="28"/>
      <c r="X745" s="28"/>
      <c r="Y745" s="28"/>
      <c r="Z745" s="28"/>
    </row>
    <row r="746">
      <c r="A746" s="1044"/>
      <c r="B746" s="1045"/>
      <c r="C746" s="1041"/>
      <c r="D746" s="1045"/>
      <c r="E746" s="1041"/>
      <c r="F746" s="1041"/>
      <c r="G746" s="28"/>
      <c r="H746" s="28"/>
      <c r="I746" s="28"/>
      <c r="J746" s="28"/>
      <c r="K746" s="28"/>
      <c r="L746" s="28"/>
      <c r="M746" s="28"/>
      <c r="N746" s="28"/>
      <c r="O746" s="28"/>
      <c r="P746" s="28"/>
      <c r="Q746" s="28"/>
      <c r="R746" s="28"/>
      <c r="S746" s="28"/>
      <c r="T746" s="28"/>
      <c r="U746" s="28"/>
      <c r="V746" s="28"/>
      <c r="W746" s="28"/>
      <c r="X746" s="28"/>
      <c r="Y746" s="28"/>
      <c r="Z746" s="28"/>
    </row>
    <row r="747">
      <c r="A747" s="1044"/>
      <c r="B747" s="1045"/>
      <c r="C747" s="1041"/>
      <c r="D747" s="1045"/>
      <c r="E747" s="1041"/>
      <c r="F747" s="1041"/>
      <c r="G747" s="28"/>
      <c r="H747" s="28"/>
      <c r="I747" s="28"/>
      <c r="J747" s="28"/>
      <c r="K747" s="28"/>
      <c r="L747" s="28"/>
      <c r="M747" s="28"/>
      <c r="N747" s="28"/>
      <c r="O747" s="28"/>
      <c r="P747" s="28"/>
      <c r="Q747" s="28"/>
      <c r="R747" s="28"/>
      <c r="S747" s="28"/>
      <c r="T747" s="28"/>
      <c r="U747" s="28"/>
      <c r="V747" s="28"/>
      <c r="W747" s="28"/>
      <c r="X747" s="28"/>
      <c r="Y747" s="28"/>
      <c r="Z747" s="28"/>
    </row>
    <row r="748">
      <c r="A748" s="1044"/>
      <c r="B748" s="1045"/>
      <c r="C748" s="1041"/>
      <c r="D748" s="1045"/>
      <c r="E748" s="1041"/>
      <c r="F748" s="1041"/>
      <c r="G748" s="28"/>
      <c r="H748" s="28"/>
      <c r="I748" s="28"/>
      <c r="J748" s="28"/>
      <c r="K748" s="28"/>
      <c r="L748" s="28"/>
      <c r="M748" s="28"/>
      <c r="N748" s="28"/>
      <c r="O748" s="28"/>
      <c r="P748" s="28"/>
      <c r="Q748" s="28"/>
      <c r="R748" s="28"/>
      <c r="S748" s="28"/>
      <c r="T748" s="28"/>
      <c r="U748" s="28"/>
      <c r="V748" s="28"/>
      <c r="W748" s="28"/>
      <c r="X748" s="28"/>
      <c r="Y748" s="28"/>
      <c r="Z748" s="28"/>
    </row>
    <row r="749">
      <c r="A749" s="1044"/>
      <c r="B749" s="1045"/>
      <c r="C749" s="1041"/>
      <c r="D749" s="1045"/>
      <c r="E749" s="1041"/>
      <c r="F749" s="1041"/>
      <c r="G749" s="28"/>
      <c r="H749" s="28"/>
      <c r="I749" s="28"/>
      <c r="J749" s="28"/>
      <c r="K749" s="28"/>
      <c r="L749" s="28"/>
      <c r="M749" s="28"/>
      <c r="N749" s="28"/>
      <c r="O749" s="28"/>
      <c r="P749" s="28"/>
      <c r="Q749" s="28"/>
      <c r="R749" s="28"/>
      <c r="S749" s="28"/>
      <c r="T749" s="28"/>
      <c r="U749" s="28"/>
      <c r="V749" s="28"/>
      <c r="W749" s="28"/>
      <c r="X749" s="28"/>
      <c r="Y749" s="28"/>
      <c r="Z749" s="28"/>
    </row>
    <row r="750">
      <c r="A750" s="1044"/>
      <c r="B750" s="1045"/>
      <c r="C750" s="1041"/>
      <c r="D750" s="1045"/>
      <c r="E750" s="1041"/>
      <c r="F750" s="1041"/>
      <c r="G750" s="28"/>
      <c r="H750" s="28"/>
      <c r="I750" s="28"/>
      <c r="J750" s="28"/>
      <c r="K750" s="28"/>
      <c r="L750" s="28"/>
      <c r="M750" s="28"/>
      <c r="N750" s="28"/>
      <c r="O750" s="28"/>
      <c r="P750" s="28"/>
      <c r="Q750" s="28"/>
      <c r="R750" s="28"/>
      <c r="S750" s="28"/>
      <c r="T750" s="28"/>
      <c r="U750" s="28"/>
      <c r="V750" s="28"/>
      <c r="W750" s="28"/>
      <c r="X750" s="28"/>
      <c r="Y750" s="28"/>
      <c r="Z750" s="28"/>
    </row>
    <row r="751">
      <c r="A751" s="1044"/>
      <c r="B751" s="1045"/>
      <c r="C751" s="1041"/>
      <c r="D751" s="1045"/>
      <c r="E751" s="1041"/>
      <c r="F751" s="1041"/>
      <c r="G751" s="28"/>
      <c r="H751" s="28"/>
      <c r="I751" s="28"/>
      <c r="J751" s="28"/>
      <c r="K751" s="28"/>
      <c r="L751" s="28"/>
      <c r="M751" s="28"/>
      <c r="N751" s="28"/>
      <c r="O751" s="28"/>
      <c r="P751" s="28"/>
      <c r="Q751" s="28"/>
      <c r="R751" s="28"/>
      <c r="S751" s="28"/>
      <c r="T751" s="28"/>
      <c r="U751" s="28"/>
      <c r="V751" s="28"/>
      <c r="W751" s="28"/>
      <c r="X751" s="28"/>
      <c r="Y751" s="28"/>
      <c r="Z751" s="28"/>
    </row>
    <row r="752">
      <c r="A752" s="1044"/>
      <c r="B752" s="1045"/>
      <c r="C752" s="1041"/>
      <c r="D752" s="1045"/>
      <c r="E752" s="1041"/>
      <c r="F752" s="1041"/>
      <c r="G752" s="28"/>
      <c r="H752" s="28"/>
      <c r="I752" s="28"/>
      <c r="J752" s="28"/>
      <c r="K752" s="28"/>
      <c r="L752" s="28"/>
      <c r="M752" s="28"/>
      <c r="N752" s="28"/>
      <c r="O752" s="28"/>
      <c r="P752" s="28"/>
      <c r="Q752" s="28"/>
      <c r="R752" s="28"/>
      <c r="S752" s="28"/>
      <c r="T752" s="28"/>
      <c r="U752" s="28"/>
      <c r="V752" s="28"/>
      <c r="W752" s="28"/>
      <c r="X752" s="28"/>
      <c r="Y752" s="28"/>
      <c r="Z752" s="28"/>
    </row>
    <row r="753">
      <c r="A753" s="1044"/>
      <c r="B753" s="1045"/>
      <c r="C753" s="1041"/>
      <c r="D753" s="1045"/>
      <c r="E753" s="1041"/>
      <c r="F753" s="1041"/>
      <c r="G753" s="28"/>
      <c r="H753" s="28"/>
      <c r="I753" s="28"/>
      <c r="J753" s="28"/>
      <c r="K753" s="28"/>
      <c r="L753" s="28"/>
      <c r="M753" s="28"/>
      <c r="N753" s="28"/>
      <c r="O753" s="28"/>
      <c r="P753" s="28"/>
      <c r="Q753" s="28"/>
      <c r="R753" s="28"/>
      <c r="S753" s="28"/>
      <c r="T753" s="28"/>
      <c r="U753" s="28"/>
      <c r="V753" s="28"/>
      <c r="W753" s="28"/>
      <c r="X753" s="28"/>
      <c r="Y753" s="28"/>
      <c r="Z753" s="28"/>
    </row>
    <row r="754">
      <c r="A754" s="1044"/>
      <c r="B754" s="1045"/>
      <c r="C754" s="1041"/>
      <c r="D754" s="1045"/>
      <c r="E754" s="1041"/>
      <c r="F754" s="1041"/>
      <c r="G754" s="28"/>
      <c r="H754" s="28"/>
      <c r="I754" s="28"/>
      <c r="J754" s="28"/>
      <c r="K754" s="28"/>
      <c r="L754" s="28"/>
      <c r="M754" s="28"/>
      <c r="N754" s="28"/>
      <c r="O754" s="28"/>
      <c r="P754" s="28"/>
      <c r="Q754" s="28"/>
      <c r="R754" s="28"/>
      <c r="S754" s="28"/>
      <c r="T754" s="28"/>
      <c r="U754" s="28"/>
      <c r="V754" s="28"/>
      <c r="W754" s="28"/>
      <c r="X754" s="28"/>
      <c r="Y754" s="28"/>
      <c r="Z754" s="28"/>
    </row>
    <row r="755">
      <c r="A755" s="1044"/>
      <c r="B755" s="1045"/>
      <c r="C755" s="1041"/>
      <c r="D755" s="1045"/>
      <c r="E755" s="1041"/>
      <c r="F755" s="1041"/>
      <c r="G755" s="28"/>
      <c r="H755" s="28"/>
      <c r="I755" s="28"/>
      <c r="J755" s="28"/>
      <c r="K755" s="28"/>
      <c r="L755" s="28"/>
      <c r="M755" s="28"/>
      <c r="N755" s="28"/>
      <c r="O755" s="28"/>
      <c r="P755" s="28"/>
      <c r="Q755" s="28"/>
      <c r="R755" s="28"/>
      <c r="S755" s="28"/>
      <c r="T755" s="28"/>
      <c r="U755" s="28"/>
      <c r="V755" s="28"/>
      <c r="W755" s="28"/>
      <c r="X755" s="28"/>
      <c r="Y755" s="28"/>
      <c r="Z755" s="28"/>
    </row>
    <row r="756">
      <c r="A756" s="1044"/>
      <c r="B756" s="1045"/>
      <c r="C756" s="1041"/>
      <c r="D756" s="1045"/>
      <c r="E756" s="1041"/>
      <c r="F756" s="1041"/>
      <c r="G756" s="28"/>
      <c r="H756" s="28"/>
      <c r="I756" s="28"/>
      <c r="J756" s="28"/>
      <c r="K756" s="28"/>
      <c r="L756" s="28"/>
      <c r="M756" s="28"/>
      <c r="N756" s="28"/>
      <c r="O756" s="28"/>
      <c r="P756" s="28"/>
      <c r="Q756" s="28"/>
      <c r="R756" s="28"/>
      <c r="S756" s="28"/>
      <c r="T756" s="28"/>
      <c r="U756" s="28"/>
      <c r="V756" s="28"/>
      <c r="W756" s="28"/>
      <c r="X756" s="28"/>
      <c r="Y756" s="28"/>
      <c r="Z756" s="28"/>
    </row>
    <row r="757">
      <c r="A757" s="1044"/>
      <c r="B757" s="1045"/>
      <c r="C757" s="1041"/>
      <c r="D757" s="1045"/>
      <c r="E757" s="1041"/>
      <c r="F757" s="1041"/>
      <c r="G757" s="28"/>
      <c r="H757" s="28"/>
      <c r="I757" s="28"/>
      <c r="J757" s="28"/>
      <c r="K757" s="28"/>
      <c r="L757" s="28"/>
      <c r="M757" s="28"/>
      <c r="N757" s="28"/>
      <c r="O757" s="28"/>
      <c r="P757" s="28"/>
      <c r="Q757" s="28"/>
      <c r="R757" s="28"/>
      <c r="S757" s="28"/>
      <c r="T757" s="28"/>
      <c r="U757" s="28"/>
      <c r="V757" s="28"/>
      <c r="W757" s="28"/>
      <c r="X757" s="28"/>
      <c r="Y757" s="28"/>
      <c r="Z757" s="28"/>
    </row>
    <row r="758">
      <c r="A758" s="1044"/>
      <c r="B758" s="1045"/>
      <c r="C758" s="1041"/>
      <c r="D758" s="1045"/>
      <c r="E758" s="1041"/>
      <c r="F758" s="1041"/>
      <c r="G758" s="28"/>
      <c r="H758" s="28"/>
      <c r="I758" s="28"/>
      <c r="J758" s="28"/>
      <c r="K758" s="28"/>
      <c r="L758" s="28"/>
      <c r="M758" s="28"/>
      <c r="N758" s="28"/>
      <c r="O758" s="28"/>
      <c r="P758" s="28"/>
      <c r="Q758" s="28"/>
      <c r="R758" s="28"/>
      <c r="S758" s="28"/>
      <c r="T758" s="28"/>
      <c r="U758" s="28"/>
      <c r="V758" s="28"/>
      <c r="W758" s="28"/>
      <c r="X758" s="28"/>
      <c r="Y758" s="28"/>
      <c r="Z758" s="28"/>
    </row>
    <row r="759">
      <c r="A759" s="1044"/>
      <c r="B759" s="1045"/>
      <c r="C759" s="1041"/>
      <c r="D759" s="1045"/>
      <c r="E759" s="1041"/>
      <c r="F759" s="1041"/>
      <c r="G759" s="28"/>
      <c r="H759" s="28"/>
      <c r="I759" s="28"/>
      <c r="J759" s="28"/>
      <c r="K759" s="28"/>
      <c r="L759" s="28"/>
      <c r="M759" s="28"/>
      <c r="N759" s="28"/>
      <c r="O759" s="28"/>
      <c r="P759" s="28"/>
      <c r="Q759" s="28"/>
      <c r="R759" s="28"/>
      <c r="S759" s="28"/>
      <c r="T759" s="28"/>
      <c r="U759" s="28"/>
      <c r="V759" s="28"/>
      <c r="W759" s="28"/>
      <c r="X759" s="28"/>
      <c r="Y759" s="28"/>
      <c r="Z759" s="28"/>
    </row>
    <row r="760">
      <c r="A760" s="1044"/>
      <c r="B760" s="1045"/>
      <c r="C760" s="1041"/>
      <c r="D760" s="1045"/>
      <c r="E760" s="1041"/>
      <c r="F760" s="1041"/>
      <c r="G760" s="28"/>
      <c r="H760" s="28"/>
      <c r="I760" s="28"/>
      <c r="J760" s="28"/>
      <c r="K760" s="28"/>
      <c r="L760" s="28"/>
      <c r="M760" s="28"/>
      <c r="N760" s="28"/>
      <c r="O760" s="28"/>
      <c r="P760" s="28"/>
      <c r="Q760" s="28"/>
      <c r="R760" s="28"/>
      <c r="S760" s="28"/>
      <c r="T760" s="28"/>
      <c r="U760" s="28"/>
      <c r="V760" s="28"/>
      <c r="W760" s="28"/>
      <c r="X760" s="28"/>
      <c r="Y760" s="28"/>
      <c r="Z760" s="28"/>
    </row>
    <row r="761">
      <c r="A761" s="1044"/>
      <c r="B761" s="1045"/>
      <c r="C761" s="1041"/>
      <c r="D761" s="1045"/>
      <c r="E761" s="1041"/>
      <c r="F761" s="1041"/>
      <c r="G761" s="28"/>
      <c r="H761" s="28"/>
      <c r="I761" s="28"/>
      <c r="J761" s="28"/>
      <c r="K761" s="28"/>
      <c r="L761" s="28"/>
      <c r="M761" s="28"/>
      <c r="N761" s="28"/>
      <c r="O761" s="28"/>
      <c r="P761" s="28"/>
      <c r="Q761" s="28"/>
      <c r="R761" s="28"/>
      <c r="S761" s="28"/>
      <c r="T761" s="28"/>
      <c r="U761" s="28"/>
      <c r="V761" s="28"/>
      <c r="W761" s="28"/>
      <c r="X761" s="28"/>
      <c r="Y761" s="28"/>
      <c r="Z761" s="28"/>
    </row>
    <row r="762">
      <c r="A762" s="1044"/>
      <c r="B762" s="1045"/>
      <c r="C762" s="1041"/>
      <c r="D762" s="1045"/>
      <c r="E762" s="1041"/>
      <c r="F762" s="1041"/>
      <c r="G762" s="28"/>
      <c r="H762" s="28"/>
      <c r="I762" s="28"/>
      <c r="J762" s="28"/>
      <c r="K762" s="28"/>
      <c r="L762" s="28"/>
      <c r="M762" s="28"/>
      <c r="N762" s="28"/>
      <c r="O762" s="28"/>
      <c r="P762" s="28"/>
      <c r="Q762" s="28"/>
      <c r="R762" s="28"/>
      <c r="S762" s="28"/>
      <c r="T762" s="28"/>
      <c r="U762" s="28"/>
      <c r="V762" s="28"/>
      <c r="W762" s="28"/>
      <c r="X762" s="28"/>
      <c r="Y762" s="28"/>
      <c r="Z762" s="28"/>
    </row>
    <row r="763">
      <c r="A763" s="1044"/>
      <c r="B763" s="1045"/>
      <c r="C763" s="1041"/>
      <c r="D763" s="1045"/>
      <c r="E763" s="1041"/>
      <c r="F763" s="1041"/>
      <c r="G763" s="28"/>
      <c r="H763" s="28"/>
      <c r="I763" s="28"/>
      <c r="J763" s="28"/>
      <c r="K763" s="28"/>
      <c r="L763" s="28"/>
      <c r="M763" s="28"/>
      <c r="N763" s="28"/>
      <c r="O763" s="28"/>
      <c r="P763" s="28"/>
      <c r="Q763" s="28"/>
      <c r="R763" s="28"/>
      <c r="S763" s="28"/>
      <c r="T763" s="28"/>
      <c r="U763" s="28"/>
      <c r="V763" s="28"/>
      <c r="W763" s="28"/>
      <c r="X763" s="28"/>
      <c r="Y763" s="28"/>
      <c r="Z763" s="28"/>
    </row>
    <row r="764">
      <c r="A764" s="1044"/>
      <c r="B764" s="1045"/>
      <c r="C764" s="1041"/>
      <c r="D764" s="1045"/>
      <c r="E764" s="1041"/>
      <c r="F764" s="1041"/>
      <c r="G764" s="28"/>
      <c r="H764" s="28"/>
      <c r="I764" s="28"/>
      <c r="J764" s="28"/>
      <c r="K764" s="28"/>
      <c r="L764" s="28"/>
      <c r="M764" s="28"/>
      <c r="N764" s="28"/>
      <c r="O764" s="28"/>
      <c r="P764" s="28"/>
      <c r="Q764" s="28"/>
      <c r="R764" s="28"/>
      <c r="S764" s="28"/>
      <c r="T764" s="28"/>
      <c r="U764" s="28"/>
      <c r="V764" s="28"/>
      <c r="W764" s="28"/>
      <c r="X764" s="28"/>
      <c r="Y764" s="28"/>
      <c r="Z764" s="28"/>
    </row>
    <row r="765">
      <c r="A765" s="1044"/>
      <c r="B765" s="1045"/>
      <c r="C765" s="1041"/>
      <c r="D765" s="1045"/>
      <c r="E765" s="1041"/>
      <c r="F765" s="1041"/>
      <c r="G765" s="28"/>
      <c r="H765" s="28"/>
      <c r="I765" s="28"/>
      <c r="J765" s="28"/>
      <c r="K765" s="28"/>
      <c r="L765" s="28"/>
      <c r="M765" s="28"/>
      <c r="N765" s="28"/>
      <c r="O765" s="28"/>
      <c r="P765" s="28"/>
      <c r="Q765" s="28"/>
      <c r="R765" s="28"/>
      <c r="S765" s="28"/>
      <c r="T765" s="28"/>
      <c r="U765" s="28"/>
      <c r="V765" s="28"/>
      <c r="W765" s="28"/>
      <c r="X765" s="28"/>
      <c r="Y765" s="28"/>
      <c r="Z765" s="28"/>
    </row>
    <row r="766">
      <c r="A766" s="1044"/>
      <c r="B766" s="1045"/>
      <c r="C766" s="1041"/>
      <c r="D766" s="1045"/>
      <c r="E766" s="1041"/>
      <c r="F766" s="1041"/>
      <c r="G766" s="28"/>
      <c r="H766" s="28"/>
      <c r="I766" s="28"/>
      <c r="J766" s="28"/>
      <c r="K766" s="28"/>
      <c r="L766" s="28"/>
      <c r="M766" s="28"/>
      <c r="N766" s="28"/>
      <c r="O766" s="28"/>
      <c r="P766" s="28"/>
      <c r="Q766" s="28"/>
      <c r="R766" s="28"/>
      <c r="S766" s="28"/>
      <c r="T766" s="28"/>
      <c r="U766" s="28"/>
      <c r="V766" s="28"/>
      <c r="W766" s="28"/>
      <c r="X766" s="28"/>
      <c r="Y766" s="28"/>
      <c r="Z766" s="28"/>
    </row>
    <row r="767">
      <c r="A767" s="1044"/>
      <c r="B767" s="1045"/>
      <c r="C767" s="1041"/>
      <c r="D767" s="1045"/>
      <c r="E767" s="1041"/>
      <c r="F767" s="1041"/>
      <c r="G767" s="28"/>
      <c r="H767" s="28"/>
      <c r="I767" s="28"/>
      <c r="J767" s="28"/>
      <c r="K767" s="28"/>
      <c r="L767" s="28"/>
      <c r="M767" s="28"/>
      <c r="N767" s="28"/>
      <c r="O767" s="28"/>
      <c r="P767" s="28"/>
      <c r="Q767" s="28"/>
      <c r="R767" s="28"/>
      <c r="S767" s="28"/>
      <c r="T767" s="28"/>
      <c r="U767" s="28"/>
      <c r="V767" s="28"/>
      <c r="W767" s="28"/>
      <c r="X767" s="28"/>
      <c r="Y767" s="28"/>
      <c r="Z767" s="28"/>
    </row>
    <row r="768">
      <c r="A768" s="1044"/>
      <c r="B768" s="1045"/>
      <c r="C768" s="1041"/>
      <c r="D768" s="1045"/>
      <c r="E768" s="1041"/>
      <c r="F768" s="1041"/>
      <c r="G768" s="28"/>
      <c r="H768" s="28"/>
      <c r="I768" s="28"/>
      <c r="J768" s="28"/>
      <c r="K768" s="28"/>
      <c r="L768" s="28"/>
      <c r="M768" s="28"/>
      <c r="N768" s="28"/>
      <c r="O768" s="28"/>
      <c r="P768" s="28"/>
      <c r="Q768" s="28"/>
      <c r="R768" s="28"/>
      <c r="S768" s="28"/>
      <c r="T768" s="28"/>
      <c r="U768" s="28"/>
      <c r="V768" s="28"/>
      <c r="W768" s="28"/>
      <c r="X768" s="28"/>
      <c r="Y768" s="28"/>
      <c r="Z768" s="28"/>
    </row>
    <row r="769">
      <c r="A769" s="1044"/>
      <c r="B769" s="1045"/>
      <c r="C769" s="1041"/>
      <c r="D769" s="1045"/>
      <c r="E769" s="1041"/>
      <c r="F769" s="1041"/>
      <c r="G769" s="28"/>
      <c r="H769" s="28"/>
      <c r="I769" s="28"/>
      <c r="J769" s="28"/>
      <c r="K769" s="28"/>
      <c r="L769" s="28"/>
      <c r="M769" s="28"/>
      <c r="N769" s="28"/>
      <c r="O769" s="28"/>
      <c r="P769" s="28"/>
      <c r="Q769" s="28"/>
      <c r="R769" s="28"/>
      <c r="S769" s="28"/>
      <c r="T769" s="28"/>
      <c r="U769" s="28"/>
      <c r="V769" s="28"/>
      <c r="W769" s="28"/>
      <c r="X769" s="28"/>
      <c r="Y769" s="28"/>
      <c r="Z769" s="28"/>
    </row>
    <row r="770">
      <c r="A770" s="1044"/>
      <c r="B770" s="1045"/>
      <c r="C770" s="1041"/>
      <c r="D770" s="1045"/>
      <c r="E770" s="1041"/>
      <c r="F770" s="1041"/>
      <c r="G770" s="28"/>
      <c r="H770" s="28"/>
      <c r="I770" s="28"/>
      <c r="J770" s="28"/>
      <c r="K770" s="28"/>
      <c r="L770" s="28"/>
      <c r="M770" s="28"/>
      <c r="N770" s="28"/>
      <c r="O770" s="28"/>
      <c r="P770" s="28"/>
      <c r="Q770" s="28"/>
      <c r="R770" s="28"/>
      <c r="S770" s="28"/>
      <c r="T770" s="28"/>
      <c r="U770" s="28"/>
      <c r="V770" s="28"/>
      <c r="W770" s="28"/>
      <c r="X770" s="28"/>
      <c r="Y770" s="28"/>
      <c r="Z770" s="28"/>
    </row>
    <row r="771">
      <c r="A771" s="1044"/>
      <c r="B771" s="1045"/>
      <c r="C771" s="1041"/>
      <c r="D771" s="1045"/>
      <c r="E771" s="1041"/>
      <c r="F771" s="1041"/>
      <c r="G771" s="28"/>
      <c r="H771" s="28"/>
      <c r="I771" s="28"/>
      <c r="J771" s="28"/>
      <c r="K771" s="28"/>
      <c r="L771" s="28"/>
      <c r="M771" s="28"/>
      <c r="N771" s="28"/>
      <c r="O771" s="28"/>
      <c r="P771" s="28"/>
      <c r="Q771" s="28"/>
      <c r="R771" s="28"/>
      <c r="S771" s="28"/>
      <c r="T771" s="28"/>
      <c r="U771" s="28"/>
      <c r="V771" s="28"/>
      <c r="W771" s="28"/>
      <c r="X771" s="28"/>
      <c r="Y771" s="28"/>
      <c r="Z771" s="28"/>
    </row>
    <row r="772">
      <c r="A772" s="1044"/>
      <c r="B772" s="1045"/>
      <c r="C772" s="1041"/>
      <c r="D772" s="1045"/>
      <c r="E772" s="1041"/>
      <c r="F772" s="1041"/>
      <c r="G772" s="28"/>
      <c r="H772" s="28"/>
      <c r="I772" s="28"/>
      <c r="J772" s="28"/>
      <c r="K772" s="28"/>
      <c r="L772" s="28"/>
      <c r="M772" s="28"/>
      <c r="N772" s="28"/>
      <c r="O772" s="28"/>
      <c r="P772" s="28"/>
      <c r="Q772" s="28"/>
      <c r="R772" s="28"/>
      <c r="S772" s="28"/>
      <c r="T772" s="28"/>
      <c r="U772" s="28"/>
      <c r="V772" s="28"/>
      <c r="W772" s="28"/>
      <c r="X772" s="28"/>
      <c r="Y772" s="28"/>
      <c r="Z772" s="28"/>
    </row>
    <row r="773">
      <c r="A773" s="1044"/>
      <c r="B773" s="1045"/>
      <c r="C773" s="1041"/>
      <c r="D773" s="1045"/>
      <c r="E773" s="1041"/>
      <c r="F773" s="1041"/>
      <c r="G773" s="28"/>
      <c r="H773" s="28"/>
      <c r="I773" s="28"/>
      <c r="J773" s="28"/>
      <c r="K773" s="28"/>
      <c r="L773" s="28"/>
      <c r="M773" s="28"/>
      <c r="N773" s="28"/>
      <c r="O773" s="28"/>
      <c r="P773" s="28"/>
      <c r="Q773" s="28"/>
      <c r="R773" s="28"/>
      <c r="S773" s="28"/>
      <c r="T773" s="28"/>
      <c r="U773" s="28"/>
      <c r="V773" s="28"/>
      <c r="W773" s="28"/>
      <c r="X773" s="28"/>
      <c r="Y773" s="28"/>
      <c r="Z773" s="28"/>
    </row>
    <row r="774">
      <c r="A774" s="1044"/>
      <c r="B774" s="1045"/>
      <c r="C774" s="1041"/>
      <c r="D774" s="1045"/>
      <c r="E774" s="1041"/>
      <c r="F774" s="1041"/>
      <c r="G774" s="28"/>
      <c r="H774" s="28"/>
      <c r="I774" s="28"/>
      <c r="J774" s="28"/>
      <c r="K774" s="28"/>
      <c r="L774" s="28"/>
      <c r="M774" s="28"/>
      <c r="N774" s="28"/>
      <c r="O774" s="28"/>
      <c r="P774" s="28"/>
      <c r="Q774" s="28"/>
      <c r="R774" s="28"/>
      <c r="S774" s="28"/>
      <c r="T774" s="28"/>
      <c r="U774" s="28"/>
      <c r="V774" s="28"/>
      <c r="W774" s="28"/>
      <c r="X774" s="28"/>
      <c r="Y774" s="28"/>
      <c r="Z774" s="28"/>
    </row>
    <row r="775">
      <c r="A775" s="1044"/>
      <c r="B775" s="1045"/>
      <c r="C775" s="1041"/>
      <c r="D775" s="1045"/>
      <c r="E775" s="1041"/>
      <c r="F775" s="1041"/>
      <c r="G775" s="28"/>
      <c r="H775" s="28"/>
      <c r="I775" s="28"/>
      <c r="J775" s="28"/>
      <c r="K775" s="28"/>
      <c r="L775" s="28"/>
      <c r="M775" s="28"/>
      <c r="N775" s="28"/>
      <c r="O775" s="28"/>
      <c r="P775" s="28"/>
      <c r="Q775" s="28"/>
      <c r="R775" s="28"/>
      <c r="S775" s="28"/>
      <c r="T775" s="28"/>
      <c r="U775" s="28"/>
      <c r="V775" s="28"/>
      <c r="W775" s="28"/>
      <c r="X775" s="28"/>
      <c r="Y775" s="28"/>
      <c r="Z775" s="28"/>
    </row>
    <row r="776">
      <c r="A776" s="1044"/>
      <c r="B776" s="1045"/>
      <c r="C776" s="1041"/>
      <c r="D776" s="1045"/>
      <c r="E776" s="1041"/>
      <c r="F776" s="1041"/>
      <c r="G776" s="28"/>
      <c r="H776" s="28"/>
      <c r="I776" s="28"/>
      <c r="J776" s="28"/>
      <c r="K776" s="28"/>
      <c r="L776" s="28"/>
      <c r="M776" s="28"/>
      <c r="N776" s="28"/>
      <c r="O776" s="28"/>
      <c r="P776" s="28"/>
      <c r="Q776" s="28"/>
      <c r="R776" s="28"/>
      <c r="S776" s="28"/>
      <c r="T776" s="28"/>
      <c r="U776" s="28"/>
      <c r="V776" s="28"/>
      <c r="W776" s="28"/>
      <c r="X776" s="28"/>
      <c r="Y776" s="28"/>
      <c r="Z776" s="28"/>
    </row>
    <row r="777">
      <c r="A777" s="1044"/>
      <c r="B777" s="1045"/>
      <c r="C777" s="1041"/>
      <c r="D777" s="1045"/>
      <c r="E777" s="1041"/>
      <c r="F777" s="1041"/>
      <c r="G777" s="28"/>
      <c r="H777" s="28"/>
      <c r="I777" s="28"/>
      <c r="J777" s="28"/>
      <c r="K777" s="28"/>
      <c r="L777" s="28"/>
      <c r="M777" s="28"/>
      <c r="N777" s="28"/>
      <c r="O777" s="28"/>
      <c r="P777" s="28"/>
      <c r="Q777" s="28"/>
      <c r="R777" s="28"/>
      <c r="S777" s="28"/>
      <c r="T777" s="28"/>
      <c r="U777" s="28"/>
      <c r="V777" s="28"/>
      <c r="W777" s="28"/>
      <c r="X777" s="28"/>
      <c r="Y777" s="28"/>
      <c r="Z777" s="28"/>
    </row>
    <row r="778">
      <c r="A778" s="1044"/>
      <c r="B778" s="1045"/>
      <c r="C778" s="1041"/>
      <c r="D778" s="1045"/>
      <c r="E778" s="1041"/>
      <c r="F778" s="1041"/>
      <c r="G778" s="28"/>
      <c r="H778" s="28"/>
      <c r="I778" s="28"/>
      <c r="J778" s="28"/>
      <c r="K778" s="28"/>
      <c r="L778" s="28"/>
      <c r="M778" s="28"/>
      <c r="N778" s="28"/>
      <c r="O778" s="28"/>
      <c r="P778" s="28"/>
      <c r="Q778" s="28"/>
      <c r="R778" s="28"/>
      <c r="S778" s="28"/>
      <c r="T778" s="28"/>
      <c r="U778" s="28"/>
      <c r="V778" s="28"/>
      <c r="W778" s="28"/>
      <c r="X778" s="28"/>
      <c r="Y778" s="28"/>
      <c r="Z778" s="28"/>
    </row>
    <row r="779">
      <c r="A779" s="1044"/>
      <c r="B779" s="1045"/>
      <c r="C779" s="1041"/>
      <c r="D779" s="1045"/>
      <c r="E779" s="1041"/>
      <c r="F779" s="1041"/>
      <c r="G779" s="28"/>
      <c r="H779" s="28"/>
      <c r="I779" s="28"/>
      <c r="J779" s="28"/>
      <c r="K779" s="28"/>
      <c r="L779" s="28"/>
      <c r="M779" s="28"/>
      <c r="N779" s="28"/>
      <c r="O779" s="28"/>
      <c r="P779" s="28"/>
      <c r="Q779" s="28"/>
      <c r="R779" s="28"/>
      <c r="S779" s="28"/>
      <c r="T779" s="28"/>
      <c r="U779" s="28"/>
      <c r="V779" s="28"/>
      <c r="W779" s="28"/>
      <c r="X779" s="28"/>
      <c r="Y779" s="28"/>
      <c r="Z779" s="28"/>
    </row>
    <row r="780">
      <c r="A780" s="1044"/>
      <c r="B780" s="1045"/>
      <c r="C780" s="1041"/>
      <c r="D780" s="1045"/>
      <c r="E780" s="1041"/>
      <c r="F780" s="1041"/>
      <c r="G780" s="28"/>
      <c r="H780" s="28"/>
      <c r="I780" s="28"/>
      <c r="J780" s="28"/>
      <c r="K780" s="28"/>
      <c r="L780" s="28"/>
      <c r="M780" s="28"/>
      <c r="N780" s="28"/>
      <c r="O780" s="28"/>
      <c r="P780" s="28"/>
      <c r="Q780" s="28"/>
      <c r="R780" s="28"/>
      <c r="S780" s="28"/>
      <c r="T780" s="28"/>
      <c r="U780" s="28"/>
      <c r="V780" s="28"/>
      <c r="W780" s="28"/>
      <c r="X780" s="28"/>
      <c r="Y780" s="28"/>
      <c r="Z780" s="28"/>
    </row>
    <row r="781">
      <c r="A781" s="1044"/>
      <c r="B781" s="1045"/>
      <c r="C781" s="1041"/>
      <c r="D781" s="1045"/>
      <c r="E781" s="1041"/>
      <c r="F781" s="1041"/>
      <c r="G781" s="28"/>
      <c r="H781" s="28"/>
      <c r="I781" s="28"/>
      <c r="J781" s="28"/>
      <c r="K781" s="28"/>
      <c r="L781" s="28"/>
      <c r="M781" s="28"/>
      <c r="N781" s="28"/>
      <c r="O781" s="28"/>
      <c r="P781" s="28"/>
      <c r="Q781" s="28"/>
      <c r="R781" s="28"/>
      <c r="S781" s="28"/>
      <c r="T781" s="28"/>
      <c r="U781" s="28"/>
      <c r="V781" s="28"/>
      <c r="W781" s="28"/>
      <c r="X781" s="28"/>
      <c r="Y781" s="28"/>
      <c r="Z781" s="28"/>
    </row>
    <row r="782">
      <c r="A782" s="1044"/>
      <c r="B782" s="1045"/>
      <c r="C782" s="1041"/>
      <c r="D782" s="1045"/>
      <c r="E782" s="1041"/>
      <c r="F782" s="1041"/>
      <c r="G782" s="28"/>
      <c r="H782" s="28"/>
      <c r="I782" s="28"/>
      <c r="J782" s="28"/>
      <c r="K782" s="28"/>
      <c r="L782" s="28"/>
      <c r="M782" s="28"/>
      <c r="N782" s="28"/>
      <c r="O782" s="28"/>
      <c r="P782" s="28"/>
      <c r="Q782" s="28"/>
      <c r="R782" s="28"/>
      <c r="S782" s="28"/>
      <c r="T782" s="28"/>
      <c r="U782" s="28"/>
      <c r="V782" s="28"/>
      <c r="W782" s="28"/>
      <c r="X782" s="28"/>
      <c r="Y782" s="28"/>
      <c r="Z782" s="28"/>
    </row>
    <row r="783">
      <c r="A783" s="1044"/>
      <c r="B783" s="1045"/>
      <c r="C783" s="1041"/>
      <c r="D783" s="1045"/>
      <c r="E783" s="1041"/>
      <c r="F783" s="1041"/>
      <c r="G783" s="28"/>
      <c r="H783" s="28"/>
      <c r="I783" s="28"/>
      <c r="J783" s="28"/>
      <c r="K783" s="28"/>
      <c r="L783" s="28"/>
      <c r="M783" s="28"/>
      <c r="N783" s="28"/>
      <c r="O783" s="28"/>
      <c r="P783" s="28"/>
      <c r="Q783" s="28"/>
      <c r="R783" s="28"/>
      <c r="S783" s="28"/>
      <c r="T783" s="28"/>
      <c r="U783" s="28"/>
      <c r="V783" s="28"/>
      <c r="W783" s="28"/>
      <c r="X783" s="28"/>
      <c r="Y783" s="28"/>
      <c r="Z783" s="28"/>
    </row>
    <row r="784">
      <c r="A784" s="1044"/>
      <c r="B784" s="1045"/>
      <c r="C784" s="1041"/>
      <c r="D784" s="1045"/>
      <c r="E784" s="1041"/>
      <c r="F784" s="1041"/>
      <c r="G784" s="28"/>
      <c r="H784" s="28"/>
      <c r="I784" s="28"/>
      <c r="J784" s="28"/>
      <c r="K784" s="28"/>
      <c r="L784" s="28"/>
      <c r="M784" s="28"/>
      <c r="N784" s="28"/>
      <c r="O784" s="28"/>
      <c r="P784" s="28"/>
      <c r="Q784" s="28"/>
      <c r="R784" s="28"/>
      <c r="S784" s="28"/>
      <c r="T784" s="28"/>
      <c r="U784" s="28"/>
      <c r="V784" s="28"/>
      <c r="W784" s="28"/>
      <c r="X784" s="28"/>
      <c r="Y784" s="28"/>
      <c r="Z784" s="28"/>
    </row>
    <row r="785">
      <c r="A785" s="1044"/>
      <c r="B785" s="1045"/>
      <c r="C785" s="1041"/>
      <c r="D785" s="1045"/>
      <c r="E785" s="1041"/>
      <c r="F785" s="1041"/>
      <c r="G785" s="28"/>
      <c r="H785" s="28"/>
      <c r="I785" s="28"/>
      <c r="J785" s="28"/>
      <c r="K785" s="28"/>
      <c r="L785" s="28"/>
      <c r="M785" s="28"/>
      <c r="N785" s="28"/>
      <c r="O785" s="28"/>
      <c r="P785" s="28"/>
      <c r="Q785" s="28"/>
      <c r="R785" s="28"/>
      <c r="S785" s="28"/>
      <c r="T785" s="28"/>
      <c r="U785" s="28"/>
      <c r="V785" s="28"/>
      <c r="W785" s="28"/>
      <c r="X785" s="28"/>
      <c r="Y785" s="28"/>
      <c r="Z785" s="28"/>
    </row>
    <row r="786">
      <c r="A786" s="1044"/>
      <c r="B786" s="1045"/>
      <c r="C786" s="1041"/>
      <c r="D786" s="1045"/>
      <c r="E786" s="1041"/>
      <c r="F786" s="1041"/>
      <c r="G786" s="28"/>
      <c r="H786" s="28"/>
      <c r="I786" s="28"/>
      <c r="J786" s="28"/>
      <c r="K786" s="28"/>
      <c r="L786" s="28"/>
      <c r="M786" s="28"/>
      <c r="N786" s="28"/>
      <c r="O786" s="28"/>
      <c r="P786" s="28"/>
      <c r="Q786" s="28"/>
      <c r="R786" s="28"/>
      <c r="S786" s="28"/>
      <c r="T786" s="28"/>
      <c r="U786" s="28"/>
      <c r="V786" s="28"/>
      <c r="W786" s="28"/>
      <c r="X786" s="28"/>
      <c r="Y786" s="28"/>
      <c r="Z786" s="28"/>
    </row>
    <row r="787">
      <c r="A787" s="1044"/>
      <c r="B787" s="1045"/>
      <c r="C787" s="1041"/>
      <c r="D787" s="1045"/>
      <c r="E787" s="1041"/>
      <c r="F787" s="1041"/>
      <c r="G787" s="28"/>
      <c r="H787" s="28"/>
      <c r="I787" s="28"/>
      <c r="J787" s="28"/>
      <c r="K787" s="28"/>
      <c r="L787" s="28"/>
      <c r="M787" s="28"/>
      <c r="N787" s="28"/>
      <c r="O787" s="28"/>
      <c r="P787" s="28"/>
      <c r="Q787" s="28"/>
      <c r="R787" s="28"/>
      <c r="S787" s="28"/>
      <c r="T787" s="28"/>
      <c r="U787" s="28"/>
      <c r="V787" s="28"/>
      <c r="W787" s="28"/>
      <c r="X787" s="28"/>
      <c r="Y787" s="28"/>
      <c r="Z787" s="28"/>
    </row>
    <row r="788">
      <c r="A788" s="1044"/>
      <c r="B788" s="1045"/>
      <c r="C788" s="1041"/>
      <c r="D788" s="1045"/>
      <c r="E788" s="1041"/>
      <c r="F788" s="1041"/>
      <c r="G788" s="28"/>
      <c r="H788" s="28"/>
      <c r="I788" s="28"/>
      <c r="J788" s="28"/>
      <c r="K788" s="28"/>
      <c r="L788" s="28"/>
      <c r="M788" s="28"/>
      <c r="N788" s="28"/>
      <c r="O788" s="28"/>
      <c r="P788" s="28"/>
      <c r="Q788" s="28"/>
      <c r="R788" s="28"/>
      <c r="S788" s="28"/>
      <c r="T788" s="28"/>
      <c r="U788" s="28"/>
      <c r="V788" s="28"/>
      <c r="W788" s="28"/>
      <c r="X788" s="28"/>
      <c r="Y788" s="28"/>
      <c r="Z788" s="28"/>
    </row>
    <row r="789">
      <c r="A789" s="1044"/>
      <c r="B789" s="1045"/>
      <c r="C789" s="1041"/>
      <c r="D789" s="1045"/>
      <c r="E789" s="1041"/>
      <c r="F789" s="1041"/>
      <c r="G789" s="28"/>
      <c r="H789" s="28"/>
      <c r="I789" s="28"/>
      <c r="J789" s="28"/>
      <c r="K789" s="28"/>
      <c r="L789" s="28"/>
      <c r="M789" s="28"/>
      <c r="N789" s="28"/>
      <c r="O789" s="28"/>
      <c r="P789" s="28"/>
      <c r="Q789" s="28"/>
      <c r="R789" s="28"/>
      <c r="S789" s="28"/>
      <c r="T789" s="28"/>
      <c r="U789" s="28"/>
      <c r="V789" s="28"/>
      <c r="W789" s="28"/>
      <c r="X789" s="28"/>
      <c r="Y789" s="28"/>
      <c r="Z789" s="28"/>
    </row>
    <row r="790">
      <c r="A790" s="1044"/>
      <c r="B790" s="1045"/>
      <c r="C790" s="1041"/>
      <c r="D790" s="1045"/>
      <c r="E790" s="1041"/>
      <c r="F790" s="1041"/>
      <c r="G790" s="28"/>
      <c r="H790" s="28"/>
      <c r="I790" s="28"/>
      <c r="J790" s="28"/>
      <c r="K790" s="28"/>
      <c r="L790" s="28"/>
      <c r="M790" s="28"/>
      <c r="N790" s="28"/>
      <c r="O790" s="28"/>
      <c r="P790" s="28"/>
      <c r="Q790" s="28"/>
      <c r="R790" s="28"/>
      <c r="S790" s="28"/>
      <c r="T790" s="28"/>
      <c r="U790" s="28"/>
      <c r="V790" s="28"/>
      <c r="W790" s="28"/>
      <c r="X790" s="28"/>
      <c r="Y790" s="28"/>
      <c r="Z790" s="28"/>
    </row>
    <row r="791">
      <c r="A791" s="1044"/>
      <c r="B791" s="1045"/>
      <c r="C791" s="1041"/>
      <c r="D791" s="1045"/>
      <c r="E791" s="1041"/>
      <c r="F791" s="1041"/>
      <c r="G791" s="28"/>
      <c r="H791" s="28"/>
      <c r="I791" s="28"/>
      <c r="J791" s="28"/>
      <c r="K791" s="28"/>
      <c r="L791" s="28"/>
      <c r="M791" s="28"/>
      <c r="N791" s="28"/>
      <c r="O791" s="28"/>
      <c r="P791" s="28"/>
      <c r="Q791" s="28"/>
      <c r="R791" s="28"/>
      <c r="S791" s="28"/>
      <c r="T791" s="28"/>
      <c r="U791" s="28"/>
      <c r="V791" s="28"/>
      <c r="W791" s="28"/>
      <c r="X791" s="28"/>
      <c r="Y791" s="28"/>
      <c r="Z791" s="28"/>
    </row>
    <row r="792">
      <c r="A792" s="1044"/>
      <c r="B792" s="1045"/>
      <c r="C792" s="1041"/>
      <c r="D792" s="1045"/>
      <c r="E792" s="1041"/>
      <c r="F792" s="1041"/>
      <c r="G792" s="28"/>
      <c r="H792" s="28"/>
      <c r="I792" s="28"/>
      <c r="J792" s="28"/>
      <c r="K792" s="28"/>
      <c r="L792" s="28"/>
      <c r="M792" s="28"/>
      <c r="N792" s="28"/>
      <c r="O792" s="28"/>
      <c r="P792" s="28"/>
      <c r="Q792" s="28"/>
      <c r="R792" s="28"/>
      <c r="S792" s="28"/>
      <c r="T792" s="28"/>
      <c r="U792" s="28"/>
      <c r="V792" s="28"/>
      <c r="W792" s="28"/>
      <c r="X792" s="28"/>
      <c r="Y792" s="28"/>
      <c r="Z792" s="28"/>
    </row>
    <row r="793">
      <c r="A793" s="1044"/>
      <c r="B793" s="1045"/>
      <c r="C793" s="1041"/>
      <c r="D793" s="1045"/>
      <c r="E793" s="1041"/>
      <c r="F793" s="1041"/>
      <c r="G793" s="28"/>
      <c r="H793" s="28"/>
      <c r="I793" s="28"/>
      <c r="J793" s="28"/>
      <c r="K793" s="28"/>
      <c r="L793" s="28"/>
      <c r="M793" s="28"/>
      <c r="N793" s="28"/>
      <c r="O793" s="28"/>
      <c r="P793" s="28"/>
      <c r="Q793" s="28"/>
      <c r="R793" s="28"/>
      <c r="S793" s="28"/>
      <c r="T793" s="28"/>
      <c r="U793" s="28"/>
      <c r="V793" s="28"/>
      <c r="W793" s="28"/>
      <c r="X793" s="28"/>
      <c r="Y793" s="28"/>
      <c r="Z793" s="28"/>
    </row>
    <row r="794">
      <c r="A794" s="1044"/>
      <c r="B794" s="1045"/>
      <c r="C794" s="1041"/>
      <c r="D794" s="1045"/>
      <c r="E794" s="1041"/>
      <c r="F794" s="1041"/>
      <c r="G794" s="28"/>
      <c r="H794" s="28"/>
      <c r="I794" s="28"/>
      <c r="J794" s="28"/>
      <c r="K794" s="28"/>
      <c r="L794" s="28"/>
      <c r="M794" s="28"/>
      <c r="N794" s="28"/>
      <c r="O794" s="28"/>
      <c r="P794" s="28"/>
      <c r="Q794" s="28"/>
      <c r="R794" s="28"/>
      <c r="S794" s="28"/>
      <c r="T794" s="28"/>
      <c r="U794" s="28"/>
      <c r="V794" s="28"/>
      <c r="W794" s="28"/>
      <c r="X794" s="28"/>
      <c r="Y794" s="28"/>
      <c r="Z794" s="28"/>
    </row>
    <row r="795">
      <c r="A795" s="1044"/>
      <c r="B795" s="1045"/>
      <c r="C795" s="1041"/>
      <c r="D795" s="1045"/>
      <c r="E795" s="1041"/>
      <c r="F795" s="1041"/>
      <c r="G795" s="28"/>
      <c r="H795" s="28"/>
      <c r="I795" s="28"/>
      <c r="J795" s="28"/>
      <c r="K795" s="28"/>
      <c r="L795" s="28"/>
      <c r="M795" s="28"/>
      <c r="N795" s="28"/>
      <c r="O795" s="28"/>
      <c r="P795" s="28"/>
      <c r="Q795" s="28"/>
      <c r="R795" s="28"/>
      <c r="S795" s="28"/>
      <c r="T795" s="28"/>
      <c r="U795" s="28"/>
      <c r="V795" s="28"/>
      <c r="W795" s="28"/>
      <c r="X795" s="28"/>
      <c r="Y795" s="28"/>
      <c r="Z795" s="28"/>
    </row>
    <row r="796">
      <c r="A796" s="1044"/>
      <c r="B796" s="1045"/>
      <c r="C796" s="1041"/>
      <c r="D796" s="1045"/>
      <c r="E796" s="1041"/>
      <c r="F796" s="1041"/>
      <c r="G796" s="28"/>
      <c r="H796" s="28"/>
      <c r="I796" s="28"/>
      <c r="J796" s="28"/>
      <c r="K796" s="28"/>
      <c r="L796" s="28"/>
      <c r="M796" s="28"/>
      <c r="N796" s="28"/>
      <c r="O796" s="28"/>
      <c r="P796" s="28"/>
      <c r="Q796" s="28"/>
      <c r="R796" s="28"/>
      <c r="S796" s="28"/>
      <c r="T796" s="28"/>
      <c r="U796" s="28"/>
      <c r="V796" s="28"/>
      <c r="W796" s="28"/>
      <c r="X796" s="28"/>
      <c r="Y796" s="28"/>
      <c r="Z796" s="28"/>
    </row>
    <row r="797">
      <c r="A797" s="1044"/>
      <c r="B797" s="1045"/>
      <c r="C797" s="1041"/>
      <c r="D797" s="1045"/>
      <c r="E797" s="1041"/>
      <c r="F797" s="1041"/>
      <c r="G797" s="28"/>
      <c r="H797" s="28"/>
      <c r="I797" s="28"/>
      <c r="J797" s="28"/>
      <c r="K797" s="28"/>
      <c r="L797" s="28"/>
      <c r="M797" s="28"/>
      <c r="N797" s="28"/>
      <c r="O797" s="28"/>
      <c r="P797" s="28"/>
      <c r="Q797" s="28"/>
      <c r="R797" s="28"/>
      <c r="S797" s="28"/>
      <c r="T797" s="28"/>
      <c r="U797" s="28"/>
      <c r="V797" s="28"/>
      <c r="W797" s="28"/>
      <c r="X797" s="28"/>
      <c r="Y797" s="28"/>
      <c r="Z797" s="28"/>
    </row>
    <row r="798">
      <c r="A798" s="1044"/>
      <c r="B798" s="1045"/>
      <c r="C798" s="1041"/>
      <c r="D798" s="1045"/>
      <c r="E798" s="1041"/>
      <c r="F798" s="1041"/>
      <c r="G798" s="28"/>
      <c r="H798" s="28"/>
      <c r="I798" s="28"/>
      <c r="J798" s="28"/>
      <c r="K798" s="28"/>
      <c r="L798" s="28"/>
      <c r="M798" s="28"/>
      <c r="N798" s="28"/>
      <c r="O798" s="28"/>
      <c r="P798" s="28"/>
      <c r="Q798" s="28"/>
      <c r="R798" s="28"/>
      <c r="S798" s="28"/>
      <c r="T798" s="28"/>
      <c r="U798" s="28"/>
      <c r="V798" s="28"/>
      <c r="W798" s="28"/>
      <c r="X798" s="28"/>
      <c r="Y798" s="28"/>
      <c r="Z798" s="28"/>
    </row>
    <row r="799">
      <c r="A799" s="1044"/>
      <c r="B799" s="1045"/>
      <c r="C799" s="1041"/>
      <c r="D799" s="1045"/>
      <c r="E799" s="1041"/>
      <c r="F799" s="1041"/>
      <c r="G799" s="28"/>
      <c r="H799" s="28"/>
      <c r="I799" s="28"/>
      <c r="J799" s="28"/>
      <c r="K799" s="28"/>
      <c r="L799" s="28"/>
      <c r="M799" s="28"/>
      <c r="N799" s="28"/>
      <c r="O799" s="28"/>
      <c r="P799" s="28"/>
      <c r="Q799" s="28"/>
      <c r="R799" s="28"/>
      <c r="S799" s="28"/>
      <c r="T799" s="28"/>
      <c r="U799" s="28"/>
      <c r="V799" s="28"/>
      <c r="W799" s="28"/>
      <c r="X799" s="28"/>
      <c r="Y799" s="28"/>
      <c r="Z799" s="28"/>
    </row>
    <row r="800">
      <c r="A800" s="1044"/>
      <c r="B800" s="1045"/>
      <c r="C800" s="1041"/>
      <c r="D800" s="1045"/>
      <c r="E800" s="1041"/>
      <c r="F800" s="1041"/>
      <c r="G800" s="28"/>
      <c r="H800" s="28"/>
      <c r="I800" s="28"/>
      <c r="J800" s="28"/>
      <c r="K800" s="28"/>
      <c r="L800" s="28"/>
      <c r="M800" s="28"/>
      <c r="N800" s="28"/>
      <c r="O800" s="28"/>
      <c r="P800" s="28"/>
      <c r="Q800" s="28"/>
      <c r="R800" s="28"/>
      <c r="S800" s="28"/>
      <c r="T800" s="28"/>
      <c r="U800" s="28"/>
      <c r="V800" s="28"/>
      <c r="W800" s="28"/>
      <c r="X800" s="28"/>
      <c r="Y800" s="28"/>
      <c r="Z800" s="28"/>
    </row>
    <row r="801">
      <c r="A801" s="1044"/>
      <c r="B801" s="1045"/>
      <c r="C801" s="1041"/>
      <c r="D801" s="1045"/>
      <c r="E801" s="1041"/>
      <c r="F801" s="1041"/>
      <c r="G801" s="28"/>
      <c r="H801" s="28"/>
      <c r="I801" s="28"/>
      <c r="J801" s="28"/>
      <c r="K801" s="28"/>
      <c r="L801" s="28"/>
      <c r="M801" s="28"/>
      <c r="N801" s="28"/>
      <c r="O801" s="28"/>
      <c r="P801" s="28"/>
      <c r="Q801" s="28"/>
      <c r="R801" s="28"/>
      <c r="S801" s="28"/>
      <c r="T801" s="28"/>
      <c r="U801" s="28"/>
      <c r="V801" s="28"/>
      <c r="W801" s="28"/>
      <c r="X801" s="28"/>
      <c r="Y801" s="28"/>
      <c r="Z801" s="28"/>
    </row>
    <row r="802">
      <c r="A802" s="1044"/>
      <c r="B802" s="1045"/>
      <c r="C802" s="1041"/>
      <c r="D802" s="1045"/>
      <c r="E802" s="1041"/>
      <c r="F802" s="1041"/>
      <c r="G802" s="28"/>
      <c r="H802" s="28"/>
      <c r="I802" s="28"/>
      <c r="J802" s="28"/>
      <c r="K802" s="28"/>
      <c r="L802" s="28"/>
      <c r="M802" s="28"/>
      <c r="N802" s="28"/>
      <c r="O802" s="28"/>
      <c r="P802" s="28"/>
      <c r="Q802" s="28"/>
      <c r="R802" s="28"/>
      <c r="S802" s="28"/>
      <c r="T802" s="28"/>
      <c r="U802" s="28"/>
      <c r="V802" s="28"/>
      <c r="W802" s="28"/>
      <c r="X802" s="28"/>
      <c r="Y802" s="28"/>
      <c r="Z802" s="28"/>
    </row>
    <row r="803">
      <c r="A803" s="1044"/>
      <c r="B803" s="1045"/>
      <c r="C803" s="1041"/>
      <c r="D803" s="1045"/>
      <c r="E803" s="1041"/>
      <c r="F803" s="1041"/>
      <c r="G803" s="28"/>
      <c r="H803" s="28"/>
      <c r="I803" s="28"/>
      <c r="J803" s="28"/>
      <c r="K803" s="28"/>
      <c r="L803" s="28"/>
      <c r="M803" s="28"/>
      <c r="N803" s="28"/>
      <c r="O803" s="28"/>
      <c r="P803" s="28"/>
      <c r="Q803" s="28"/>
      <c r="R803" s="28"/>
      <c r="S803" s="28"/>
      <c r="T803" s="28"/>
      <c r="U803" s="28"/>
      <c r="V803" s="28"/>
      <c r="W803" s="28"/>
      <c r="X803" s="28"/>
      <c r="Y803" s="28"/>
      <c r="Z803" s="28"/>
    </row>
    <row r="804">
      <c r="A804" s="1044"/>
      <c r="B804" s="1045"/>
      <c r="C804" s="1041"/>
      <c r="D804" s="1045"/>
      <c r="E804" s="1041"/>
      <c r="F804" s="1041"/>
      <c r="G804" s="28"/>
      <c r="H804" s="28"/>
      <c r="I804" s="28"/>
      <c r="J804" s="28"/>
      <c r="K804" s="28"/>
      <c r="L804" s="28"/>
      <c r="M804" s="28"/>
      <c r="N804" s="28"/>
      <c r="O804" s="28"/>
      <c r="P804" s="28"/>
      <c r="Q804" s="28"/>
      <c r="R804" s="28"/>
      <c r="S804" s="28"/>
      <c r="T804" s="28"/>
      <c r="U804" s="28"/>
      <c r="V804" s="28"/>
      <c r="W804" s="28"/>
      <c r="X804" s="28"/>
      <c r="Y804" s="28"/>
      <c r="Z804" s="28"/>
    </row>
    <row r="805">
      <c r="A805" s="1044"/>
      <c r="B805" s="1045"/>
      <c r="C805" s="1041"/>
      <c r="D805" s="1045"/>
      <c r="E805" s="1041"/>
      <c r="F805" s="1041"/>
      <c r="G805" s="28"/>
      <c r="H805" s="28"/>
      <c r="I805" s="28"/>
      <c r="J805" s="28"/>
      <c r="K805" s="28"/>
      <c r="L805" s="28"/>
      <c r="M805" s="28"/>
      <c r="N805" s="28"/>
      <c r="O805" s="28"/>
      <c r="P805" s="28"/>
      <c r="Q805" s="28"/>
      <c r="R805" s="28"/>
      <c r="S805" s="28"/>
      <c r="T805" s="28"/>
      <c r="U805" s="28"/>
      <c r="V805" s="28"/>
      <c r="W805" s="28"/>
      <c r="X805" s="28"/>
      <c r="Y805" s="28"/>
      <c r="Z805" s="28"/>
    </row>
    <row r="806">
      <c r="A806" s="1044"/>
      <c r="B806" s="1045"/>
      <c r="C806" s="1041"/>
      <c r="D806" s="1045"/>
      <c r="E806" s="1041"/>
      <c r="F806" s="1041"/>
      <c r="G806" s="28"/>
      <c r="H806" s="28"/>
      <c r="I806" s="28"/>
      <c r="J806" s="28"/>
      <c r="K806" s="28"/>
      <c r="L806" s="28"/>
      <c r="M806" s="28"/>
      <c r="N806" s="28"/>
      <c r="O806" s="28"/>
      <c r="P806" s="28"/>
      <c r="Q806" s="28"/>
      <c r="R806" s="28"/>
      <c r="S806" s="28"/>
      <c r="T806" s="28"/>
      <c r="U806" s="28"/>
      <c r="V806" s="28"/>
      <c r="W806" s="28"/>
      <c r="X806" s="28"/>
      <c r="Y806" s="28"/>
      <c r="Z806" s="28"/>
    </row>
    <row r="807">
      <c r="A807" s="1044"/>
      <c r="B807" s="1045"/>
      <c r="C807" s="1041"/>
      <c r="D807" s="1045"/>
      <c r="E807" s="1041"/>
      <c r="F807" s="1041"/>
      <c r="G807" s="28"/>
      <c r="H807" s="28"/>
      <c r="I807" s="28"/>
      <c r="J807" s="28"/>
      <c r="K807" s="28"/>
      <c r="L807" s="28"/>
      <c r="M807" s="28"/>
      <c r="N807" s="28"/>
      <c r="O807" s="28"/>
      <c r="P807" s="28"/>
      <c r="Q807" s="28"/>
      <c r="R807" s="28"/>
      <c r="S807" s="28"/>
      <c r="T807" s="28"/>
      <c r="U807" s="28"/>
      <c r="V807" s="28"/>
      <c r="W807" s="28"/>
      <c r="X807" s="28"/>
      <c r="Y807" s="28"/>
      <c r="Z807" s="28"/>
    </row>
    <row r="808">
      <c r="A808" s="1044"/>
      <c r="B808" s="1045"/>
      <c r="C808" s="1041"/>
      <c r="D808" s="1045"/>
      <c r="E808" s="1041"/>
      <c r="F808" s="1041"/>
      <c r="G808" s="28"/>
      <c r="H808" s="28"/>
      <c r="I808" s="28"/>
      <c r="J808" s="28"/>
      <c r="K808" s="28"/>
      <c r="L808" s="28"/>
      <c r="M808" s="28"/>
      <c r="N808" s="28"/>
      <c r="O808" s="28"/>
      <c r="P808" s="28"/>
      <c r="Q808" s="28"/>
      <c r="R808" s="28"/>
      <c r="S808" s="28"/>
      <c r="T808" s="28"/>
      <c r="U808" s="28"/>
      <c r="V808" s="28"/>
      <c r="W808" s="28"/>
      <c r="X808" s="28"/>
      <c r="Y808" s="28"/>
      <c r="Z808" s="28"/>
    </row>
    <row r="809">
      <c r="A809" s="1044"/>
      <c r="B809" s="1045"/>
      <c r="C809" s="1041"/>
      <c r="D809" s="1045"/>
      <c r="E809" s="1041"/>
      <c r="F809" s="1041"/>
      <c r="G809" s="28"/>
      <c r="H809" s="28"/>
      <c r="I809" s="28"/>
      <c r="J809" s="28"/>
      <c r="K809" s="28"/>
      <c r="L809" s="28"/>
      <c r="M809" s="28"/>
      <c r="N809" s="28"/>
      <c r="O809" s="28"/>
      <c r="P809" s="28"/>
      <c r="Q809" s="28"/>
      <c r="R809" s="28"/>
      <c r="S809" s="28"/>
      <c r="T809" s="28"/>
      <c r="U809" s="28"/>
      <c r="V809" s="28"/>
      <c r="W809" s="28"/>
      <c r="X809" s="28"/>
      <c r="Y809" s="28"/>
      <c r="Z809" s="28"/>
    </row>
    <row r="810">
      <c r="A810" s="1044"/>
      <c r="B810" s="1045"/>
      <c r="C810" s="1041"/>
      <c r="D810" s="1045"/>
      <c r="E810" s="1041"/>
      <c r="F810" s="1041"/>
      <c r="G810" s="28"/>
      <c r="H810" s="28"/>
      <c r="I810" s="28"/>
      <c r="J810" s="28"/>
      <c r="K810" s="28"/>
      <c r="L810" s="28"/>
      <c r="M810" s="28"/>
      <c r="N810" s="28"/>
      <c r="O810" s="28"/>
      <c r="P810" s="28"/>
      <c r="Q810" s="28"/>
      <c r="R810" s="28"/>
      <c r="S810" s="28"/>
      <c r="T810" s="28"/>
      <c r="U810" s="28"/>
      <c r="V810" s="28"/>
      <c r="W810" s="28"/>
      <c r="X810" s="28"/>
      <c r="Y810" s="28"/>
      <c r="Z810" s="28"/>
    </row>
    <row r="811">
      <c r="A811" s="1044"/>
      <c r="B811" s="1045"/>
      <c r="C811" s="1041"/>
      <c r="D811" s="1045"/>
      <c r="E811" s="1041"/>
      <c r="F811" s="1041"/>
      <c r="G811" s="28"/>
      <c r="H811" s="28"/>
      <c r="I811" s="28"/>
      <c r="J811" s="28"/>
      <c r="K811" s="28"/>
      <c r="L811" s="28"/>
      <c r="M811" s="28"/>
      <c r="N811" s="28"/>
      <c r="O811" s="28"/>
      <c r="P811" s="28"/>
      <c r="Q811" s="28"/>
      <c r="R811" s="28"/>
      <c r="S811" s="28"/>
      <c r="T811" s="28"/>
      <c r="U811" s="28"/>
      <c r="V811" s="28"/>
      <c r="W811" s="28"/>
      <c r="X811" s="28"/>
      <c r="Y811" s="28"/>
      <c r="Z811" s="28"/>
    </row>
    <row r="812">
      <c r="A812" s="1044"/>
      <c r="B812" s="1045"/>
      <c r="C812" s="1041"/>
      <c r="D812" s="1045"/>
      <c r="E812" s="1041"/>
      <c r="F812" s="1041"/>
      <c r="G812" s="28"/>
      <c r="H812" s="28"/>
      <c r="I812" s="28"/>
      <c r="J812" s="28"/>
      <c r="K812" s="28"/>
      <c r="L812" s="28"/>
      <c r="M812" s="28"/>
      <c r="N812" s="28"/>
      <c r="O812" s="28"/>
      <c r="P812" s="28"/>
      <c r="Q812" s="28"/>
      <c r="R812" s="28"/>
      <c r="S812" s="28"/>
      <c r="T812" s="28"/>
      <c r="U812" s="28"/>
      <c r="V812" s="28"/>
      <c r="W812" s="28"/>
      <c r="X812" s="28"/>
      <c r="Y812" s="28"/>
      <c r="Z812" s="28"/>
    </row>
    <row r="813">
      <c r="A813" s="1044"/>
      <c r="B813" s="1045"/>
      <c r="C813" s="1041"/>
      <c r="D813" s="1045"/>
      <c r="E813" s="1041"/>
      <c r="F813" s="1041"/>
      <c r="G813" s="28"/>
      <c r="H813" s="28"/>
      <c r="I813" s="28"/>
      <c r="J813" s="28"/>
      <c r="K813" s="28"/>
      <c r="L813" s="28"/>
      <c r="M813" s="28"/>
      <c r="N813" s="28"/>
      <c r="O813" s="28"/>
      <c r="P813" s="28"/>
      <c r="Q813" s="28"/>
      <c r="R813" s="28"/>
      <c r="S813" s="28"/>
      <c r="T813" s="28"/>
      <c r="U813" s="28"/>
      <c r="V813" s="28"/>
      <c r="W813" s="28"/>
      <c r="X813" s="28"/>
      <c r="Y813" s="28"/>
      <c r="Z813" s="28"/>
    </row>
    <row r="814">
      <c r="A814" s="1044"/>
      <c r="B814" s="1045"/>
      <c r="C814" s="1041"/>
      <c r="D814" s="1045"/>
      <c r="E814" s="1041"/>
      <c r="F814" s="1041"/>
      <c r="G814" s="28"/>
      <c r="H814" s="28"/>
      <c r="I814" s="28"/>
      <c r="J814" s="28"/>
      <c r="K814" s="28"/>
      <c r="L814" s="28"/>
      <c r="M814" s="28"/>
      <c r="N814" s="28"/>
      <c r="O814" s="28"/>
      <c r="P814" s="28"/>
      <c r="Q814" s="28"/>
      <c r="R814" s="28"/>
      <c r="S814" s="28"/>
      <c r="T814" s="28"/>
      <c r="U814" s="28"/>
      <c r="V814" s="28"/>
      <c r="W814" s="28"/>
      <c r="X814" s="28"/>
      <c r="Y814" s="28"/>
      <c r="Z814" s="28"/>
    </row>
    <row r="815">
      <c r="A815" s="1044"/>
      <c r="B815" s="1045"/>
      <c r="C815" s="1041"/>
      <c r="D815" s="1045"/>
      <c r="E815" s="1041"/>
      <c r="F815" s="1041"/>
      <c r="G815" s="28"/>
      <c r="H815" s="28"/>
      <c r="I815" s="28"/>
      <c r="J815" s="28"/>
      <c r="K815" s="28"/>
      <c r="L815" s="28"/>
      <c r="M815" s="28"/>
      <c r="N815" s="28"/>
      <c r="O815" s="28"/>
      <c r="P815" s="28"/>
      <c r="Q815" s="28"/>
      <c r="R815" s="28"/>
      <c r="S815" s="28"/>
      <c r="T815" s="28"/>
      <c r="U815" s="28"/>
      <c r="V815" s="28"/>
      <c r="W815" s="28"/>
      <c r="X815" s="28"/>
      <c r="Y815" s="28"/>
      <c r="Z815" s="28"/>
    </row>
    <row r="816">
      <c r="A816" s="1044"/>
      <c r="B816" s="1045"/>
      <c r="C816" s="1041"/>
      <c r="D816" s="1045"/>
      <c r="E816" s="1041"/>
      <c r="F816" s="1041"/>
      <c r="G816" s="28"/>
      <c r="H816" s="28"/>
      <c r="I816" s="28"/>
      <c r="J816" s="28"/>
      <c r="K816" s="28"/>
      <c r="L816" s="28"/>
      <c r="M816" s="28"/>
      <c r="N816" s="28"/>
      <c r="O816" s="28"/>
      <c r="P816" s="28"/>
      <c r="Q816" s="28"/>
      <c r="R816" s="28"/>
      <c r="S816" s="28"/>
      <c r="T816" s="28"/>
      <c r="U816" s="28"/>
      <c r="V816" s="28"/>
      <c r="W816" s="28"/>
      <c r="X816" s="28"/>
      <c r="Y816" s="28"/>
      <c r="Z816" s="28"/>
    </row>
    <row r="817">
      <c r="A817" s="1044"/>
      <c r="B817" s="1045"/>
      <c r="C817" s="1041"/>
      <c r="D817" s="1045"/>
      <c r="E817" s="1041"/>
      <c r="F817" s="1041"/>
      <c r="G817" s="28"/>
      <c r="H817" s="28"/>
      <c r="I817" s="28"/>
      <c r="J817" s="28"/>
      <c r="K817" s="28"/>
      <c r="L817" s="28"/>
      <c r="M817" s="28"/>
      <c r="N817" s="28"/>
      <c r="O817" s="28"/>
      <c r="P817" s="28"/>
      <c r="Q817" s="28"/>
      <c r="R817" s="28"/>
      <c r="S817" s="28"/>
      <c r="T817" s="28"/>
      <c r="U817" s="28"/>
      <c r="V817" s="28"/>
      <c r="W817" s="28"/>
      <c r="X817" s="28"/>
      <c r="Y817" s="28"/>
      <c r="Z817" s="28"/>
    </row>
    <row r="818">
      <c r="A818" s="1044"/>
      <c r="B818" s="1045"/>
      <c r="C818" s="1041"/>
      <c r="D818" s="1045"/>
      <c r="E818" s="1041"/>
      <c r="F818" s="1041"/>
      <c r="G818" s="28"/>
      <c r="H818" s="28"/>
      <c r="I818" s="28"/>
      <c r="J818" s="28"/>
      <c r="K818" s="28"/>
      <c r="L818" s="28"/>
      <c r="M818" s="28"/>
      <c r="N818" s="28"/>
      <c r="O818" s="28"/>
      <c r="P818" s="28"/>
      <c r="Q818" s="28"/>
      <c r="R818" s="28"/>
      <c r="S818" s="28"/>
      <c r="T818" s="28"/>
      <c r="U818" s="28"/>
      <c r="V818" s="28"/>
      <c r="W818" s="28"/>
      <c r="X818" s="28"/>
      <c r="Y818" s="28"/>
      <c r="Z818" s="28"/>
    </row>
    <row r="819">
      <c r="A819" s="1044"/>
      <c r="B819" s="1045"/>
      <c r="C819" s="1041"/>
      <c r="D819" s="1045"/>
      <c r="E819" s="1041"/>
      <c r="F819" s="1041"/>
      <c r="G819" s="28"/>
      <c r="H819" s="28"/>
      <c r="I819" s="28"/>
      <c r="J819" s="28"/>
      <c r="K819" s="28"/>
      <c r="L819" s="28"/>
      <c r="M819" s="28"/>
      <c r="N819" s="28"/>
      <c r="O819" s="28"/>
      <c r="P819" s="28"/>
      <c r="Q819" s="28"/>
      <c r="R819" s="28"/>
      <c r="S819" s="28"/>
      <c r="T819" s="28"/>
      <c r="U819" s="28"/>
      <c r="V819" s="28"/>
      <c r="W819" s="28"/>
      <c r="X819" s="28"/>
      <c r="Y819" s="28"/>
      <c r="Z819" s="28"/>
    </row>
    <row r="820">
      <c r="A820" s="1044"/>
      <c r="B820" s="1045"/>
      <c r="C820" s="1041"/>
      <c r="D820" s="1045"/>
      <c r="E820" s="1041"/>
      <c r="F820" s="1041"/>
      <c r="G820" s="28"/>
      <c r="H820" s="28"/>
      <c r="I820" s="28"/>
      <c r="J820" s="28"/>
      <c r="K820" s="28"/>
      <c r="L820" s="28"/>
      <c r="M820" s="28"/>
      <c r="N820" s="28"/>
      <c r="O820" s="28"/>
      <c r="P820" s="28"/>
      <c r="Q820" s="28"/>
      <c r="R820" s="28"/>
      <c r="S820" s="28"/>
      <c r="T820" s="28"/>
      <c r="U820" s="28"/>
      <c r="V820" s="28"/>
      <c r="W820" s="28"/>
      <c r="X820" s="28"/>
      <c r="Y820" s="28"/>
      <c r="Z820" s="28"/>
    </row>
    <row r="821">
      <c r="A821" s="1044"/>
      <c r="B821" s="1045"/>
      <c r="C821" s="1041"/>
      <c r="D821" s="1045"/>
      <c r="E821" s="1041"/>
      <c r="F821" s="1041"/>
      <c r="G821" s="28"/>
      <c r="H821" s="28"/>
      <c r="I821" s="28"/>
      <c r="J821" s="28"/>
      <c r="K821" s="28"/>
      <c r="L821" s="28"/>
      <c r="M821" s="28"/>
      <c r="N821" s="28"/>
      <c r="O821" s="28"/>
      <c r="P821" s="28"/>
      <c r="Q821" s="28"/>
      <c r="R821" s="28"/>
      <c r="S821" s="28"/>
      <c r="T821" s="28"/>
      <c r="U821" s="28"/>
      <c r="V821" s="28"/>
      <c r="W821" s="28"/>
      <c r="X821" s="28"/>
      <c r="Y821" s="28"/>
      <c r="Z821" s="28"/>
    </row>
    <row r="822">
      <c r="A822" s="1044"/>
      <c r="B822" s="1045"/>
      <c r="C822" s="1041"/>
      <c r="D822" s="1045"/>
      <c r="E822" s="1041"/>
      <c r="F822" s="1041"/>
      <c r="G822" s="28"/>
      <c r="H822" s="28"/>
      <c r="I822" s="28"/>
      <c r="J822" s="28"/>
      <c r="K822" s="28"/>
      <c r="L822" s="28"/>
      <c r="M822" s="28"/>
      <c r="N822" s="28"/>
      <c r="O822" s="28"/>
      <c r="P822" s="28"/>
      <c r="Q822" s="28"/>
      <c r="R822" s="28"/>
      <c r="S822" s="28"/>
      <c r="T822" s="28"/>
      <c r="U822" s="28"/>
      <c r="V822" s="28"/>
      <c r="W822" s="28"/>
      <c r="X822" s="28"/>
      <c r="Y822" s="28"/>
      <c r="Z822" s="28"/>
    </row>
    <row r="823">
      <c r="A823" s="1044"/>
      <c r="B823" s="1045"/>
      <c r="C823" s="1041"/>
      <c r="D823" s="1045"/>
      <c r="E823" s="1041"/>
      <c r="F823" s="1041"/>
      <c r="G823" s="28"/>
      <c r="H823" s="28"/>
      <c r="I823" s="28"/>
      <c r="J823" s="28"/>
      <c r="K823" s="28"/>
      <c r="L823" s="28"/>
      <c r="M823" s="28"/>
      <c r="N823" s="28"/>
      <c r="O823" s="28"/>
      <c r="P823" s="28"/>
      <c r="Q823" s="28"/>
      <c r="R823" s="28"/>
      <c r="S823" s="28"/>
      <c r="T823" s="28"/>
      <c r="U823" s="28"/>
      <c r="V823" s="28"/>
      <c r="W823" s="28"/>
      <c r="X823" s="28"/>
      <c r="Y823" s="28"/>
      <c r="Z823" s="28"/>
    </row>
    <row r="824">
      <c r="A824" s="1044"/>
      <c r="B824" s="1045"/>
      <c r="C824" s="1041"/>
      <c r="D824" s="1045"/>
      <c r="E824" s="1041"/>
      <c r="F824" s="1041"/>
      <c r="G824" s="28"/>
      <c r="H824" s="28"/>
      <c r="I824" s="28"/>
      <c r="J824" s="28"/>
      <c r="K824" s="28"/>
      <c r="L824" s="28"/>
      <c r="M824" s="28"/>
      <c r="N824" s="28"/>
      <c r="O824" s="28"/>
      <c r="P824" s="28"/>
      <c r="Q824" s="28"/>
      <c r="R824" s="28"/>
      <c r="S824" s="28"/>
      <c r="T824" s="28"/>
      <c r="U824" s="28"/>
      <c r="V824" s="28"/>
      <c r="W824" s="28"/>
      <c r="X824" s="28"/>
      <c r="Y824" s="28"/>
      <c r="Z824" s="28"/>
    </row>
    <row r="825">
      <c r="A825" s="1044"/>
      <c r="B825" s="1045"/>
      <c r="C825" s="1041"/>
      <c r="D825" s="1045"/>
      <c r="E825" s="1041"/>
      <c r="F825" s="1041"/>
      <c r="G825" s="28"/>
      <c r="H825" s="28"/>
      <c r="I825" s="28"/>
      <c r="J825" s="28"/>
      <c r="K825" s="28"/>
      <c r="L825" s="28"/>
      <c r="M825" s="28"/>
      <c r="N825" s="28"/>
      <c r="O825" s="28"/>
      <c r="P825" s="28"/>
      <c r="Q825" s="28"/>
      <c r="R825" s="28"/>
      <c r="S825" s="28"/>
      <c r="T825" s="28"/>
      <c r="U825" s="28"/>
      <c r="V825" s="28"/>
      <c r="W825" s="28"/>
      <c r="X825" s="28"/>
      <c r="Y825" s="28"/>
      <c r="Z825" s="28"/>
    </row>
    <row r="826">
      <c r="A826" s="1044"/>
      <c r="B826" s="1045"/>
      <c r="C826" s="1041"/>
      <c r="D826" s="1045"/>
      <c r="E826" s="1041"/>
      <c r="F826" s="1041"/>
      <c r="G826" s="28"/>
      <c r="H826" s="28"/>
      <c r="I826" s="28"/>
      <c r="J826" s="28"/>
      <c r="K826" s="28"/>
      <c r="L826" s="28"/>
      <c r="M826" s="28"/>
      <c r="N826" s="28"/>
      <c r="O826" s="28"/>
      <c r="P826" s="28"/>
      <c r="Q826" s="28"/>
      <c r="R826" s="28"/>
      <c r="S826" s="28"/>
      <c r="T826" s="28"/>
      <c r="U826" s="28"/>
      <c r="V826" s="28"/>
      <c r="W826" s="28"/>
      <c r="X826" s="28"/>
      <c r="Y826" s="28"/>
      <c r="Z826" s="28"/>
    </row>
    <row r="827">
      <c r="A827" s="1044"/>
      <c r="B827" s="1045"/>
      <c r="C827" s="1041"/>
      <c r="D827" s="1045"/>
      <c r="E827" s="1041"/>
      <c r="F827" s="1041"/>
      <c r="G827" s="28"/>
      <c r="H827" s="28"/>
      <c r="I827" s="28"/>
      <c r="J827" s="28"/>
      <c r="K827" s="28"/>
      <c r="L827" s="28"/>
      <c r="M827" s="28"/>
      <c r="N827" s="28"/>
      <c r="O827" s="28"/>
      <c r="P827" s="28"/>
      <c r="Q827" s="28"/>
      <c r="R827" s="28"/>
      <c r="S827" s="28"/>
      <c r="T827" s="28"/>
      <c r="U827" s="28"/>
      <c r="V827" s="28"/>
      <c r="W827" s="28"/>
      <c r="X827" s="28"/>
      <c r="Y827" s="28"/>
      <c r="Z827" s="28"/>
    </row>
    <row r="828">
      <c r="A828" s="1044"/>
      <c r="B828" s="1045"/>
      <c r="C828" s="1041"/>
      <c r="D828" s="1045"/>
      <c r="E828" s="1041"/>
      <c r="F828" s="1041"/>
      <c r="G828" s="28"/>
      <c r="H828" s="28"/>
      <c r="I828" s="28"/>
      <c r="J828" s="28"/>
      <c r="K828" s="28"/>
      <c r="L828" s="28"/>
      <c r="M828" s="28"/>
      <c r="N828" s="28"/>
      <c r="O828" s="28"/>
      <c r="P828" s="28"/>
      <c r="Q828" s="28"/>
      <c r="R828" s="28"/>
      <c r="S828" s="28"/>
      <c r="T828" s="28"/>
      <c r="U828" s="28"/>
      <c r="V828" s="28"/>
      <c r="W828" s="28"/>
      <c r="X828" s="28"/>
      <c r="Y828" s="28"/>
      <c r="Z828" s="28"/>
    </row>
    <row r="829">
      <c r="A829" s="1044"/>
      <c r="B829" s="1045"/>
      <c r="C829" s="1041"/>
      <c r="D829" s="1045"/>
      <c r="E829" s="1041"/>
      <c r="F829" s="1041"/>
      <c r="G829" s="28"/>
      <c r="H829" s="28"/>
      <c r="I829" s="28"/>
      <c r="J829" s="28"/>
      <c r="K829" s="28"/>
      <c r="L829" s="28"/>
      <c r="M829" s="28"/>
      <c r="N829" s="28"/>
      <c r="O829" s="28"/>
      <c r="P829" s="28"/>
      <c r="Q829" s="28"/>
      <c r="R829" s="28"/>
      <c r="S829" s="28"/>
      <c r="T829" s="28"/>
      <c r="U829" s="28"/>
      <c r="V829" s="28"/>
      <c r="W829" s="28"/>
      <c r="X829" s="28"/>
      <c r="Y829" s="28"/>
      <c r="Z829" s="28"/>
    </row>
    <row r="830">
      <c r="A830" s="1044"/>
      <c r="B830" s="1045"/>
      <c r="C830" s="1041"/>
      <c r="D830" s="1045"/>
      <c r="E830" s="1041"/>
      <c r="F830" s="1041"/>
      <c r="G830" s="28"/>
      <c r="H830" s="28"/>
      <c r="I830" s="28"/>
      <c r="J830" s="28"/>
      <c r="K830" s="28"/>
      <c r="L830" s="28"/>
      <c r="M830" s="28"/>
      <c r="N830" s="28"/>
      <c r="O830" s="28"/>
      <c r="P830" s="28"/>
      <c r="Q830" s="28"/>
      <c r="R830" s="28"/>
      <c r="S830" s="28"/>
      <c r="T830" s="28"/>
      <c r="U830" s="28"/>
      <c r="V830" s="28"/>
      <c r="W830" s="28"/>
      <c r="X830" s="28"/>
      <c r="Y830" s="28"/>
      <c r="Z830" s="28"/>
    </row>
    <row r="831">
      <c r="A831" s="1044"/>
      <c r="B831" s="1045"/>
      <c r="C831" s="1041"/>
      <c r="D831" s="1045"/>
      <c r="E831" s="1041"/>
      <c r="F831" s="1041"/>
      <c r="G831" s="28"/>
      <c r="H831" s="28"/>
      <c r="I831" s="28"/>
      <c r="J831" s="28"/>
      <c r="K831" s="28"/>
      <c r="L831" s="28"/>
      <c r="M831" s="28"/>
      <c r="N831" s="28"/>
      <c r="O831" s="28"/>
      <c r="P831" s="28"/>
      <c r="Q831" s="28"/>
      <c r="R831" s="28"/>
      <c r="S831" s="28"/>
      <c r="T831" s="28"/>
      <c r="U831" s="28"/>
      <c r="V831" s="28"/>
      <c r="W831" s="28"/>
      <c r="X831" s="28"/>
      <c r="Y831" s="28"/>
      <c r="Z831" s="28"/>
    </row>
    <row r="832">
      <c r="A832" s="1044"/>
      <c r="B832" s="1045"/>
      <c r="C832" s="1041"/>
      <c r="D832" s="1045"/>
      <c r="E832" s="1041"/>
      <c r="F832" s="1041"/>
      <c r="G832" s="28"/>
      <c r="H832" s="28"/>
      <c r="I832" s="28"/>
      <c r="J832" s="28"/>
      <c r="K832" s="28"/>
      <c r="L832" s="28"/>
      <c r="M832" s="28"/>
      <c r="N832" s="28"/>
      <c r="O832" s="28"/>
      <c r="P832" s="28"/>
      <c r="Q832" s="28"/>
      <c r="R832" s="28"/>
      <c r="S832" s="28"/>
      <c r="T832" s="28"/>
      <c r="U832" s="28"/>
      <c r="V832" s="28"/>
      <c r="W832" s="28"/>
      <c r="X832" s="28"/>
      <c r="Y832" s="28"/>
      <c r="Z832" s="28"/>
    </row>
    <row r="833">
      <c r="A833" s="1044"/>
      <c r="B833" s="1045"/>
      <c r="C833" s="1041"/>
      <c r="D833" s="1045"/>
      <c r="E833" s="1041"/>
      <c r="F833" s="1041"/>
      <c r="G833" s="28"/>
      <c r="H833" s="28"/>
      <c r="I833" s="28"/>
      <c r="J833" s="28"/>
      <c r="K833" s="28"/>
      <c r="L833" s="28"/>
      <c r="M833" s="28"/>
      <c r="N833" s="28"/>
      <c r="O833" s="28"/>
      <c r="P833" s="28"/>
      <c r="Q833" s="28"/>
      <c r="R833" s="28"/>
      <c r="S833" s="28"/>
      <c r="T833" s="28"/>
      <c r="U833" s="28"/>
      <c r="V833" s="28"/>
      <c r="W833" s="28"/>
      <c r="X833" s="28"/>
      <c r="Y833" s="28"/>
      <c r="Z833" s="28"/>
    </row>
    <row r="834">
      <c r="A834" s="1044"/>
      <c r="B834" s="1045"/>
      <c r="C834" s="1041"/>
      <c r="D834" s="1045"/>
      <c r="E834" s="1041"/>
      <c r="F834" s="1041"/>
      <c r="G834" s="28"/>
      <c r="H834" s="28"/>
      <c r="I834" s="28"/>
      <c r="J834" s="28"/>
      <c r="K834" s="28"/>
      <c r="L834" s="28"/>
      <c r="M834" s="28"/>
      <c r="N834" s="28"/>
      <c r="O834" s="28"/>
      <c r="P834" s="28"/>
      <c r="Q834" s="28"/>
      <c r="R834" s="28"/>
      <c r="S834" s="28"/>
      <c r="T834" s="28"/>
      <c r="U834" s="28"/>
      <c r="V834" s="28"/>
      <c r="W834" s="28"/>
      <c r="X834" s="28"/>
      <c r="Y834" s="28"/>
      <c r="Z834" s="28"/>
    </row>
    <row r="835">
      <c r="A835" s="1044"/>
      <c r="B835" s="1045"/>
      <c r="C835" s="1041"/>
      <c r="D835" s="1045"/>
      <c r="E835" s="1041"/>
      <c r="F835" s="1041"/>
      <c r="G835" s="28"/>
      <c r="H835" s="28"/>
      <c r="I835" s="28"/>
      <c r="J835" s="28"/>
      <c r="K835" s="28"/>
      <c r="L835" s="28"/>
      <c r="M835" s="28"/>
      <c r="N835" s="28"/>
      <c r="O835" s="28"/>
      <c r="P835" s="28"/>
      <c r="Q835" s="28"/>
      <c r="R835" s="28"/>
      <c r="S835" s="28"/>
      <c r="T835" s="28"/>
      <c r="U835" s="28"/>
      <c r="V835" s="28"/>
      <c r="W835" s="28"/>
      <c r="X835" s="28"/>
      <c r="Y835" s="28"/>
      <c r="Z835" s="28"/>
    </row>
    <row r="836">
      <c r="A836" s="1044"/>
      <c r="B836" s="1045"/>
      <c r="C836" s="1041"/>
      <c r="D836" s="1045"/>
      <c r="E836" s="1041"/>
      <c r="F836" s="1041"/>
      <c r="G836" s="28"/>
      <c r="H836" s="28"/>
      <c r="I836" s="28"/>
      <c r="J836" s="28"/>
      <c r="K836" s="28"/>
      <c r="L836" s="28"/>
      <c r="M836" s="28"/>
      <c r="N836" s="28"/>
      <c r="O836" s="28"/>
      <c r="P836" s="28"/>
      <c r="Q836" s="28"/>
      <c r="R836" s="28"/>
      <c r="S836" s="28"/>
      <c r="T836" s="28"/>
      <c r="U836" s="28"/>
      <c r="V836" s="28"/>
      <c r="W836" s="28"/>
      <c r="X836" s="28"/>
      <c r="Y836" s="28"/>
      <c r="Z836" s="28"/>
    </row>
    <row r="837">
      <c r="A837" s="1044"/>
      <c r="B837" s="1045"/>
      <c r="C837" s="1041"/>
      <c r="D837" s="1045"/>
      <c r="E837" s="1041"/>
      <c r="F837" s="1041"/>
      <c r="G837" s="28"/>
      <c r="H837" s="28"/>
      <c r="I837" s="28"/>
      <c r="J837" s="28"/>
      <c r="K837" s="28"/>
      <c r="L837" s="28"/>
      <c r="M837" s="28"/>
      <c r="N837" s="28"/>
      <c r="O837" s="28"/>
      <c r="P837" s="28"/>
      <c r="Q837" s="28"/>
      <c r="R837" s="28"/>
      <c r="S837" s="28"/>
      <c r="T837" s="28"/>
      <c r="U837" s="28"/>
      <c r="V837" s="28"/>
      <c r="W837" s="28"/>
      <c r="X837" s="28"/>
      <c r="Y837" s="28"/>
      <c r="Z837" s="28"/>
    </row>
    <row r="838">
      <c r="A838" s="1044"/>
      <c r="B838" s="1045"/>
      <c r="C838" s="1041"/>
      <c r="D838" s="1045"/>
      <c r="E838" s="1041"/>
      <c r="F838" s="1041"/>
      <c r="G838" s="28"/>
      <c r="H838" s="28"/>
      <c r="I838" s="28"/>
      <c r="J838" s="28"/>
      <c r="K838" s="28"/>
      <c r="L838" s="28"/>
      <c r="M838" s="28"/>
      <c r="N838" s="28"/>
      <c r="O838" s="28"/>
      <c r="P838" s="28"/>
      <c r="Q838" s="28"/>
      <c r="R838" s="28"/>
      <c r="S838" s="28"/>
      <c r="T838" s="28"/>
      <c r="U838" s="28"/>
      <c r="V838" s="28"/>
      <c r="W838" s="28"/>
      <c r="X838" s="28"/>
      <c r="Y838" s="28"/>
      <c r="Z838" s="28"/>
    </row>
    <row r="839">
      <c r="A839" s="1044"/>
      <c r="B839" s="1045"/>
      <c r="C839" s="1041"/>
      <c r="D839" s="1045"/>
      <c r="E839" s="1041"/>
      <c r="F839" s="1041"/>
      <c r="G839" s="28"/>
      <c r="H839" s="28"/>
      <c r="I839" s="28"/>
      <c r="J839" s="28"/>
      <c r="K839" s="28"/>
      <c r="L839" s="28"/>
      <c r="M839" s="28"/>
      <c r="N839" s="28"/>
      <c r="O839" s="28"/>
      <c r="P839" s="28"/>
      <c r="Q839" s="28"/>
      <c r="R839" s="28"/>
      <c r="S839" s="28"/>
      <c r="T839" s="28"/>
      <c r="U839" s="28"/>
      <c r="V839" s="28"/>
      <c r="W839" s="28"/>
      <c r="X839" s="28"/>
      <c r="Y839" s="28"/>
      <c r="Z839" s="28"/>
    </row>
    <row r="840">
      <c r="A840" s="1044"/>
      <c r="B840" s="1045"/>
      <c r="C840" s="1041"/>
      <c r="D840" s="1045"/>
      <c r="E840" s="1041"/>
      <c r="F840" s="1041"/>
      <c r="G840" s="28"/>
      <c r="H840" s="28"/>
      <c r="I840" s="28"/>
      <c r="J840" s="28"/>
      <c r="K840" s="28"/>
      <c r="L840" s="28"/>
      <c r="M840" s="28"/>
      <c r="N840" s="28"/>
      <c r="O840" s="28"/>
      <c r="P840" s="28"/>
      <c r="Q840" s="28"/>
      <c r="R840" s="28"/>
      <c r="S840" s="28"/>
      <c r="T840" s="28"/>
      <c r="U840" s="28"/>
      <c r="V840" s="28"/>
      <c r="W840" s="28"/>
      <c r="X840" s="28"/>
      <c r="Y840" s="28"/>
      <c r="Z840" s="28"/>
    </row>
    <row r="841">
      <c r="A841" s="1044"/>
      <c r="B841" s="1045"/>
      <c r="C841" s="1041"/>
      <c r="D841" s="1045"/>
      <c r="E841" s="1041"/>
      <c r="F841" s="1041"/>
      <c r="G841" s="28"/>
      <c r="H841" s="28"/>
      <c r="I841" s="28"/>
      <c r="J841" s="28"/>
      <c r="K841" s="28"/>
      <c r="L841" s="28"/>
      <c r="M841" s="28"/>
      <c r="N841" s="28"/>
      <c r="O841" s="28"/>
      <c r="P841" s="28"/>
      <c r="Q841" s="28"/>
      <c r="R841" s="28"/>
      <c r="S841" s="28"/>
      <c r="T841" s="28"/>
      <c r="U841" s="28"/>
      <c r="V841" s="28"/>
      <c r="W841" s="28"/>
      <c r="X841" s="28"/>
      <c r="Y841" s="28"/>
      <c r="Z841" s="28"/>
    </row>
    <row r="842">
      <c r="A842" s="1044"/>
      <c r="B842" s="1045"/>
      <c r="C842" s="1041"/>
      <c r="D842" s="1045"/>
      <c r="E842" s="1041"/>
      <c r="F842" s="1041"/>
      <c r="G842" s="28"/>
      <c r="H842" s="28"/>
      <c r="I842" s="28"/>
      <c r="J842" s="28"/>
      <c r="K842" s="28"/>
      <c r="L842" s="28"/>
      <c r="M842" s="28"/>
      <c r="N842" s="28"/>
      <c r="O842" s="28"/>
      <c r="P842" s="28"/>
      <c r="Q842" s="28"/>
      <c r="R842" s="28"/>
      <c r="S842" s="28"/>
      <c r="T842" s="28"/>
      <c r="U842" s="28"/>
      <c r="V842" s="28"/>
      <c r="W842" s="28"/>
      <c r="X842" s="28"/>
      <c r="Y842" s="28"/>
      <c r="Z842" s="28"/>
    </row>
    <row r="843">
      <c r="A843" s="1044"/>
      <c r="B843" s="1045"/>
      <c r="C843" s="1041"/>
      <c r="D843" s="1045"/>
      <c r="E843" s="1041"/>
      <c r="F843" s="1041"/>
      <c r="G843" s="28"/>
      <c r="H843" s="28"/>
      <c r="I843" s="28"/>
      <c r="J843" s="28"/>
      <c r="K843" s="28"/>
      <c r="L843" s="28"/>
      <c r="M843" s="28"/>
      <c r="N843" s="28"/>
      <c r="O843" s="28"/>
      <c r="P843" s="28"/>
      <c r="Q843" s="28"/>
      <c r="R843" s="28"/>
      <c r="S843" s="28"/>
      <c r="T843" s="28"/>
      <c r="U843" s="28"/>
      <c r="V843" s="28"/>
      <c r="W843" s="28"/>
      <c r="X843" s="28"/>
      <c r="Y843" s="28"/>
      <c r="Z843" s="28"/>
    </row>
    <row r="844">
      <c r="A844" s="1044"/>
      <c r="B844" s="1045"/>
      <c r="C844" s="1041"/>
      <c r="D844" s="1045"/>
      <c r="E844" s="1041"/>
      <c r="F844" s="1041"/>
      <c r="G844" s="28"/>
      <c r="H844" s="28"/>
      <c r="I844" s="28"/>
      <c r="J844" s="28"/>
      <c r="K844" s="28"/>
      <c r="L844" s="28"/>
      <c r="M844" s="28"/>
      <c r="N844" s="28"/>
      <c r="O844" s="28"/>
      <c r="P844" s="28"/>
      <c r="Q844" s="28"/>
      <c r="R844" s="28"/>
      <c r="S844" s="28"/>
      <c r="T844" s="28"/>
      <c r="U844" s="28"/>
      <c r="V844" s="28"/>
      <c r="W844" s="28"/>
      <c r="X844" s="28"/>
      <c r="Y844" s="28"/>
      <c r="Z844" s="28"/>
    </row>
    <row r="845">
      <c r="A845" s="1044"/>
      <c r="B845" s="1045"/>
      <c r="C845" s="1041"/>
      <c r="D845" s="1045"/>
      <c r="E845" s="1041"/>
      <c r="F845" s="1041"/>
      <c r="G845" s="28"/>
      <c r="H845" s="28"/>
      <c r="I845" s="28"/>
      <c r="J845" s="28"/>
      <c r="K845" s="28"/>
      <c r="L845" s="28"/>
      <c r="M845" s="28"/>
      <c r="N845" s="28"/>
      <c r="O845" s="28"/>
      <c r="P845" s="28"/>
      <c r="Q845" s="28"/>
      <c r="R845" s="28"/>
      <c r="S845" s="28"/>
      <c r="T845" s="28"/>
      <c r="U845" s="28"/>
      <c r="V845" s="28"/>
      <c r="W845" s="28"/>
      <c r="X845" s="28"/>
      <c r="Y845" s="28"/>
      <c r="Z845" s="28"/>
    </row>
    <row r="846">
      <c r="A846" s="1044"/>
      <c r="B846" s="1045"/>
      <c r="C846" s="1041"/>
      <c r="D846" s="1045"/>
      <c r="E846" s="1041"/>
      <c r="F846" s="1041"/>
      <c r="G846" s="28"/>
      <c r="H846" s="28"/>
      <c r="I846" s="28"/>
      <c r="J846" s="28"/>
      <c r="K846" s="28"/>
      <c r="L846" s="28"/>
      <c r="M846" s="28"/>
      <c r="N846" s="28"/>
      <c r="O846" s="28"/>
      <c r="P846" s="28"/>
      <c r="Q846" s="28"/>
      <c r="R846" s="28"/>
      <c r="S846" s="28"/>
      <c r="T846" s="28"/>
      <c r="U846" s="28"/>
      <c r="V846" s="28"/>
      <c r="W846" s="28"/>
      <c r="X846" s="28"/>
      <c r="Y846" s="28"/>
      <c r="Z846" s="28"/>
    </row>
    <row r="847">
      <c r="A847" s="1044"/>
      <c r="B847" s="1045"/>
      <c r="C847" s="1041"/>
      <c r="D847" s="1045"/>
      <c r="E847" s="1041"/>
      <c r="F847" s="1041"/>
      <c r="G847" s="28"/>
      <c r="H847" s="28"/>
      <c r="I847" s="28"/>
      <c r="J847" s="28"/>
      <c r="K847" s="28"/>
      <c r="L847" s="28"/>
      <c r="M847" s="28"/>
      <c r="N847" s="28"/>
      <c r="O847" s="28"/>
      <c r="P847" s="28"/>
      <c r="Q847" s="28"/>
      <c r="R847" s="28"/>
      <c r="S847" s="28"/>
      <c r="T847" s="28"/>
      <c r="U847" s="28"/>
      <c r="V847" s="28"/>
      <c r="W847" s="28"/>
      <c r="X847" s="28"/>
      <c r="Y847" s="28"/>
      <c r="Z847" s="28"/>
    </row>
    <row r="848">
      <c r="A848" s="1044"/>
      <c r="B848" s="1045"/>
      <c r="C848" s="1041"/>
      <c r="D848" s="1045"/>
      <c r="E848" s="1041"/>
      <c r="F848" s="1041"/>
      <c r="G848" s="28"/>
      <c r="H848" s="28"/>
      <c r="I848" s="28"/>
      <c r="J848" s="28"/>
      <c r="K848" s="28"/>
      <c r="L848" s="28"/>
      <c r="M848" s="28"/>
      <c r="N848" s="28"/>
      <c r="O848" s="28"/>
      <c r="P848" s="28"/>
      <c r="Q848" s="28"/>
      <c r="R848" s="28"/>
      <c r="S848" s="28"/>
      <c r="T848" s="28"/>
      <c r="U848" s="28"/>
      <c r="V848" s="28"/>
      <c r="W848" s="28"/>
      <c r="X848" s="28"/>
      <c r="Y848" s="28"/>
      <c r="Z848" s="28"/>
    </row>
    <row r="849">
      <c r="A849" s="1044"/>
      <c r="B849" s="1045"/>
      <c r="C849" s="1041"/>
      <c r="D849" s="1045"/>
      <c r="E849" s="1041"/>
      <c r="F849" s="1041"/>
      <c r="G849" s="28"/>
      <c r="H849" s="28"/>
      <c r="I849" s="28"/>
      <c r="J849" s="28"/>
      <c r="K849" s="28"/>
      <c r="L849" s="28"/>
      <c r="M849" s="28"/>
      <c r="N849" s="28"/>
      <c r="O849" s="28"/>
      <c r="P849" s="28"/>
      <c r="Q849" s="28"/>
      <c r="R849" s="28"/>
      <c r="S849" s="28"/>
      <c r="T849" s="28"/>
      <c r="U849" s="28"/>
      <c r="V849" s="28"/>
      <c r="W849" s="28"/>
      <c r="X849" s="28"/>
      <c r="Y849" s="28"/>
      <c r="Z849" s="28"/>
    </row>
    <row r="850">
      <c r="A850" s="1044"/>
      <c r="B850" s="1045"/>
      <c r="C850" s="1041"/>
      <c r="D850" s="1045"/>
      <c r="E850" s="1041"/>
      <c r="F850" s="1041"/>
      <c r="G850" s="28"/>
      <c r="H850" s="28"/>
      <c r="I850" s="28"/>
      <c r="J850" s="28"/>
      <c r="K850" s="28"/>
      <c r="L850" s="28"/>
      <c r="M850" s="28"/>
      <c r="N850" s="28"/>
      <c r="O850" s="28"/>
      <c r="P850" s="28"/>
      <c r="Q850" s="28"/>
      <c r="R850" s="28"/>
      <c r="S850" s="28"/>
      <c r="T850" s="28"/>
      <c r="U850" s="28"/>
      <c r="V850" s="28"/>
      <c r="W850" s="28"/>
      <c r="X850" s="28"/>
      <c r="Y850" s="28"/>
      <c r="Z850" s="28"/>
    </row>
    <row r="851">
      <c r="A851" s="1044"/>
      <c r="B851" s="1045"/>
      <c r="C851" s="1041"/>
      <c r="D851" s="1045"/>
      <c r="E851" s="1041"/>
      <c r="F851" s="1041"/>
      <c r="G851" s="28"/>
      <c r="H851" s="28"/>
      <c r="I851" s="28"/>
      <c r="J851" s="28"/>
      <c r="K851" s="28"/>
      <c r="L851" s="28"/>
      <c r="M851" s="28"/>
      <c r="N851" s="28"/>
      <c r="O851" s="28"/>
      <c r="P851" s="28"/>
      <c r="Q851" s="28"/>
      <c r="R851" s="28"/>
      <c r="S851" s="28"/>
      <c r="T851" s="28"/>
      <c r="U851" s="28"/>
      <c r="V851" s="28"/>
      <c r="W851" s="28"/>
      <c r="X851" s="28"/>
      <c r="Y851" s="28"/>
      <c r="Z851" s="28"/>
    </row>
    <row r="852">
      <c r="A852" s="1044"/>
      <c r="B852" s="1045"/>
      <c r="C852" s="1041"/>
      <c r="D852" s="1045"/>
      <c r="E852" s="1041"/>
      <c r="F852" s="1041"/>
      <c r="G852" s="28"/>
      <c r="H852" s="28"/>
      <c r="I852" s="28"/>
      <c r="J852" s="28"/>
      <c r="K852" s="28"/>
      <c r="L852" s="28"/>
      <c r="M852" s="28"/>
      <c r="N852" s="28"/>
      <c r="O852" s="28"/>
      <c r="P852" s="28"/>
      <c r="Q852" s="28"/>
      <c r="R852" s="28"/>
      <c r="S852" s="28"/>
      <c r="T852" s="28"/>
      <c r="U852" s="28"/>
      <c r="V852" s="28"/>
      <c r="W852" s="28"/>
      <c r="X852" s="28"/>
      <c r="Y852" s="28"/>
      <c r="Z852" s="28"/>
    </row>
    <row r="853">
      <c r="A853" s="1044"/>
      <c r="B853" s="1045"/>
      <c r="C853" s="1041"/>
      <c r="D853" s="1045"/>
      <c r="E853" s="1041"/>
      <c r="F853" s="1041"/>
      <c r="G853" s="28"/>
      <c r="H853" s="28"/>
      <c r="I853" s="28"/>
      <c r="J853" s="28"/>
      <c r="K853" s="28"/>
      <c r="L853" s="28"/>
      <c r="M853" s="28"/>
      <c r="N853" s="28"/>
      <c r="O853" s="28"/>
      <c r="P853" s="28"/>
      <c r="Q853" s="28"/>
      <c r="R853" s="28"/>
      <c r="S853" s="28"/>
      <c r="T853" s="28"/>
      <c r="U853" s="28"/>
      <c r="V853" s="28"/>
      <c r="W853" s="28"/>
      <c r="X853" s="28"/>
      <c r="Y853" s="28"/>
      <c r="Z853" s="28"/>
    </row>
    <row r="854">
      <c r="A854" s="1044"/>
      <c r="B854" s="1045"/>
      <c r="C854" s="1041"/>
      <c r="D854" s="1045"/>
      <c r="E854" s="1041"/>
      <c r="F854" s="1041"/>
      <c r="G854" s="28"/>
      <c r="H854" s="28"/>
      <c r="I854" s="28"/>
      <c r="J854" s="28"/>
      <c r="K854" s="28"/>
      <c r="L854" s="28"/>
      <c r="M854" s="28"/>
      <c r="N854" s="28"/>
      <c r="O854" s="28"/>
      <c r="P854" s="28"/>
      <c r="Q854" s="28"/>
      <c r="R854" s="28"/>
      <c r="S854" s="28"/>
      <c r="T854" s="28"/>
      <c r="U854" s="28"/>
      <c r="V854" s="28"/>
      <c r="W854" s="28"/>
      <c r="X854" s="28"/>
      <c r="Y854" s="28"/>
      <c r="Z854" s="28"/>
    </row>
    <row r="855">
      <c r="A855" s="1044"/>
      <c r="B855" s="1045"/>
      <c r="C855" s="1041"/>
      <c r="D855" s="1045"/>
      <c r="E855" s="1041"/>
      <c r="F855" s="1041"/>
      <c r="G855" s="28"/>
      <c r="H855" s="28"/>
      <c r="I855" s="28"/>
      <c r="J855" s="28"/>
      <c r="K855" s="28"/>
      <c r="L855" s="28"/>
      <c r="M855" s="28"/>
      <c r="N855" s="28"/>
      <c r="O855" s="28"/>
      <c r="P855" s="28"/>
      <c r="Q855" s="28"/>
      <c r="R855" s="28"/>
      <c r="S855" s="28"/>
      <c r="T855" s="28"/>
      <c r="U855" s="28"/>
      <c r="V855" s="28"/>
      <c r="W855" s="28"/>
      <c r="X855" s="28"/>
      <c r="Y855" s="28"/>
      <c r="Z855" s="28"/>
    </row>
    <row r="856">
      <c r="A856" s="1044"/>
      <c r="B856" s="1045"/>
      <c r="C856" s="1041"/>
      <c r="D856" s="1045"/>
      <c r="E856" s="1041"/>
      <c r="F856" s="1041"/>
      <c r="G856" s="28"/>
      <c r="H856" s="28"/>
      <c r="I856" s="28"/>
      <c r="J856" s="28"/>
      <c r="K856" s="28"/>
      <c r="L856" s="28"/>
      <c r="M856" s="28"/>
      <c r="N856" s="28"/>
      <c r="O856" s="28"/>
      <c r="P856" s="28"/>
      <c r="Q856" s="28"/>
      <c r="R856" s="28"/>
      <c r="S856" s="28"/>
      <c r="T856" s="28"/>
      <c r="U856" s="28"/>
      <c r="V856" s="28"/>
      <c r="W856" s="28"/>
      <c r="X856" s="28"/>
      <c r="Y856" s="28"/>
      <c r="Z856" s="28"/>
    </row>
    <row r="857">
      <c r="A857" s="1044"/>
      <c r="B857" s="1045"/>
      <c r="C857" s="1041"/>
      <c r="D857" s="1045"/>
      <c r="E857" s="1041"/>
      <c r="F857" s="1041"/>
      <c r="G857" s="28"/>
      <c r="H857" s="28"/>
      <c r="I857" s="28"/>
      <c r="J857" s="28"/>
      <c r="K857" s="28"/>
      <c r="L857" s="28"/>
      <c r="M857" s="28"/>
      <c r="N857" s="28"/>
      <c r="O857" s="28"/>
      <c r="P857" s="28"/>
      <c r="Q857" s="28"/>
      <c r="R857" s="28"/>
      <c r="S857" s="28"/>
      <c r="T857" s="28"/>
      <c r="U857" s="28"/>
      <c r="V857" s="28"/>
      <c r="W857" s="28"/>
      <c r="X857" s="28"/>
      <c r="Y857" s="28"/>
      <c r="Z857" s="28"/>
    </row>
    <row r="858">
      <c r="A858" s="1044"/>
      <c r="B858" s="1045"/>
      <c r="C858" s="1041"/>
      <c r="D858" s="1045"/>
      <c r="E858" s="1041"/>
      <c r="F858" s="1041"/>
      <c r="G858" s="28"/>
      <c r="H858" s="28"/>
      <c r="I858" s="28"/>
      <c r="J858" s="28"/>
      <c r="K858" s="28"/>
      <c r="L858" s="28"/>
      <c r="M858" s="28"/>
      <c r="N858" s="28"/>
      <c r="O858" s="28"/>
      <c r="P858" s="28"/>
      <c r="Q858" s="28"/>
      <c r="R858" s="28"/>
      <c r="S858" s="28"/>
      <c r="T858" s="28"/>
      <c r="U858" s="28"/>
      <c r="V858" s="28"/>
      <c r="W858" s="28"/>
      <c r="X858" s="28"/>
      <c r="Y858" s="28"/>
      <c r="Z858" s="28"/>
    </row>
    <row r="859">
      <c r="A859" s="1044"/>
      <c r="B859" s="1045"/>
      <c r="C859" s="1041"/>
      <c r="D859" s="1045"/>
      <c r="E859" s="1041"/>
      <c r="F859" s="1041"/>
      <c r="G859" s="28"/>
      <c r="H859" s="28"/>
      <c r="I859" s="28"/>
      <c r="J859" s="28"/>
      <c r="K859" s="28"/>
      <c r="L859" s="28"/>
      <c r="M859" s="28"/>
      <c r="N859" s="28"/>
      <c r="O859" s="28"/>
      <c r="P859" s="28"/>
      <c r="Q859" s="28"/>
      <c r="R859" s="28"/>
      <c r="S859" s="28"/>
      <c r="T859" s="28"/>
      <c r="U859" s="28"/>
      <c r="V859" s="28"/>
      <c r="W859" s="28"/>
      <c r="X859" s="28"/>
      <c r="Y859" s="28"/>
      <c r="Z859" s="28"/>
    </row>
    <row r="860">
      <c r="A860" s="1044"/>
      <c r="B860" s="1045"/>
      <c r="C860" s="1041"/>
      <c r="D860" s="1045"/>
      <c r="E860" s="1041"/>
      <c r="F860" s="1041"/>
      <c r="G860" s="28"/>
      <c r="H860" s="28"/>
      <c r="I860" s="28"/>
      <c r="J860" s="28"/>
      <c r="K860" s="28"/>
      <c r="L860" s="28"/>
      <c r="M860" s="28"/>
      <c r="N860" s="28"/>
      <c r="O860" s="28"/>
      <c r="P860" s="28"/>
      <c r="Q860" s="28"/>
      <c r="R860" s="28"/>
      <c r="S860" s="28"/>
      <c r="T860" s="28"/>
      <c r="U860" s="28"/>
      <c r="V860" s="28"/>
      <c r="W860" s="28"/>
      <c r="X860" s="28"/>
      <c r="Y860" s="28"/>
      <c r="Z860" s="28"/>
    </row>
    <row r="861">
      <c r="A861" s="1044"/>
      <c r="B861" s="1045"/>
      <c r="C861" s="1041"/>
      <c r="D861" s="1045"/>
      <c r="E861" s="1041"/>
      <c r="F861" s="1041"/>
      <c r="G861" s="28"/>
      <c r="H861" s="28"/>
      <c r="I861" s="28"/>
      <c r="J861" s="28"/>
      <c r="K861" s="28"/>
      <c r="L861" s="28"/>
      <c r="M861" s="28"/>
      <c r="N861" s="28"/>
      <c r="O861" s="28"/>
      <c r="P861" s="28"/>
      <c r="Q861" s="28"/>
      <c r="R861" s="28"/>
      <c r="S861" s="28"/>
      <c r="T861" s="28"/>
      <c r="U861" s="28"/>
      <c r="V861" s="28"/>
      <c r="W861" s="28"/>
      <c r="X861" s="28"/>
      <c r="Y861" s="28"/>
      <c r="Z861" s="28"/>
    </row>
    <row r="862">
      <c r="A862" s="1044"/>
      <c r="B862" s="1045"/>
      <c r="C862" s="1041"/>
      <c r="D862" s="1045"/>
      <c r="E862" s="1041"/>
      <c r="F862" s="1041"/>
      <c r="G862" s="28"/>
      <c r="H862" s="28"/>
      <c r="I862" s="28"/>
      <c r="J862" s="28"/>
      <c r="K862" s="28"/>
      <c r="L862" s="28"/>
      <c r="M862" s="28"/>
      <c r="N862" s="28"/>
      <c r="O862" s="28"/>
      <c r="P862" s="28"/>
      <c r="Q862" s="28"/>
      <c r="R862" s="28"/>
      <c r="S862" s="28"/>
      <c r="T862" s="28"/>
      <c r="U862" s="28"/>
      <c r="V862" s="28"/>
      <c r="W862" s="28"/>
      <c r="X862" s="28"/>
      <c r="Y862" s="28"/>
      <c r="Z862" s="28"/>
    </row>
    <row r="863">
      <c r="A863" s="1044"/>
      <c r="B863" s="1045"/>
      <c r="C863" s="1041"/>
      <c r="D863" s="1045"/>
      <c r="E863" s="1041"/>
      <c r="F863" s="1041"/>
      <c r="G863" s="28"/>
      <c r="H863" s="28"/>
      <c r="I863" s="28"/>
      <c r="J863" s="28"/>
      <c r="K863" s="28"/>
      <c r="L863" s="28"/>
      <c r="M863" s="28"/>
      <c r="N863" s="28"/>
      <c r="O863" s="28"/>
      <c r="P863" s="28"/>
      <c r="Q863" s="28"/>
      <c r="R863" s="28"/>
      <c r="S863" s="28"/>
      <c r="T863" s="28"/>
      <c r="U863" s="28"/>
      <c r="V863" s="28"/>
      <c r="W863" s="28"/>
      <c r="X863" s="28"/>
      <c r="Y863" s="28"/>
      <c r="Z863" s="28"/>
    </row>
    <row r="864">
      <c r="A864" s="1044"/>
      <c r="B864" s="1045"/>
      <c r="C864" s="1041"/>
      <c r="D864" s="1045"/>
      <c r="E864" s="1041"/>
      <c r="F864" s="1041"/>
      <c r="G864" s="28"/>
      <c r="H864" s="28"/>
      <c r="I864" s="28"/>
      <c r="J864" s="28"/>
      <c r="K864" s="28"/>
      <c r="L864" s="28"/>
      <c r="M864" s="28"/>
      <c r="N864" s="28"/>
      <c r="O864" s="28"/>
      <c r="P864" s="28"/>
      <c r="Q864" s="28"/>
      <c r="R864" s="28"/>
      <c r="S864" s="28"/>
      <c r="T864" s="28"/>
      <c r="U864" s="28"/>
      <c r="V864" s="28"/>
      <c r="W864" s="28"/>
      <c r="X864" s="28"/>
      <c r="Y864" s="28"/>
      <c r="Z864" s="28"/>
    </row>
    <row r="865">
      <c r="A865" s="1044"/>
      <c r="B865" s="1045"/>
      <c r="C865" s="1041"/>
      <c r="D865" s="1045"/>
      <c r="E865" s="1041"/>
      <c r="F865" s="1041"/>
      <c r="G865" s="28"/>
      <c r="H865" s="28"/>
      <c r="I865" s="28"/>
      <c r="J865" s="28"/>
      <c r="K865" s="28"/>
      <c r="L865" s="28"/>
      <c r="M865" s="28"/>
      <c r="N865" s="28"/>
      <c r="O865" s="28"/>
      <c r="P865" s="28"/>
      <c r="Q865" s="28"/>
      <c r="R865" s="28"/>
      <c r="S865" s="28"/>
      <c r="T865" s="28"/>
      <c r="U865" s="28"/>
      <c r="V865" s="28"/>
      <c r="W865" s="28"/>
      <c r="X865" s="28"/>
      <c r="Y865" s="28"/>
      <c r="Z865" s="28"/>
    </row>
    <row r="866">
      <c r="A866" s="1044"/>
      <c r="B866" s="1045"/>
      <c r="C866" s="1041"/>
      <c r="D866" s="1045"/>
      <c r="E866" s="1041"/>
      <c r="F866" s="1041"/>
      <c r="G866" s="28"/>
      <c r="H866" s="28"/>
      <c r="I866" s="28"/>
      <c r="J866" s="28"/>
      <c r="K866" s="28"/>
      <c r="L866" s="28"/>
      <c r="M866" s="28"/>
      <c r="N866" s="28"/>
      <c r="O866" s="28"/>
      <c r="P866" s="28"/>
      <c r="Q866" s="28"/>
      <c r="R866" s="28"/>
      <c r="S866" s="28"/>
      <c r="T866" s="28"/>
      <c r="U866" s="28"/>
      <c r="V866" s="28"/>
      <c r="W866" s="28"/>
      <c r="X866" s="28"/>
      <c r="Y866" s="28"/>
      <c r="Z866" s="28"/>
    </row>
    <row r="867">
      <c r="A867" s="1044"/>
      <c r="B867" s="1045"/>
      <c r="C867" s="1041"/>
      <c r="D867" s="1045"/>
      <c r="E867" s="1041"/>
      <c r="F867" s="1041"/>
      <c r="G867" s="28"/>
      <c r="H867" s="28"/>
      <c r="I867" s="28"/>
      <c r="J867" s="28"/>
      <c r="K867" s="28"/>
      <c r="L867" s="28"/>
      <c r="M867" s="28"/>
      <c r="N867" s="28"/>
      <c r="O867" s="28"/>
      <c r="P867" s="28"/>
      <c r="Q867" s="28"/>
      <c r="R867" s="28"/>
      <c r="S867" s="28"/>
      <c r="T867" s="28"/>
      <c r="U867" s="28"/>
      <c r="V867" s="28"/>
      <c r="W867" s="28"/>
      <c r="X867" s="28"/>
      <c r="Y867" s="28"/>
      <c r="Z867" s="28"/>
    </row>
    <row r="868">
      <c r="A868" s="1044"/>
      <c r="B868" s="1045"/>
      <c r="C868" s="1041"/>
      <c r="D868" s="1045"/>
      <c r="E868" s="1041"/>
      <c r="F868" s="1041"/>
      <c r="G868" s="28"/>
      <c r="H868" s="28"/>
      <c r="I868" s="28"/>
      <c r="J868" s="28"/>
      <c r="K868" s="28"/>
      <c r="L868" s="28"/>
      <c r="M868" s="28"/>
      <c r="N868" s="28"/>
      <c r="O868" s="28"/>
      <c r="P868" s="28"/>
      <c r="Q868" s="28"/>
      <c r="R868" s="28"/>
      <c r="S868" s="28"/>
      <c r="T868" s="28"/>
      <c r="U868" s="28"/>
      <c r="V868" s="28"/>
      <c r="W868" s="28"/>
      <c r="X868" s="28"/>
      <c r="Y868" s="28"/>
      <c r="Z868" s="28"/>
    </row>
    <row r="869">
      <c r="A869" s="1044"/>
      <c r="B869" s="1045"/>
      <c r="C869" s="1041"/>
      <c r="D869" s="1045"/>
      <c r="E869" s="1041"/>
      <c r="F869" s="1041"/>
      <c r="G869" s="28"/>
      <c r="H869" s="28"/>
      <c r="I869" s="28"/>
      <c r="J869" s="28"/>
      <c r="K869" s="28"/>
      <c r="L869" s="28"/>
      <c r="M869" s="28"/>
      <c r="N869" s="28"/>
      <c r="O869" s="28"/>
      <c r="P869" s="28"/>
      <c r="Q869" s="28"/>
      <c r="R869" s="28"/>
      <c r="S869" s="28"/>
      <c r="T869" s="28"/>
      <c r="U869" s="28"/>
      <c r="V869" s="28"/>
      <c r="W869" s="28"/>
      <c r="X869" s="28"/>
      <c r="Y869" s="28"/>
      <c r="Z869" s="28"/>
    </row>
    <row r="870">
      <c r="A870" s="1044"/>
      <c r="B870" s="1045"/>
      <c r="C870" s="1041"/>
      <c r="D870" s="1045"/>
      <c r="E870" s="1041"/>
      <c r="F870" s="1041"/>
      <c r="G870" s="28"/>
      <c r="H870" s="28"/>
      <c r="I870" s="28"/>
      <c r="J870" s="28"/>
      <c r="K870" s="28"/>
      <c r="L870" s="28"/>
      <c r="M870" s="28"/>
      <c r="N870" s="28"/>
      <c r="O870" s="28"/>
      <c r="P870" s="28"/>
      <c r="Q870" s="28"/>
      <c r="R870" s="28"/>
      <c r="S870" s="28"/>
      <c r="T870" s="28"/>
      <c r="U870" s="28"/>
      <c r="V870" s="28"/>
      <c r="W870" s="28"/>
      <c r="X870" s="28"/>
      <c r="Y870" s="28"/>
      <c r="Z870" s="28"/>
    </row>
    <row r="871">
      <c r="A871" s="1044"/>
      <c r="B871" s="1045"/>
      <c r="C871" s="1041"/>
      <c r="D871" s="1045"/>
      <c r="E871" s="1041"/>
      <c r="F871" s="1041"/>
      <c r="G871" s="28"/>
      <c r="H871" s="28"/>
      <c r="I871" s="28"/>
      <c r="J871" s="28"/>
      <c r="K871" s="28"/>
      <c r="L871" s="28"/>
      <c r="M871" s="28"/>
      <c r="N871" s="28"/>
      <c r="O871" s="28"/>
      <c r="P871" s="28"/>
      <c r="Q871" s="28"/>
      <c r="R871" s="28"/>
      <c r="S871" s="28"/>
      <c r="T871" s="28"/>
      <c r="U871" s="28"/>
      <c r="V871" s="28"/>
      <c r="W871" s="28"/>
      <c r="X871" s="28"/>
      <c r="Y871" s="28"/>
      <c r="Z871" s="28"/>
    </row>
    <row r="872">
      <c r="A872" s="1044"/>
      <c r="B872" s="1045"/>
      <c r="C872" s="1041"/>
      <c r="D872" s="1045"/>
      <c r="E872" s="1041"/>
      <c r="F872" s="1041"/>
      <c r="G872" s="28"/>
      <c r="H872" s="28"/>
      <c r="I872" s="28"/>
      <c r="J872" s="28"/>
      <c r="K872" s="28"/>
      <c r="L872" s="28"/>
      <c r="M872" s="28"/>
      <c r="N872" s="28"/>
      <c r="O872" s="28"/>
      <c r="P872" s="28"/>
      <c r="Q872" s="28"/>
      <c r="R872" s="28"/>
      <c r="S872" s="28"/>
      <c r="T872" s="28"/>
      <c r="U872" s="28"/>
      <c r="V872" s="28"/>
      <c r="W872" s="28"/>
      <c r="X872" s="28"/>
      <c r="Y872" s="28"/>
      <c r="Z872" s="28"/>
    </row>
    <row r="873">
      <c r="A873" s="1044"/>
      <c r="B873" s="1045"/>
      <c r="C873" s="1041"/>
      <c r="D873" s="1045"/>
      <c r="E873" s="1041"/>
      <c r="F873" s="1041"/>
      <c r="G873" s="28"/>
      <c r="H873" s="28"/>
      <c r="I873" s="28"/>
      <c r="J873" s="28"/>
      <c r="K873" s="28"/>
      <c r="L873" s="28"/>
      <c r="M873" s="28"/>
      <c r="N873" s="28"/>
      <c r="O873" s="28"/>
      <c r="P873" s="28"/>
      <c r="Q873" s="28"/>
      <c r="R873" s="28"/>
      <c r="S873" s="28"/>
      <c r="T873" s="28"/>
      <c r="U873" s="28"/>
      <c r="V873" s="28"/>
      <c r="W873" s="28"/>
      <c r="X873" s="28"/>
      <c r="Y873" s="28"/>
      <c r="Z873" s="28"/>
    </row>
    <row r="874">
      <c r="A874" s="1044"/>
      <c r="B874" s="1045"/>
      <c r="C874" s="1041"/>
      <c r="D874" s="1045"/>
      <c r="E874" s="1041"/>
      <c r="F874" s="1041"/>
      <c r="G874" s="28"/>
      <c r="H874" s="28"/>
      <c r="I874" s="28"/>
      <c r="J874" s="28"/>
      <c r="K874" s="28"/>
      <c r="L874" s="28"/>
      <c r="M874" s="28"/>
      <c r="N874" s="28"/>
      <c r="O874" s="28"/>
      <c r="P874" s="28"/>
      <c r="Q874" s="28"/>
      <c r="R874" s="28"/>
      <c r="S874" s="28"/>
      <c r="T874" s="28"/>
      <c r="U874" s="28"/>
      <c r="V874" s="28"/>
      <c r="W874" s="28"/>
      <c r="X874" s="28"/>
      <c r="Y874" s="28"/>
      <c r="Z874" s="28"/>
    </row>
    <row r="875">
      <c r="A875" s="1044"/>
      <c r="B875" s="1045"/>
      <c r="C875" s="1041"/>
      <c r="D875" s="1045"/>
      <c r="E875" s="1041"/>
      <c r="F875" s="1041"/>
      <c r="G875" s="28"/>
      <c r="H875" s="28"/>
      <c r="I875" s="28"/>
      <c r="J875" s="28"/>
      <c r="K875" s="28"/>
      <c r="L875" s="28"/>
      <c r="M875" s="28"/>
      <c r="N875" s="28"/>
      <c r="O875" s="28"/>
      <c r="P875" s="28"/>
      <c r="Q875" s="28"/>
      <c r="R875" s="28"/>
      <c r="S875" s="28"/>
      <c r="T875" s="28"/>
      <c r="U875" s="28"/>
      <c r="V875" s="28"/>
      <c r="W875" s="28"/>
      <c r="X875" s="28"/>
      <c r="Y875" s="28"/>
      <c r="Z875" s="28"/>
    </row>
    <row r="876">
      <c r="A876" s="1044"/>
      <c r="B876" s="1045"/>
      <c r="C876" s="1041"/>
      <c r="D876" s="1045"/>
      <c r="E876" s="1041"/>
      <c r="F876" s="1041"/>
      <c r="G876" s="28"/>
      <c r="H876" s="28"/>
      <c r="I876" s="28"/>
      <c r="J876" s="28"/>
      <c r="K876" s="28"/>
      <c r="L876" s="28"/>
      <c r="M876" s="28"/>
      <c r="N876" s="28"/>
      <c r="O876" s="28"/>
      <c r="P876" s="28"/>
      <c r="Q876" s="28"/>
      <c r="R876" s="28"/>
      <c r="S876" s="28"/>
      <c r="T876" s="28"/>
      <c r="U876" s="28"/>
      <c r="V876" s="28"/>
      <c r="W876" s="28"/>
      <c r="X876" s="28"/>
      <c r="Y876" s="28"/>
      <c r="Z876" s="28"/>
    </row>
    <row r="877">
      <c r="A877" s="1044"/>
      <c r="B877" s="1045"/>
      <c r="C877" s="1041"/>
      <c r="D877" s="1045"/>
      <c r="E877" s="1041"/>
      <c r="F877" s="1041"/>
      <c r="G877" s="28"/>
      <c r="H877" s="28"/>
      <c r="I877" s="28"/>
      <c r="J877" s="28"/>
      <c r="K877" s="28"/>
      <c r="L877" s="28"/>
      <c r="M877" s="28"/>
      <c r="N877" s="28"/>
      <c r="O877" s="28"/>
      <c r="P877" s="28"/>
      <c r="Q877" s="28"/>
      <c r="R877" s="28"/>
      <c r="S877" s="28"/>
      <c r="T877" s="28"/>
      <c r="U877" s="28"/>
      <c r="V877" s="28"/>
      <c r="W877" s="28"/>
      <c r="X877" s="28"/>
      <c r="Y877" s="28"/>
      <c r="Z877" s="28"/>
    </row>
    <row r="878">
      <c r="A878" s="1044"/>
      <c r="B878" s="1045"/>
      <c r="C878" s="1041"/>
      <c r="D878" s="1045"/>
      <c r="E878" s="1041"/>
      <c r="F878" s="1041"/>
      <c r="G878" s="28"/>
      <c r="H878" s="28"/>
      <c r="I878" s="28"/>
      <c r="J878" s="28"/>
      <c r="K878" s="28"/>
      <c r="L878" s="28"/>
      <c r="M878" s="28"/>
      <c r="N878" s="28"/>
      <c r="O878" s="28"/>
      <c r="P878" s="28"/>
      <c r="Q878" s="28"/>
      <c r="R878" s="28"/>
      <c r="S878" s="28"/>
      <c r="T878" s="28"/>
      <c r="U878" s="28"/>
      <c r="V878" s="28"/>
      <c r="W878" s="28"/>
      <c r="X878" s="28"/>
      <c r="Y878" s="28"/>
      <c r="Z878" s="28"/>
    </row>
    <row r="879">
      <c r="A879" s="1044"/>
      <c r="B879" s="1045"/>
      <c r="C879" s="1041"/>
      <c r="D879" s="1045"/>
      <c r="E879" s="1041"/>
      <c r="F879" s="1041"/>
      <c r="G879" s="28"/>
      <c r="H879" s="28"/>
      <c r="I879" s="28"/>
      <c r="J879" s="28"/>
      <c r="K879" s="28"/>
      <c r="L879" s="28"/>
      <c r="M879" s="28"/>
      <c r="N879" s="28"/>
      <c r="O879" s="28"/>
      <c r="P879" s="28"/>
      <c r="Q879" s="28"/>
      <c r="R879" s="28"/>
      <c r="S879" s="28"/>
      <c r="T879" s="28"/>
      <c r="U879" s="28"/>
      <c r="V879" s="28"/>
      <c r="W879" s="28"/>
      <c r="X879" s="28"/>
      <c r="Y879" s="28"/>
      <c r="Z879" s="28"/>
    </row>
    <row r="880">
      <c r="A880" s="1044"/>
      <c r="B880" s="1045"/>
      <c r="C880" s="1041"/>
      <c r="D880" s="1045"/>
      <c r="E880" s="1041"/>
      <c r="F880" s="1041"/>
      <c r="G880" s="28"/>
      <c r="H880" s="28"/>
      <c r="I880" s="28"/>
      <c r="J880" s="28"/>
      <c r="K880" s="28"/>
      <c r="L880" s="28"/>
      <c r="M880" s="28"/>
      <c r="N880" s="28"/>
      <c r="O880" s="28"/>
      <c r="P880" s="28"/>
      <c r="Q880" s="28"/>
      <c r="R880" s="28"/>
      <c r="S880" s="28"/>
      <c r="T880" s="28"/>
      <c r="U880" s="28"/>
      <c r="V880" s="28"/>
      <c r="W880" s="28"/>
      <c r="X880" s="28"/>
      <c r="Y880" s="28"/>
      <c r="Z880" s="28"/>
    </row>
    <row r="881">
      <c r="A881" s="1044"/>
      <c r="B881" s="1045"/>
      <c r="C881" s="1041"/>
      <c r="D881" s="1045"/>
      <c r="E881" s="1041"/>
      <c r="F881" s="1041"/>
      <c r="G881" s="28"/>
      <c r="H881" s="28"/>
      <c r="I881" s="28"/>
      <c r="J881" s="28"/>
      <c r="K881" s="28"/>
      <c r="L881" s="28"/>
      <c r="M881" s="28"/>
      <c r="N881" s="28"/>
      <c r="O881" s="28"/>
      <c r="P881" s="28"/>
      <c r="Q881" s="28"/>
      <c r="R881" s="28"/>
      <c r="S881" s="28"/>
      <c r="T881" s="28"/>
      <c r="U881" s="28"/>
      <c r="V881" s="28"/>
      <c r="W881" s="28"/>
      <c r="X881" s="28"/>
      <c r="Y881" s="28"/>
      <c r="Z881" s="28"/>
    </row>
    <row r="882">
      <c r="A882" s="1044"/>
      <c r="B882" s="1045"/>
      <c r="C882" s="1041"/>
      <c r="D882" s="1045"/>
      <c r="E882" s="1041"/>
      <c r="F882" s="1041"/>
      <c r="G882" s="28"/>
      <c r="H882" s="28"/>
      <c r="I882" s="28"/>
      <c r="J882" s="28"/>
      <c r="K882" s="28"/>
      <c r="L882" s="28"/>
      <c r="M882" s="28"/>
      <c r="N882" s="28"/>
      <c r="O882" s="28"/>
      <c r="P882" s="28"/>
      <c r="Q882" s="28"/>
      <c r="R882" s="28"/>
      <c r="S882" s="28"/>
      <c r="T882" s="28"/>
      <c r="U882" s="28"/>
      <c r="V882" s="28"/>
      <c r="W882" s="28"/>
      <c r="X882" s="28"/>
      <c r="Y882" s="28"/>
      <c r="Z882" s="28"/>
    </row>
    <row r="883">
      <c r="A883" s="1044"/>
      <c r="B883" s="1045"/>
      <c r="C883" s="1041"/>
      <c r="D883" s="1045"/>
      <c r="E883" s="1041"/>
      <c r="F883" s="1041"/>
      <c r="G883" s="28"/>
      <c r="H883" s="28"/>
      <c r="I883" s="28"/>
      <c r="J883" s="28"/>
      <c r="K883" s="28"/>
      <c r="L883" s="28"/>
      <c r="M883" s="28"/>
      <c r="N883" s="28"/>
      <c r="O883" s="28"/>
      <c r="P883" s="28"/>
      <c r="Q883" s="28"/>
      <c r="R883" s="28"/>
      <c r="S883" s="28"/>
      <c r="T883" s="28"/>
      <c r="U883" s="28"/>
      <c r="V883" s="28"/>
      <c r="W883" s="28"/>
      <c r="X883" s="28"/>
      <c r="Y883" s="28"/>
      <c r="Z883" s="28"/>
    </row>
    <row r="884">
      <c r="A884" s="1044"/>
      <c r="B884" s="1045"/>
      <c r="C884" s="1041"/>
      <c r="D884" s="1045"/>
      <c r="E884" s="1041"/>
      <c r="F884" s="1041"/>
      <c r="G884" s="28"/>
      <c r="H884" s="28"/>
      <c r="I884" s="28"/>
      <c r="J884" s="28"/>
      <c r="K884" s="28"/>
      <c r="L884" s="28"/>
      <c r="M884" s="28"/>
      <c r="N884" s="28"/>
      <c r="O884" s="28"/>
      <c r="P884" s="28"/>
      <c r="Q884" s="28"/>
      <c r="R884" s="28"/>
      <c r="S884" s="28"/>
      <c r="T884" s="28"/>
      <c r="U884" s="28"/>
      <c r="V884" s="28"/>
      <c r="W884" s="28"/>
      <c r="X884" s="28"/>
      <c r="Y884" s="28"/>
      <c r="Z884" s="28"/>
    </row>
    <row r="885">
      <c r="A885" s="1044"/>
      <c r="B885" s="1045"/>
      <c r="C885" s="1041"/>
      <c r="D885" s="1045"/>
      <c r="E885" s="1041"/>
      <c r="F885" s="1041"/>
      <c r="G885" s="28"/>
      <c r="H885" s="28"/>
      <c r="I885" s="28"/>
      <c r="J885" s="28"/>
      <c r="K885" s="28"/>
      <c r="L885" s="28"/>
      <c r="M885" s="28"/>
      <c r="N885" s="28"/>
      <c r="O885" s="28"/>
      <c r="P885" s="28"/>
      <c r="Q885" s="28"/>
      <c r="R885" s="28"/>
      <c r="S885" s="28"/>
      <c r="T885" s="28"/>
      <c r="U885" s="28"/>
      <c r="V885" s="28"/>
      <c r="W885" s="28"/>
      <c r="X885" s="28"/>
      <c r="Y885" s="28"/>
      <c r="Z885" s="28"/>
    </row>
    <row r="886">
      <c r="A886" s="1044"/>
      <c r="B886" s="1045"/>
      <c r="C886" s="1041"/>
      <c r="D886" s="1045"/>
      <c r="E886" s="1041"/>
      <c r="F886" s="1041"/>
      <c r="G886" s="28"/>
      <c r="H886" s="28"/>
      <c r="I886" s="28"/>
      <c r="J886" s="28"/>
      <c r="K886" s="28"/>
      <c r="L886" s="28"/>
      <c r="M886" s="28"/>
      <c r="N886" s="28"/>
      <c r="O886" s="28"/>
      <c r="P886" s="28"/>
      <c r="Q886" s="28"/>
      <c r="R886" s="28"/>
      <c r="S886" s="28"/>
      <c r="T886" s="28"/>
      <c r="U886" s="28"/>
      <c r="V886" s="28"/>
      <c r="W886" s="28"/>
      <c r="X886" s="28"/>
      <c r="Y886" s="28"/>
      <c r="Z886" s="28"/>
    </row>
    <row r="887">
      <c r="A887" s="1044"/>
      <c r="B887" s="1045"/>
      <c r="C887" s="1041"/>
      <c r="D887" s="1045"/>
      <c r="E887" s="1041"/>
      <c r="F887" s="1041"/>
      <c r="G887" s="28"/>
      <c r="H887" s="28"/>
      <c r="I887" s="28"/>
      <c r="J887" s="28"/>
      <c r="K887" s="28"/>
      <c r="L887" s="28"/>
      <c r="M887" s="28"/>
      <c r="N887" s="28"/>
      <c r="O887" s="28"/>
      <c r="P887" s="28"/>
      <c r="Q887" s="28"/>
      <c r="R887" s="28"/>
      <c r="S887" s="28"/>
      <c r="T887" s="28"/>
      <c r="U887" s="28"/>
      <c r="V887" s="28"/>
      <c r="W887" s="28"/>
      <c r="X887" s="28"/>
      <c r="Y887" s="28"/>
      <c r="Z887" s="28"/>
    </row>
    <row r="888">
      <c r="A888" s="1044"/>
      <c r="B888" s="1045"/>
      <c r="C888" s="1041"/>
      <c r="D888" s="1045"/>
      <c r="E888" s="1041"/>
      <c r="F888" s="1041"/>
      <c r="G888" s="28"/>
      <c r="H888" s="28"/>
      <c r="I888" s="28"/>
      <c r="J888" s="28"/>
      <c r="K888" s="28"/>
      <c r="L888" s="28"/>
      <c r="M888" s="28"/>
      <c r="N888" s="28"/>
      <c r="O888" s="28"/>
      <c r="P888" s="28"/>
      <c r="Q888" s="28"/>
      <c r="R888" s="28"/>
      <c r="S888" s="28"/>
      <c r="T888" s="28"/>
      <c r="U888" s="28"/>
      <c r="V888" s="28"/>
      <c r="W888" s="28"/>
      <c r="X888" s="28"/>
      <c r="Y888" s="28"/>
      <c r="Z888" s="28"/>
    </row>
    <row r="889">
      <c r="A889" s="1044"/>
      <c r="B889" s="1045"/>
      <c r="C889" s="1041"/>
      <c r="D889" s="1045"/>
      <c r="E889" s="1041"/>
      <c r="F889" s="1041"/>
      <c r="G889" s="28"/>
      <c r="H889" s="28"/>
      <c r="I889" s="28"/>
      <c r="J889" s="28"/>
      <c r="K889" s="28"/>
      <c r="L889" s="28"/>
      <c r="M889" s="28"/>
      <c r="N889" s="28"/>
      <c r="O889" s="28"/>
      <c r="P889" s="28"/>
      <c r="Q889" s="28"/>
      <c r="R889" s="28"/>
      <c r="S889" s="28"/>
      <c r="T889" s="28"/>
      <c r="U889" s="28"/>
      <c r="V889" s="28"/>
      <c r="W889" s="28"/>
      <c r="X889" s="28"/>
      <c r="Y889" s="28"/>
      <c r="Z889" s="28"/>
    </row>
    <row r="890">
      <c r="A890" s="1044"/>
      <c r="B890" s="1045"/>
      <c r="C890" s="1041"/>
      <c r="D890" s="1045"/>
      <c r="E890" s="1041"/>
      <c r="F890" s="1041"/>
      <c r="G890" s="28"/>
      <c r="H890" s="28"/>
      <c r="I890" s="28"/>
      <c r="J890" s="28"/>
      <c r="K890" s="28"/>
      <c r="L890" s="28"/>
      <c r="M890" s="28"/>
      <c r="N890" s="28"/>
      <c r="O890" s="28"/>
      <c r="P890" s="28"/>
      <c r="Q890" s="28"/>
      <c r="R890" s="28"/>
      <c r="S890" s="28"/>
      <c r="T890" s="28"/>
      <c r="U890" s="28"/>
      <c r="V890" s="28"/>
      <c r="W890" s="28"/>
      <c r="X890" s="28"/>
      <c r="Y890" s="28"/>
      <c r="Z890" s="28"/>
    </row>
    <row r="891">
      <c r="A891" s="1044"/>
      <c r="B891" s="1045"/>
      <c r="C891" s="1041"/>
      <c r="D891" s="1045"/>
      <c r="E891" s="1041"/>
      <c r="F891" s="1041"/>
      <c r="G891" s="28"/>
      <c r="H891" s="28"/>
      <c r="I891" s="28"/>
      <c r="J891" s="28"/>
      <c r="K891" s="28"/>
      <c r="L891" s="28"/>
      <c r="M891" s="28"/>
      <c r="N891" s="28"/>
      <c r="O891" s="28"/>
      <c r="P891" s="28"/>
      <c r="Q891" s="28"/>
      <c r="R891" s="28"/>
      <c r="S891" s="28"/>
      <c r="T891" s="28"/>
      <c r="U891" s="28"/>
      <c r="V891" s="28"/>
      <c r="W891" s="28"/>
      <c r="X891" s="28"/>
      <c r="Y891" s="28"/>
      <c r="Z891" s="28"/>
    </row>
    <row r="892">
      <c r="A892" s="1044"/>
      <c r="B892" s="1045"/>
      <c r="C892" s="1041"/>
      <c r="D892" s="1045"/>
      <c r="E892" s="1041"/>
      <c r="F892" s="1041"/>
      <c r="G892" s="28"/>
      <c r="H892" s="28"/>
      <c r="I892" s="28"/>
      <c r="J892" s="28"/>
      <c r="K892" s="28"/>
      <c r="L892" s="28"/>
      <c r="M892" s="28"/>
      <c r="N892" s="28"/>
      <c r="O892" s="28"/>
      <c r="P892" s="28"/>
      <c r="Q892" s="28"/>
      <c r="R892" s="28"/>
      <c r="S892" s="28"/>
      <c r="T892" s="28"/>
      <c r="U892" s="28"/>
      <c r="V892" s="28"/>
      <c r="W892" s="28"/>
      <c r="X892" s="28"/>
      <c r="Y892" s="28"/>
      <c r="Z892" s="28"/>
    </row>
    <row r="893">
      <c r="A893" s="1044"/>
      <c r="B893" s="1045"/>
      <c r="C893" s="1041"/>
      <c r="D893" s="1045"/>
      <c r="E893" s="1041"/>
      <c r="F893" s="1041"/>
      <c r="G893" s="28"/>
      <c r="H893" s="28"/>
      <c r="I893" s="28"/>
      <c r="J893" s="28"/>
      <c r="K893" s="28"/>
      <c r="L893" s="28"/>
      <c r="M893" s="28"/>
      <c r="N893" s="28"/>
      <c r="O893" s="28"/>
      <c r="P893" s="28"/>
      <c r="Q893" s="28"/>
      <c r="R893" s="28"/>
      <c r="S893" s="28"/>
      <c r="T893" s="28"/>
      <c r="U893" s="28"/>
      <c r="V893" s="28"/>
      <c r="W893" s="28"/>
      <c r="X893" s="28"/>
      <c r="Y893" s="28"/>
      <c r="Z893" s="28"/>
    </row>
    <row r="894">
      <c r="A894" s="1044"/>
      <c r="B894" s="1045"/>
      <c r="C894" s="1041"/>
      <c r="D894" s="1045"/>
      <c r="E894" s="1041"/>
      <c r="F894" s="1041"/>
      <c r="G894" s="28"/>
      <c r="H894" s="28"/>
      <c r="I894" s="28"/>
      <c r="J894" s="28"/>
      <c r="K894" s="28"/>
      <c r="L894" s="28"/>
      <c r="M894" s="28"/>
      <c r="N894" s="28"/>
      <c r="O894" s="28"/>
      <c r="P894" s="28"/>
      <c r="Q894" s="28"/>
      <c r="R894" s="28"/>
      <c r="S894" s="28"/>
      <c r="T894" s="28"/>
      <c r="U894" s="28"/>
      <c r="V894" s="28"/>
      <c r="W894" s="28"/>
      <c r="X894" s="28"/>
      <c r="Y894" s="28"/>
      <c r="Z894" s="28"/>
    </row>
    <row r="895">
      <c r="A895" s="1044"/>
      <c r="B895" s="1045"/>
      <c r="C895" s="1041"/>
      <c r="D895" s="1045"/>
      <c r="E895" s="1041"/>
      <c r="F895" s="1041"/>
      <c r="G895" s="28"/>
      <c r="H895" s="28"/>
      <c r="I895" s="28"/>
      <c r="J895" s="28"/>
      <c r="K895" s="28"/>
      <c r="L895" s="28"/>
      <c r="M895" s="28"/>
      <c r="N895" s="28"/>
      <c r="O895" s="28"/>
      <c r="P895" s="28"/>
      <c r="Q895" s="28"/>
      <c r="R895" s="28"/>
      <c r="S895" s="28"/>
      <c r="T895" s="28"/>
      <c r="U895" s="28"/>
      <c r="V895" s="28"/>
      <c r="W895" s="28"/>
      <c r="X895" s="28"/>
      <c r="Y895" s="28"/>
      <c r="Z895" s="28"/>
    </row>
    <row r="896">
      <c r="A896" s="1044"/>
      <c r="B896" s="1045"/>
      <c r="C896" s="1041"/>
      <c r="D896" s="1045"/>
      <c r="E896" s="1041"/>
      <c r="F896" s="1041"/>
      <c r="G896" s="28"/>
      <c r="H896" s="28"/>
      <c r="I896" s="28"/>
      <c r="J896" s="28"/>
      <c r="K896" s="28"/>
      <c r="L896" s="28"/>
      <c r="M896" s="28"/>
      <c r="N896" s="28"/>
      <c r="O896" s="28"/>
      <c r="P896" s="28"/>
      <c r="Q896" s="28"/>
      <c r="R896" s="28"/>
      <c r="S896" s="28"/>
      <c r="T896" s="28"/>
      <c r="U896" s="28"/>
      <c r="V896" s="28"/>
      <c r="W896" s="28"/>
      <c r="X896" s="28"/>
      <c r="Y896" s="28"/>
      <c r="Z896" s="28"/>
    </row>
    <row r="897">
      <c r="A897" s="1044"/>
      <c r="B897" s="1045"/>
      <c r="C897" s="1041"/>
      <c r="D897" s="1045"/>
      <c r="E897" s="1041"/>
      <c r="F897" s="1041"/>
      <c r="G897" s="28"/>
      <c r="H897" s="28"/>
      <c r="I897" s="28"/>
      <c r="J897" s="28"/>
      <c r="K897" s="28"/>
      <c r="L897" s="28"/>
      <c r="M897" s="28"/>
      <c r="N897" s="28"/>
      <c r="O897" s="28"/>
      <c r="P897" s="28"/>
      <c r="Q897" s="28"/>
      <c r="R897" s="28"/>
      <c r="S897" s="28"/>
      <c r="T897" s="28"/>
      <c r="U897" s="28"/>
      <c r="V897" s="28"/>
      <c r="W897" s="28"/>
      <c r="X897" s="28"/>
      <c r="Y897" s="28"/>
      <c r="Z897" s="28"/>
    </row>
    <row r="898">
      <c r="A898" s="1044"/>
      <c r="B898" s="1045"/>
      <c r="C898" s="1041"/>
      <c r="D898" s="1045"/>
      <c r="E898" s="1041"/>
      <c r="F898" s="1041"/>
      <c r="G898" s="28"/>
      <c r="H898" s="28"/>
      <c r="I898" s="28"/>
      <c r="J898" s="28"/>
      <c r="K898" s="28"/>
      <c r="L898" s="28"/>
      <c r="M898" s="28"/>
      <c r="N898" s="28"/>
      <c r="O898" s="28"/>
      <c r="P898" s="28"/>
      <c r="Q898" s="28"/>
      <c r="R898" s="28"/>
      <c r="S898" s="28"/>
      <c r="T898" s="28"/>
      <c r="U898" s="28"/>
      <c r="V898" s="28"/>
      <c r="W898" s="28"/>
      <c r="X898" s="28"/>
      <c r="Y898" s="28"/>
      <c r="Z898" s="28"/>
    </row>
    <row r="899">
      <c r="A899" s="1044"/>
      <c r="B899" s="1045"/>
      <c r="C899" s="1041"/>
      <c r="D899" s="1045"/>
      <c r="E899" s="1041"/>
      <c r="F899" s="1041"/>
      <c r="G899" s="28"/>
      <c r="H899" s="28"/>
      <c r="I899" s="28"/>
      <c r="J899" s="28"/>
      <c r="K899" s="28"/>
      <c r="L899" s="28"/>
      <c r="M899" s="28"/>
      <c r="N899" s="28"/>
      <c r="O899" s="28"/>
      <c r="P899" s="28"/>
      <c r="Q899" s="28"/>
      <c r="R899" s="28"/>
      <c r="S899" s="28"/>
      <c r="T899" s="28"/>
      <c r="U899" s="28"/>
      <c r="V899" s="28"/>
      <c r="W899" s="28"/>
      <c r="X899" s="28"/>
      <c r="Y899" s="28"/>
      <c r="Z899" s="28"/>
    </row>
    <row r="900">
      <c r="A900" s="1044"/>
      <c r="B900" s="1045"/>
      <c r="C900" s="1041"/>
      <c r="D900" s="1045"/>
      <c r="E900" s="1041"/>
      <c r="F900" s="1041"/>
      <c r="G900" s="28"/>
      <c r="H900" s="28"/>
      <c r="I900" s="28"/>
      <c r="J900" s="28"/>
      <c r="K900" s="28"/>
      <c r="L900" s="28"/>
      <c r="M900" s="28"/>
      <c r="N900" s="28"/>
      <c r="O900" s="28"/>
      <c r="P900" s="28"/>
      <c r="Q900" s="28"/>
      <c r="R900" s="28"/>
      <c r="S900" s="28"/>
      <c r="T900" s="28"/>
      <c r="U900" s="28"/>
      <c r="V900" s="28"/>
      <c r="W900" s="28"/>
      <c r="X900" s="28"/>
      <c r="Y900" s="28"/>
      <c r="Z900" s="28"/>
    </row>
    <row r="901">
      <c r="A901" s="1044"/>
      <c r="B901" s="1045"/>
      <c r="C901" s="1041"/>
      <c r="D901" s="1045"/>
      <c r="E901" s="1041"/>
      <c r="F901" s="1041"/>
      <c r="G901" s="28"/>
      <c r="H901" s="28"/>
      <c r="I901" s="28"/>
      <c r="J901" s="28"/>
      <c r="K901" s="28"/>
      <c r="L901" s="28"/>
      <c r="M901" s="28"/>
      <c r="N901" s="28"/>
      <c r="O901" s="28"/>
      <c r="P901" s="28"/>
      <c r="Q901" s="28"/>
      <c r="R901" s="28"/>
      <c r="S901" s="28"/>
      <c r="T901" s="28"/>
      <c r="U901" s="28"/>
      <c r="V901" s="28"/>
      <c r="W901" s="28"/>
      <c r="X901" s="28"/>
      <c r="Y901" s="28"/>
      <c r="Z901" s="28"/>
    </row>
    <row r="902">
      <c r="A902" s="1044"/>
      <c r="B902" s="1045"/>
      <c r="C902" s="1041"/>
      <c r="D902" s="1045"/>
      <c r="E902" s="1041"/>
      <c r="F902" s="1041"/>
      <c r="G902" s="28"/>
      <c r="H902" s="28"/>
      <c r="I902" s="28"/>
      <c r="J902" s="28"/>
      <c r="K902" s="28"/>
      <c r="L902" s="28"/>
      <c r="M902" s="28"/>
      <c r="N902" s="28"/>
      <c r="O902" s="28"/>
      <c r="P902" s="28"/>
      <c r="Q902" s="28"/>
      <c r="R902" s="28"/>
      <c r="S902" s="28"/>
      <c r="T902" s="28"/>
      <c r="U902" s="28"/>
      <c r="V902" s="28"/>
      <c r="W902" s="28"/>
      <c r="X902" s="28"/>
      <c r="Y902" s="28"/>
      <c r="Z902" s="28"/>
    </row>
    <row r="903">
      <c r="A903" s="1044"/>
      <c r="B903" s="1045"/>
      <c r="C903" s="1041"/>
      <c r="D903" s="1045"/>
      <c r="E903" s="1041"/>
      <c r="F903" s="1041"/>
      <c r="G903" s="28"/>
      <c r="H903" s="28"/>
      <c r="I903" s="28"/>
      <c r="J903" s="28"/>
      <c r="K903" s="28"/>
      <c r="L903" s="28"/>
      <c r="M903" s="28"/>
      <c r="N903" s="28"/>
      <c r="O903" s="28"/>
      <c r="P903" s="28"/>
      <c r="Q903" s="28"/>
      <c r="R903" s="28"/>
      <c r="S903" s="28"/>
      <c r="T903" s="28"/>
      <c r="U903" s="28"/>
      <c r="V903" s="28"/>
      <c r="W903" s="28"/>
      <c r="X903" s="28"/>
      <c r="Y903" s="28"/>
      <c r="Z903" s="28"/>
    </row>
    <row r="904">
      <c r="A904" s="1044"/>
      <c r="B904" s="1045"/>
      <c r="C904" s="1041"/>
      <c r="D904" s="1045"/>
      <c r="E904" s="1041"/>
      <c r="F904" s="1041"/>
      <c r="G904" s="28"/>
      <c r="H904" s="28"/>
      <c r="I904" s="28"/>
      <c r="J904" s="28"/>
      <c r="K904" s="28"/>
      <c r="L904" s="28"/>
      <c r="M904" s="28"/>
      <c r="N904" s="28"/>
      <c r="O904" s="28"/>
      <c r="P904" s="28"/>
      <c r="Q904" s="28"/>
      <c r="R904" s="28"/>
      <c r="S904" s="28"/>
      <c r="T904" s="28"/>
      <c r="U904" s="28"/>
      <c r="V904" s="28"/>
      <c r="W904" s="28"/>
      <c r="X904" s="28"/>
      <c r="Y904" s="28"/>
      <c r="Z904" s="28"/>
    </row>
    <row r="905">
      <c r="A905" s="1044"/>
      <c r="B905" s="1045"/>
      <c r="C905" s="1041"/>
      <c r="D905" s="1045"/>
      <c r="E905" s="1041"/>
      <c r="F905" s="1041"/>
      <c r="G905" s="28"/>
      <c r="H905" s="28"/>
      <c r="I905" s="28"/>
      <c r="J905" s="28"/>
      <c r="K905" s="28"/>
      <c r="L905" s="28"/>
      <c r="M905" s="28"/>
      <c r="N905" s="28"/>
      <c r="O905" s="28"/>
      <c r="P905" s="28"/>
      <c r="Q905" s="28"/>
      <c r="R905" s="28"/>
      <c r="S905" s="28"/>
      <c r="T905" s="28"/>
      <c r="U905" s="28"/>
      <c r="V905" s="28"/>
      <c r="W905" s="28"/>
      <c r="X905" s="28"/>
      <c r="Y905" s="28"/>
      <c r="Z905" s="28"/>
    </row>
    <row r="906">
      <c r="A906" s="1044"/>
      <c r="B906" s="1045"/>
      <c r="C906" s="1041"/>
      <c r="D906" s="1045"/>
      <c r="E906" s="1041"/>
      <c r="F906" s="1041"/>
      <c r="G906" s="28"/>
      <c r="H906" s="28"/>
      <c r="I906" s="28"/>
      <c r="J906" s="28"/>
      <c r="K906" s="28"/>
      <c r="L906" s="28"/>
      <c r="M906" s="28"/>
      <c r="N906" s="28"/>
      <c r="O906" s="28"/>
      <c r="P906" s="28"/>
      <c r="Q906" s="28"/>
      <c r="R906" s="28"/>
      <c r="S906" s="28"/>
      <c r="T906" s="28"/>
      <c r="U906" s="28"/>
      <c r="V906" s="28"/>
      <c r="W906" s="28"/>
      <c r="X906" s="28"/>
      <c r="Y906" s="28"/>
      <c r="Z906" s="28"/>
    </row>
    <row r="907">
      <c r="A907" s="1044"/>
      <c r="B907" s="1045"/>
      <c r="C907" s="1041"/>
      <c r="D907" s="1045"/>
      <c r="E907" s="1041"/>
      <c r="F907" s="1041"/>
      <c r="G907" s="28"/>
      <c r="H907" s="28"/>
      <c r="I907" s="28"/>
      <c r="J907" s="28"/>
      <c r="K907" s="28"/>
      <c r="L907" s="28"/>
      <c r="M907" s="28"/>
      <c r="N907" s="28"/>
      <c r="O907" s="28"/>
      <c r="P907" s="28"/>
      <c r="Q907" s="28"/>
      <c r="R907" s="28"/>
      <c r="S907" s="28"/>
      <c r="T907" s="28"/>
      <c r="U907" s="28"/>
      <c r="V907" s="28"/>
      <c r="W907" s="28"/>
      <c r="X907" s="28"/>
      <c r="Y907" s="28"/>
      <c r="Z907" s="28"/>
    </row>
    <row r="908">
      <c r="A908" s="1044"/>
      <c r="B908" s="1045"/>
      <c r="C908" s="1041"/>
      <c r="D908" s="1045"/>
      <c r="E908" s="1041"/>
      <c r="F908" s="1041"/>
      <c r="G908" s="28"/>
      <c r="H908" s="28"/>
      <c r="I908" s="28"/>
      <c r="J908" s="28"/>
      <c r="K908" s="28"/>
      <c r="L908" s="28"/>
      <c r="M908" s="28"/>
      <c r="N908" s="28"/>
      <c r="O908" s="28"/>
      <c r="P908" s="28"/>
      <c r="Q908" s="28"/>
      <c r="R908" s="28"/>
      <c r="S908" s="28"/>
      <c r="T908" s="28"/>
      <c r="U908" s="28"/>
      <c r="V908" s="28"/>
      <c r="W908" s="28"/>
      <c r="X908" s="28"/>
      <c r="Y908" s="28"/>
      <c r="Z908" s="28"/>
    </row>
    <row r="909">
      <c r="A909" s="1044"/>
      <c r="B909" s="1045"/>
      <c r="C909" s="1041"/>
      <c r="D909" s="1045"/>
      <c r="E909" s="1041"/>
      <c r="F909" s="1041"/>
      <c r="G909" s="28"/>
      <c r="H909" s="28"/>
      <c r="I909" s="28"/>
      <c r="J909" s="28"/>
      <c r="K909" s="28"/>
      <c r="L909" s="28"/>
      <c r="M909" s="28"/>
      <c r="N909" s="28"/>
      <c r="O909" s="28"/>
      <c r="P909" s="28"/>
      <c r="Q909" s="28"/>
      <c r="R909" s="28"/>
      <c r="S909" s="28"/>
      <c r="T909" s="28"/>
      <c r="U909" s="28"/>
      <c r="V909" s="28"/>
      <c r="W909" s="28"/>
      <c r="X909" s="28"/>
      <c r="Y909" s="28"/>
      <c r="Z909" s="28"/>
    </row>
    <row r="910">
      <c r="A910" s="1044"/>
      <c r="B910" s="1045"/>
      <c r="C910" s="1041"/>
      <c r="D910" s="1045"/>
      <c r="E910" s="1041"/>
      <c r="F910" s="1041"/>
      <c r="G910" s="28"/>
      <c r="H910" s="28"/>
      <c r="I910" s="28"/>
      <c r="J910" s="28"/>
      <c r="K910" s="28"/>
      <c r="L910" s="28"/>
      <c r="M910" s="28"/>
      <c r="N910" s="28"/>
      <c r="O910" s="28"/>
      <c r="P910" s="28"/>
      <c r="Q910" s="28"/>
      <c r="R910" s="28"/>
      <c r="S910" s="28"/>
      <c r="T910" s="28"/>
      <c r="U910" s="28"/>
      <c r="V910" s="28"/>
      <c r="W910" s="28"/>
      <c r="X910" s="28"/>
      <c r="Y910" s="28"/>
      <c r="Z910" s="28"/>
    </row>
    <row r="911">
      <c r="A911" s="1044"/>
      <c r="B911" s="1045"/>
      <c r="C911" s="1041"/>
      <c r="D911" s="1045"/>
      <c r="E911" s="1041"/>
      <c r="F911" s="1041"/>
      <c r="G911" s="28"/>
      <c r="H911" s="28"/>
      <c r="I911" s="28"/>
      <c r="J911" s="28"/>
      <c r="K911" s="28"/>
      <c r="L911" s="28"/>
      <c r="M911" s="28"/>
      <c r="N911" s="28"/>
      <c r="O911" s="28"/>
      <c r="P911" s="28"/>
      <c r="Q911" s="28"/>
      <c r="R911" s="28"/>
      <c r="S911" s="28"/>
      <c r="T911" s="28"/>
      <c r="U911" s="28"/>
      <c r="V911" s="28"/>
      <c r="W911" s="28"/>
      <c r="X911" s="28"/>
      <c r="Y911" s="28"/>
      <c r="Z911" s="28"/>
    </row>
    <row r="912">
      <c r="A912" s="1044"/>
      <c r="B912" s="1045"/>
      <c r="C912" s="1041"/>
      <c r="D912" s="1045"/>
      <c r="E912" s="1041"/>
      <c r="F912" s="1041"/>
      <c r="G912" s="28"/>
      <c r="H912" s="28"/>
      <c r="I912" s="28"/>
      <c r="J912" s="28"/>
      <c r="K912" s="28"/>
      <c r="L912" s="28"/>
      <c r="M912" s="28"/>
      <c r="N912" s="28"/>
      <c r="O912" s="28"/>
      <c r="P912" s="28"/>
      <c r="Q912" s="28"/>
      <c r="R912" s="28"/>
      <c r="S912" s="28"/>
      <c r="T912" s="28"/>
      <c r="U912" s="28"/>
      <c r="V912" s="28"/>
      <c r="W912" s="28"/>
      <c r="X912" s="28"/>
      <c r="Y912" s="28"/>
      <c r="Z912" s="28"/>
    </row>
    <row r="913">
      <c r="A913" s="1044"/>
      <c r="B913" s="1045"/>
      <c r="C913" s="1041"/>
      <c r="D913" s="1045"/>
      <c r="E913" s="1041"/>
      <c r="F913" s="1041"/>
      <c r="G913" s="28"/>
      <c r="H913" s="28"/>
      <c r="I913" s="28"/>
      <c r="J913" s="28"/>
      <c r="K913" s="28"/>
      <c r="L913" s="28"/>
      <c r="M913" s="28"/>
      <c r="N913" s="28"/>
      <c r="O913" s="28"/>
      <c r="P913" s="28"/>
      <c r="Q913" s="28"/>
      <c r="R913" s="28"/>
      <c r="S913" s="28"/>
      <c r="T913" s="28"/>
      <c r="U913" s="28"/>
      <c r="V913" s="28"/>
      <c r="W913" s="28"/>
      <c r="X913" s="28"/>
      <c r="Y913" s="28"/>
      <c r="Z913" s="28"/>
    </row>
    <row r="914">
      <c r="A914" s="1044"/>
      <c r="B914" s="1045"/>
      <c r="C914" s="1041"/>
      <c r="D914" s="1045"/>
      <c r="E914" s="1041"/>
      <c r="F914" s="1041"/>
      <c r="G914" s="28"/>
      <c r="H914" s="28"/>
      <c r="I914" s="28"/>
      <c r="J914" s="28"/>
      <c r="K914" s="28"/>
      <c r="L914" s="28"/>
      <c r="M914" s="28"/>
      <c r="N914" s="28"/>
      <c r="O914" s="28"/>
      <c r="P914" s="28"/>
      <c r="Q914" s="28"/>
      <c r="R914" s="28"/>
      <c r="S914" s="28"/>
      <c r="T914" s="28"/>
      <c r="U914" s="28"/>
      <c r="V914" s="28"/>
      <c r="W914" s="28"/>
      <c r="X914" s="28"/>
      <c r="Y914" s="28"/>
      <c r="Z914" s="28"/>
    </row>
    <row r="915">
      <c r="A915" s="1044"/>
      <c r="B915" s="1045"/>
      <c r="C915" s="1041"/>
      <c r="D915" s="1045"/>
      <c r="E915" s="1041"/>
      <c r="F915" s="1041"/>
      <c r="G915" s="28"/>
      <c r="H915" s="28"/>
      <c r="I915" s="28"/>
      <c r="J915" s="28"/>
      <c r="K915" s="28"/>
      <c r="L915" s="28"/>
      <c r="M915" s="28"/>
      <c r="N915" s="28"/>
      <c r="O915" s="28"/>
      <c r="P915" s="28"/>
      <c r="Q915" s="28"/>
      <c r="R915" s="28"/>
      <c r="S915" s="28"/>
      <c r="T915" s="28"/>
      <c r="U915" s="28"/>
      <c r="V915" s="28"/>
      <c r="W915" s="28"/>
      <c r="X915" s="28"/>
      <c r="Y915" s="28"/>
      <c r="Z915" s="28"/>
    </row>
    <row r="916">
      <c r="A916" s="1044"/>
      <c r="B916" s="1045"/>
      <c r="C916" s="1041"/>
      <c r="D916" s="1045"/>
      <c r="E916" s="1041"/>
      <c r="F916" s="1041"/>
      <c r="G916" s="28"/>
      <c r="H916" s="28"/>
      <c r="I916" s="28"/>
      <c r="J916" s="28"/>
      <c r="K916" s="28"/>
      <c r="L916" s="28"/>
      <c r="M916" s="28"/>
      <c r="N916" s="28"/>
      <c r="O916" s="28"/>
      <c r="P916" s="28"/>
      <c r="Q916" s="28"/>
      <c r="R916" s="28"/>
      <c r="S916" s="28"/>
      <c r="T916" s="28"/>
      <c r="U916" s="28"/>
      <c r="V916" s="28"/>
      <c r="W916" s="28"/>
      <c r="X916" s="28"/>
      <c r="Y916" s="28"/>
      <c r="Z916" s="28"/>
    </row>
    <row r="917">
      <c r="A917" s="1044"/>
      <c r="B917" s="1045"/>
      <c r="C917" s="1041"/>
      <c r="D917" s="1045"/>
      <c r="E917" s="1041"/>
      <c r="F917" s="1041"/>
      <c r="G917" s="28"/>
      <c r="H917" s="28"/>
      <c r="I917" s="28"/>
      <c r="J917" s="28"/>
      <c r="K917" s="28"/>
      <c r="L917" s="28"/>
      <c r="M917" s="28"/>
      <c r="N917" s="28"/>
      <c r="O917" s="28"/>
      <c r="P917" s="28"/>
      <c r="Q917" s="28"/>
      <c r="R917" s="28"/>
      <c r="S917" s="28"/>
      <c r="T917" s="28"/>
      <c r="U917" s="28"/>
      <c r="V917" s="28"/>
      <c r="W917" s="28"/>
      <c r="X917" s="28"/>
      <c r="Y917" s="28"/>
      <c r="Z917" s="28"/>
    </row>
    <row r="918">
      <c r="A918" s="1044"/>
      <c r="B918" s="1045"/>
      <c r="C918" s="1041"/>
      <c r="D918" s="1045"/>
      <c r="E918" s="1041"/>
      <c r="F918" s="1041"/>
      <c r="G918" s="28"/>
      <c r="H918" s="28"/>
      <c r="I918" s="28"/>
      <c r="J918" s="28"/>
      <c r="K918" s="28"/>
      <c r="L918" s="28"/>
      <c r="M918" s="28"/>
      <c r="N918" s="28"/>
      <c r="O918" s="28"/>
      <c r="P918" s="28"/>
      <c r="Q918" s="28"/>
      <c r="R918" s="28"/>
      <c r="S918" s="28"/>
      <c r="T918" s="28"/>
      <c r="U918" s="28"/>
      <c r="V918" s="28"/>
      <c r="W918" s="28"/>
      <c r="X918" s="28"/>
      <c r="Y918" s="28"/>
      <c r="Z918" s="28"/>
    </row>
    <row r="919">
      <c r="A919" s="1044"/>
      <c r="B919" s="1045"/>
      <c r="C919" s="1041"/>
      <c r="D919" s="1045"/>
      <c r="E919" s="1041"/>
      <c r="F919" s="1041"/>
      <c r="G919" s="28"/>
      <c r="H919" s="28"/>
      <c r="I919" s="28"/>
      <c r="J919" s="28"/>
      <c r="K919" s="28"/>
      <c r="L919" s="28"/>
      <c r="M919" s="28"/>
      <c r="N919" s="28"/>
      <c r="O919" s="28"/>
      <c r="P919" s="28"/>
      <c r="Q919" s="28"/>
      <c r="R919" s="28"/>
      <c r="S919" s="28"/>
      <c r="T919" s="28"/>
      <c r="U919" s="28"/>
      <c r="V919" s="28"/>
      <c r="W919" s="28"/>
      <c r="X919" s="28"/>
      <c r="Y919" s="28"/>
      <c r="Z919" s="28"/>
    </row>
    <row r="920">
      <c r="A920" s="1044"/>
      <c r="B920" s="1045"/>
      <c r="C920" s="1041"/>
      <c r="D920" s="1045"/>
      <c r="E920" s="1041"/>
      <c r="F920" s="1041"/>
      <c r="G920" s="28"/>
      <c r="H920" s="28"/>
      <c r="I920" s="28"/>
      <c r="J920" s="28"/>
      <c r="K920" s="28"/>
      <c r="L920" s="28"/>
      <c r="M920" s="28"/>
      <c r="N920" s="28"/>
      <c r="O920" s="28"/>
      <c r="P920" s="28"/>
      <c r="Q920" s="28"/>
      <c r="R920" s="28"/>
      <c r="S920" s="28"/>
      <c r="T920" s="28"/>
      <c r="U920" s="28"/>
      <c r="V920" s="28"/>
      <c r="W920" s="28"/>
      <c r="X920" s="28"/>
      <c r="Y920" s="28"/>
      <c r="Z920" s="28"/>
    </row>
    <row r="921">
      <c r="A921" s="1044"/>
      <c r="B921" s="1045"/>
      <c r="C921" s="1041"/>
      <c r="D921" s="1045"/>
      <c r="E921" s="1041"/>
      <c r="F921" s="1041"/>
      <c r="G921" s="28"/>
      <c r="H921" s="28"/>
      <c r="I921" s="28"/>
      <c r="J921" s="28"/>
      <c r="K921" s="28"/>
      <c r="L921" s="28"/>
      <c r="M921" s="28"/>
      <c r="N921" s="28"/>
      <c r="O921" s="28"/>
      <c r="P921" s="28"/>
      <c r="Q921" s="28"/>
      <c r="R921" s="28"/>
      <c r="S921" s="28"/>
      <c r="T921" s="28"/>
      <c r="U921" s="28"/>
      <c r="V921" s="28"/>
      <c r="W921" s="28"/>
      <c r="X921" s="28"/>
      <c r="Y921" s="28"/>
      <c r="Z921" s="28"/>
    </row>
    <row r="922">
      <c r="A922" s="1044"/>
      <c r="B922" s="1045"/>
      <c r="C922" s="1041"/>
      <c r="D922" s="1045"/>
      <c r="E922" s="1041"/>
      <c r="F922" s="1041"/>
      <c r="G922" s="28"/>
      <c r="H922" s="28"/>
      <c r="I922" s="28"/>
      <c r="J922" s="28"/>
      <c r="K922" s="28"/>
      <c r="L922" s="28"/>
      <c r="M922" s="28"/>
      <c r="N922" s="28"/>
      <c r="O922" s="28"/>
      <c r="P922" s="28"/>
      <c r="Q922" s="28"/>
      <c r="R922" s="28"/>
      <c r="S922" s="28"/>
      <c r="T922" s="28"/>
      <c r="U922" s="28"/>
      <c r="V922" s="28"/>
      <c r="W922" s="28"/>
      <c r="X922" s="28"/>
      <c r="Y922" s="28"/>
      <c r="Z922" s="28"/>
    </row>
    <row r="923">
      <c r="A923" s="1044"/>
      <c r="B923" s="1045"/>
      <c r="C923" s="1041"/>
      <c r="D923" s="1045"/>
      <c r="E923" s="1041"/>
      <c r="F923" s="1041"/>
      <c r="G923" s="28"/>
      <c r="H923" s="28"/>
      <c r="I923" s="28"/>
      <c r="J923" s="28"/>
      <c r="K923" s="28"/>
      <c r="L923" s="28"/>
      <c r="M923" s="28"/>
      <c r="N923" s="28"/>
      <c r="O923" s="28"/>
      <c r="P923" s="28"/>
      <c r="Q923" s="28"/>
      <c r="R923" s="28"/>
      <c r="S923" s="28"/>
      <c r="T923" s="28"/>
      <c r="U923" s="28"/>
      <c r="V923" s="28"/>
      <c r="W923" s="28"/>
      <c r="X923" s="28"/>
      <c r="Y923" s="28"/>
      <c r="Z923" s="28"/>
    </row>
    <row r="924">
      <c r="A924" s="1044"/>
      <c r="B924" s="1045"/>
      <c r="C924" s="1041"/>
      <c r="D924" s="1045"/>
      <c r="E924" s="1041"/>
      <c r="F924" s="1041"/>
      <c r="G924" s="28"/>
      <c r="H924" s="28"/>
      <c r="I924" s="28"/>
      <c r="J924" s="28"/>
      <c r="K924" s="28"/>
      <c r="L924" s="28"/>
      <c r="M924" s="28"/>
      <c r="N924" s="28"/>
      <c r="O924" s="28"/>
      <c r="P924" s="28"/>
      <c r="Q924" s="28"/>
      <c r="R924" s="28"/>
      <c r="S924" s="28"/>
      <c r="T924" s="28"/>
      <c r="U924" s="28"/>
      <c r="V924" s="28"/>
      <c r="W924" s="28"/>
      <c r="X924" s="28"/>
      <c r="Y924" s="28"/>
      <c r="Z924" s="28"/>
    </row>
    <row r="925">
      <c r="A925" s="1044"/>
      <c r="B925" s="1045"/>
      <c r="C925" s="1041"/>
      <c r="D925" s="1045"/>
      <c r="E925" s="1041"/>
      <c r="F925" s="1041"/>
      <c r="G925" s="28"/>
      <c r="H925" s="28"/>
      <c r="I925" s="28"/>
      <c r="J925" s="28"/>
      <c r="K925" s="28"/>
      <c r="L925" s="28"/>
      <c r="M925" s="28"/>
      <c r="N925" s="28"/>
      <c r="O925" s="28"/>
      <c r="P925" s="28"/>
      <c r="Q925" s="28"/>
      <c r="R925" s="28"/>
      <c r="S925" s="28"/>
      <c r="T925" s="28"/>
      <c r="U925" s="28"/>
      <c r="V925" s="28"/>
      <c r="W925" s="28"/>
      <c r="X925" s="28"/>
      <c r="Y925" s="28"/>
      <c r="Z925" s="28"/>
    </row>
    <row r="926">
      <c r="A926" s="1044"/>
      <c r="B926" s="1045"/>
      <c r="C926" s="1041"/>
      <c r="D926" s="1045"/>
      <c r="E926" s="1041"/>
      <c r="F926" s="1041"/>
      <c r="G926" s="28"/>
      <c r="H926" s="28"/>
      <c r="I926" s="28"/>
      <c r="J926" s="28"/>
      <c r="K926" s="28"/>
      <c r="L926" s="28"/>
      <c r="M926" s="28"/>
      <c r="N926" s="28"/>
      <c r="O926" s="28"/>
      <c r="P926" s="28"/>
      <c r="Q926" s="28"/>
      <c r="R926" s="28"/>
      <c r="S926" s="28"/>
      <c r="T926" s="28"/>
      <c r="U926" s="28"/>
      <c r="V926" s="28"/>
      <c r="W926" s="28"/>
      <c r="X926" s="28"/>
      <c r="Y926" s="28"/>
      <c r="Z926" s="28"/>
    </row>
    <row r="927">
      <c r="A927" s="1044"/>
      <c r="B927" s="1045"/>
      <c r="C927" s="1041"/>
      <c r="D927" s="1045"/>
      <c r="E927" s="1041"/>
      <c r="F927" s="1041"/>
      <c r="G927" s="28"/>
      <c r="H927" s="28"/>
      <c r="I927" s="28"/>
      <c r="J927" s="28"/>
      <c r="K927" s="28"/>
      <c r="L927" s="28"/>
      <c r="M927" s="28"/>
      <c r="N927" s="28"/>
      <c r="O927" s="28"/>
      <c r="P927" s="28"/>
      <c r="Q927" s="28"/>
      <c r="R927" s="28"/>
      <c r="S927" s="28"/>
      <c r="T927" s="28"/>
      <c r="U927" s="28"/>
      <c r="V927" s="28"/>
      <c r="W927" s="28"/>
      <c r="X927" s="28"/>
      <c r="Y927" s="28"/>
      <c r="Z927" s="28"/>
    </row>
    <row r="928">
      <c r="A928" s="1044"/>
      <c r="B928" s="1045"/>
      <c r="C928" s="1041"/>
      <c r="D928" s="1045"/>
      <c r="E928" s="1041"/>
      <c r="F928" s="1041"/>
      <c r="G928" s="28"/>
      <c r="H928" s="28"/>
      <c r="I928" s="28"/>
      <c r="J928" s="28"/>
      <c r="K928" s="28"/>
      <c r="L928" s="28"/>
      <c r="M928" s="28"/>
      <c r="N928" s="28"/>
      <c r="O928" s="28"/>
      <c r="P928" s="28"/>
      <c r="Q928" s="28"/>
      <c r="R928" s="28"/>
      <c r="S928" s="28"/>
      <c r="T928" s="28"/>
      <c r="U928" s="28"/>
      <c r="V928" s="28"/>
      <c r="W928" s="28"/>
      <c r="X928" s="28"/>
      <c r="Y928" s="28"/>
      <c r="Z928" s="28"/>
    </row>
    <row r="929">
      <c r="A929" s="1044"/>
      <c r="B929" s="1045"/>
      <c r="C929" s="1041"/>
      <c r="D929" s="1045"/>
      <c r="E929" s="1041"/>
      <c r="F929" s="1041"/>
      <c r="G929" s="28"/>
      <c r="H929" s="28"/>
      <c r="I929" s="28"/>
      <c r="J929" s="28"/>
      <c r="K929" s="28"/>
      <c r="L929" s="28"/>
      <c r="M929" s="28"/>
      <c r="N929" s="28"/>
      <c r="O929" s="28"/>
      <c r="P929" s="28"/>
      <c r="Q929" s="28"/>
      <c r="R929" s="28"/>
      <c r="S929" s="28"/>
      <c r="T929" s="28"/>
      <c r="U929" s="28"/>
      <c r="V929" s="28"/>
      <c r="W929" s="28"/>
      <c r="X929" s="28"/>
      <c r="Y929" s="28"/>
      <c r="Z929" s="28"/>
    </row>
    <row r="930">
      <c r="A930" s="1044"/>
      <c r="B930" s="1045"/>
      <c r="C930" s="1041"/>
      <c r="D930" s="1045"/>
      <c r="E930" s="1041"/>
      <c r="F930" s="1041"/>
      <c r="G930" s="28"/>
      <c r="H930" s="28"/>
      <c r="I930" s="28"/>
      <c r="J930" s="28"/>
      <c r="K930" s="28"/>
      <c r="L930" s="28"/>
      <c r="M930" s="28"/>
      <c r="N930" s="28"/>
      <c r="O930" s="28"/>
      <c r="P930" s="28"/>
      <c r="Q930" s="28"/>
      <c r="R930" s="28"/>
      <c r="S930" s="28"/>
      <c r="T930" s="28"/>
      <c r="U930" s="28"/>
      <c r="V930" s="28"/>
      <c r="W930" s="28"/>
      <c r="X930" s="28"/>
      <c r="Y930" s="28"/>
      <c r="Z930" s="28"/>
    </row>
    <row r="931">
      <c r="A931" s="1044"/>
      <c r="B931" s="1045"/>
      <c r="C931" s="1041"/>
      <c r="D931" s="1045"/>
      <c r="E931" s="1041"/>
      <c r="F931" s="1041"/>
      <c r="G931" s="28"/>
      <c r="H931" s="28"/>
      <c r="I931" s="28"/>
      <c r="J931" s="28"/>
      <c r="K931" s="28"/>
      <c r="L931" s="28"/>
      <c r="M931" s="28"/>
      <c r="N931" s="28"/>
      <c r="O931" s="28"/>
      <c r="P931" s="28"/>
      <c r="Q931" s="28"/>
      <c r="R931" s="28"/>
      <c r="S931" s="28"/>
      <c r="T931" s="28"/>
      <c r="U931" s="28"/>
      <c r="V931" s="28"/>
      <c r="W931" s="28"/>
      <c r="X931" s="28"/>
      <c r="Y931" s="28"/>
      <c r="Z931" s="28"/>
    </row>
    <row r="932">
      <c r="A932" s="1044"/>
      <c r="B932" s="1045"/>
      <c r="C932" s="1041"/>
      <c r="D932" s="1045"/>
      <c r="E932" s="1041"/>
      <c r="F932" s="1041"/>
      <c r="G932" s="28"/>
      <c r="H932" s="28"/>
      <c r="I932" s="28"/>
      <c r="J932" s="28"/>
      <c r="K932" s="28"/>
      <c r="L932" s="28"/>
      <c r="M932" s="28"/>
      <c r="N932" s="28"/>
      <c r="O932" s="28"/>
      <c r="P932" s="28"/>
      <c r="Q932" s="28"/>
      <c r="R932" s="28"/>
      <c r="S932" s="28"/>
      <c r="T932" s="28"/>
      <c r="U932" s="28"/>
      <c r="V932" s="28"/>
      <c r="W932" s="28"/>
      <c r="X932" s="28"/>
      <c r="Y932" s="28"/>
      <c r="Z932" s="28"/>
    </row>
    <row r="933">
      <c r="A933" s="1044"/>
      <c r="B933" s="1045"/>
      <c r="C933" s="1041"/>
      <c r="D933" s="1045"/>
      <c r="E933" s="1041"/>
      <c r="F933" s="1041"/>
      <c r="G933" s="28"/>
      <c r="H933" s="28"/>
      <c r="I933" s="28"/>
      <c r="J933" s="28"/>
      <c r="K933" s="28"/>
      <c r="L933" s="28"/>
      <c r="M933" s="28"/>
      <c r="N933" s="28"/>
      <c r="O933" s="28"/>
      <c r="P933" s="28"/>
      <c r="Q933" s="28"/>
      <c r="R933" s="28"/>
      <c r="S933" s="28"/>
      <c r="T933" s="28"/>
      <c r="U933" s="28"/>
      <c r="V933" s="28"/>
      <c r="W933" s="28"/>
      <c r="X933" s="28"/>
      <c r="Y933" s="28"/>
      <c r="Z933" s="28"/>
    </row>
    <row r="934">
      <c r="A934" s="1044"/>
      <c r="B934" s="1045"/>
      <c r="C934" s="1041"/>
      <c r="D934" s="1045"/>
      <c r="E934" s="1041"/>
      <c r="F934" s="1041"/>
      <c r="G934" s="28"/>
      <c r="H934" s="28"/>
      <c r="I934" s="28"/>
      <c r="J934" s="28"/>
      <c r="K934" s="28"/>
      <c r="L934" s="28"/>
      <c r="M934" s="28"/>
      <c r="N934" s="28"/>
      <c r="O934" s="28"/>
      <c r="P934" s="28"/>
      <c r="Q934" s="28"/>
      <c r="R934" s="28"/>
      <c r="S934" s="28"/>
      <c r="T934" s="28"/>
      <c r="U934" s="28"/>
      <c r="V934" s="28"/>
      <c r="W934" s="28"/>
      <c r="X934" s="28"/>
      <c r="Y934" s="28"/>
      <c r="Z934" s="28"/>
    </row>
    <row r="935">
      <c r="A935" s="1044"/>
      <c r="B935" s="1045"/>
      <c r="C935" s="1041"/>
      <c r="D935" s="1045"/>
      <c r="E935" s="1041"/>
      <c r="F935" s="1041"/>
      <c r="G935" s="28"/>
      <c r="H935" s="28"/>
      <c r="I935" s="28"/>
      <c r="J935" s="28"/>
      <c r="K935" s="28"/>
      <c r="L935" s="28"/>
      <c r="M935" s="28"/>
      <c r="N935" s="28"/>
      <c r="O935" s="28"/>
      <c r="P935" s="28"/>
      <c r="Q935" s="28"/>
      <c r="R935" s="28"/>
      <c r="S935" s="28"/>
      <c r="T935" s="28"/>
      <c r="U935" s="28"/>
      <c r="V935" s="28"/>
      <c r="W935" s="28"/>
      <c r="X935" s="28"/>
      <c r="Y935" s="28"/>
      <c r="Z935" s="28"/>
    </row>
    <row r="936">
      <c r="A936" s="1044"/>
      <c r="B936" s="1045"/>
      <c r="C936" s="1041"/>
      <c r="D936" s="1045"/>
      <c r="E936" s="1041"/>
      <c r="F936" s="1041"/>
      <c r="G936" s="28"/>
      <c r="H936" s="28"/>
      <c r="I936" s="28"/>
      <c r="J936" s="28"/>
      <c r="K936" s="28"/>
      <c r="L936" s="28"/>
      <c r="M936" s="28"/>
      <c r="N936" s="28"/>
      <c r="O936" s="28"/>
      <c r="P936" s="28"/>
      <c r="Q936" s="28"/>
      <c r="R936" s="28"/>
      <c r="S936" s="28"/>
      <c r="T936" s="28"/>
      <c r="U936" s="28"/>
      <c r="V936" s="28"/>
      <c r="W936" s="28"/>
      <c r="X936" s="28"/>
      <c r="Y936" s="28"/>
      <c r="Z936" s="28"/>
    </row>
    <row r="937">
      <c r="A937" s="1044"/>
      <c r="B937" s="1045"/>
      <c r="C937" s="1041"/>
      <c r="D937" s="1045"/>
      <c r="E937" s="1041"/>
      <c r="F937" s="1041"/>
      <c r="G937" s="28"/>
      <c r="H937" s="28"/>
      <c r="I937" s="28"/>
      <c r="J937" s="28"/>
      <c r="K937" s="28"/>
      <c r="L937" s="28"/>
      <c r="M937" s="28"/>
      <c r="N937" s="28"/>
      <c r="O937" s="28"/>
      <c r="P937" s="28"/>
      <c r="Q937" s="28"/>
      <c r="R937" s="28"/>
      <c r="S937" s="28"/>
      <c r="T937" s="28"/>
      <c r="U937" s="28"/>
      <c r="V937" s="28"/>
      <c r="W937" s="28"/>
      <c r="X937" s="28"/>
      <c r="Y937" s="28"/>
      <c r="Z937" s="28"/>
    </row>
    <row r="938">
      <c r="A938" s="1044"/>
      <c r="B938" s="1045"/>
      <c r="C938" s="1041"/>
      <c r="D938" s="1045"/>
      <c r="E938" s="1041"/>
      <c r="F938" s="1041"/>
      <c r="G938" s="28"/>
      <c r="H938" s="28"/>
      <c r="I938" s="28"/>
      <c r="J938" s="28"/>
      <c r="K938" s="28"/>
      <c r="L938" s="28"/>
      <c r="M938" s="28"/>
      <c r="N938" s="28"/>
      <c r="O938" s="28"/>
      <c r="P938" s="28"/>
      <c r="Q938" s="28"/>
      <c r="R938" s="28"/>
      <c r="S938" s="28"/>
      <c r="T938" s="28"/>
      <c r="U938" s="28"/>
      <c r="V938" s="28"/>
      <c r="W938" s="28"/>
      <c r="X938" s="28"/>
      <c r="Y938" s="28"/>
      <c r="Z938" s="28"/>
    </row>
    <row r="939">
      <c r="A939" s="1044"/>
      <c r="B939" s="1045"/>
      <c r="C939" s="1041"/>
      <c r="D939" s="1045"/>
      <c r="E939" s="1041"/>
      <c r="F939" s="1041"/>
      <c r="G939" s="28"/>
      <c r="H939" s="28"/>
      <c r="I939" s="28"/>
      <c r="J939" s="28"/>
      <c r="K939" s="28"/>
      <c r="L939" s="28"/>
      <c r="M939" s="28"/>
      <c r="N939" s="28"/>
      <c r="O939" s="28"/>
      <c r="P939" s="28"/>
      <c r="Q939" s="28"/>
      <c r="R939" s="28"/>
      <c r="S939" s="28"/>
      <c r="T939" s="28"/>
      <c r="U939" s="28"/>
      <c r="V939" s="28"/>
      <c r="W939" s="28"/>
      <c r="X939" s="28"/>
      <c r="Y939" s="28"/>
      <c r="Z939" s="28"/>
    </row>
    <row r="940">
      <c r="A940" s="1044"/>
      <c r="B940" s="1045"/>
      <c r="C940" s="1041"/>
      <c r="D940" s="1045"/>
      <c r="E940" s="1041"/>
      <c r="F940" s="1041"/>
      <c r="G940" s="28"/>
      <c r="H940" s="28"/>
      <c r="I940" s="28"/>
      <c r="J940" s="28"/>
      <c r="K940" s="28"/>
      <c r="L940" s="28"/>
      <c r="M940" s="28"/>
      <c r="N940" s="28"/>
      <c r="O940" s="28"/>
      <c r="P940" s="28"/>
      <c r="Q940" s="28"/>
      <c r="R940" s="28"/>
      <c r="S940" s="28"/>
      <c r="T940" s="28"/>
      <c r="U940" s="28"/>
      <c r="V940" s="28"/>
      <c r="W940" s="28"/>
      <c r="X940" s="28"/>
      <c r="Y940" s="28"/>
      <c r="Z940" s="28"/>
    </row>
    <row r="941">
      <c r="A941" s="1044"/>
      <c r="B941" s="1045"/>
      <c r="C941" s="1041"/>
      <c r="D941" s="1045"/>
      <c r="E941" s="1041"/>
      <c r="F941" s="1041"/>
      <c r="G941" s="28"/>
      <c r="H941" s="28"/>
      <c r="I941" s="28"/>
      <c r="J941" s="28"/>
      <c r="K941" s="28"/>
      <c r="L941" s="28"/>
      <c r="M941" s="28"/>
      <c r="N941" s="28"/>
      <c r="O941" s="28"/>
      <c r="P941" s="28"/>
      <c r="Q941" s="28"/>
      <c r="R941" s="28"/>
      <c r="S941" s="28"/>
      <c r="T941" s="28"/>
      <c r="U941" s="28"/>
      <c r="V941" s="28"/>
      <c r="W941" s="28"/>
      <c r="X941" s="28"/>
      <c r="Y941" s="28"/>
      <c r="Z941" s="28"/>
    </row>
    <row r="942">
      <c r="A942" s="1044"/>
      <c r="B942" s="1045"/>
      <c r="C942" s="1041"/>
      <c r="D942" s="1045"/>
      <c r="E942" s="1041"/>
      <c r="F942" s="1041"/>
      <c r="G942" s="28"/>
      <c r="H942" s="28"/>
      <c r="I942" s="28"/>
      <c r="J942" s="28"/>
      <c r="K942" s="28"/>
      <c r="L942" s="28"/>
      <c r="M942" s="28"/>
      <c r="N942" s="28"/>
      <c r="O942" s="28"/>
      <c r="P942" s="28"/>
      <c r="Q942" s="28"/>
      <c r="R942" s="28"/>
      <c r="S942" s="28"/>
      <c r="T942" s="28"/>
      <c r="U942" s="28"/>
      <c r="V942" s="28"/>
      <c r="W942" s="28"/>
      <c r="X942" s="28"/>
      <c r="Y942" s="28"/>
      <c r="Z942" s="28"/>
    </row>
    <row r="943">
      <c r="A943" s="1044"/>
      <c r="B943" s="1045"/>
      <c r="C943" s="1041"/>
      <c r="D943" s="1045"/>
      <c r="E943" s="1041"/>
      <c r="F943" s="1041"/>
      <c r="G943" s="28"/>
      <c r="H943" s="28"/>
      <c r="I943" s="28"/>
      <c r="J943" s="28"/>
      <c r="K943" s="28"/>
      <c r="L943" s="28"/>
      <c r="M943" s="28"/>
      <c r="N943" s="28"/>
      <c r="O943" s="28"/>
      <c r="P943" s="28"/>
      <c r="Q943" s="28"/>
      <c r="R943" s="28"/>
      <c r="S943" s="28"/>
      <c r="T943" s="28"/>
      <c r="U943" s="28"/>
      <c r="V943" s="28"/>
      <c r="W943" s="28"/>
      <c r="X943" s="28"/>
      <c r="Y943" s="28"/>
      <c r="Z943" s="28"/>
    </row>
    <row r="944">
      <c r="A944" s="1044"/>
      <c r="B944" s="1045"/>
      <c r="C944" s="1041"/>
      <c r="D944" s="1045"/>
      <c r="E944" s="1041"/>
      <c r="F944" s="1041"/>
      <c r="G944" s="28"/>
      <c r="H944" s="28"/>
      <c r="I944" s="28"/>
      <c r="J944" s="28"/>
      <c r="K944" s="28"/>
      <c r="L944" s="28"/>
      <c r="M944" s="28"/>
      <c r="N944" s="28"/>
      <c r="O944" s="28"/>
      <c r="P944" s="28"/>
      <c r="Q944" s="28"/>
      <c r="R944" s="28"/>
      <c r="S944" s="28"/>
      <c r="T944" s="28"/>
      <c r="U944" s="28"/>
      <c r="V944" s="28"/>
      <c r="W944" s="28"/>
      <c r="X944" s="28"/>
      <c r="Y944" s="28"/>
      <c r="Z944" s="28"/>
    </row>
    <row r="945">
      <c r="A945" s="1044"/>
      <c r="B945" s="1045"/>
      <c r="C945" s="1041"/>
      <c r="D945" s="1045"/>
      <c r="E945" s="1041"/>
      <c r="F945" s="1041"/>
      <c r="G945" s="28"/>
      <c r="H945" s="28"/>
      <c r="I945" s="28"/>
      <c r="J945" s="28"/>
      <c r="K945" s="28"/>
      <c r="L945" s="28"/>
      <c r="M945" s="28"/>
      <c r="N945" s="28"/>
      <c r="O945" s="28"/>
      <c r="P945" s="28"/>
      <c r="Q945" s="28"/>
      <c r="R945" s="28"/>
      <c r="S945" s="28"/>
      <c r="T945" s="28"/>
      <c r="U945" s="28"/>
      <c r="V945" s="28"/>
      <c r="W945" s="28"/>
      <c r="X945" s="28"/>
      <c r="Y945" s="28"/>
      <c r="Z945" s="28"/>
    </row>
    <row r="946">
      <c r="A946" s="1044"/>
      <c r="B946" s="1045"/>
      <c r="C946" s="1041"/>
      <c r="D946" s="1045"/>
      <c r="E946" s="1041"/>
      <c r="F946" s="1041"/>
      <c r="G946" s="28"/>
      <c r="H946" s="28"/>
      <c r="I946" s="28"/>
      <c r="J946" s="28"/>
      <c r="K946" s="28"/>
      <c r="L946" s="28"/>
      <c r="M946" s="28"/>
      <c r="N946" s="28"/>
      <c r="O946" s="28"/>
      <c r="P946" s="28"/>
      <c r="Q946" s="28"/>
      <c r="R946" s="28"/>
      <c r="S946" s="28"/>
      <c r="T946" s="28"/>
      <c r="U946" s="28"/>
      <c r="V946" s="28"/>
      <c r="W946" s="28"/>
      <c r="X946" s="28"/>
      <c r="Y946" s="28"/>
      <c r="Z946" s="28"/>
    </row>
    <row r="947">
      <c r="A947" s="1044"/>
      <c r="B947" s="1045"/>
      <c r="C947" s="1041"/>
      <c r="D947" s="1045"/>
      <c r="E947" s="1041"/>
      <c r="F947" s="1041"/>
      <c r="G947" s="28"/>
      <c r="H947" s="28"/>
      <c r="I947" s="28"/>
      <c r="J947" s="28"/>
      <c r="K947" s="28"/>
      <c r="L947" s="28"/>
      <c r="M947" s="28"/>
      <c r="N947" s="28"/>
      <c r="O947" s="28"/>
      <c r="P947" s="28"/>
      <c r="Q947" s="28"/>
      <c r="R947" s="28"/>
      <c r="S947" s="28"/>
      <c r="T947" s="28"/>
      <c r="U947" s="28"/>
      <c r="V947" s="28"/>
      <c r="W947" s="28"/>
      <c r="X947" s="28"/>
      <c r="Y947" s="28"/>
      <c r="Z947" s="28"/>
    </row>
    <row r="948">
      <c r="A948" s="1044"/>
      <c r="B948" s="1045"/>
      <c r="C948" s="1041"/>
      <c r="D948" s="1045"/>
      <c r="E948" s="1041"/>
      <c r="F948" s="1041"/>
      <c r="G948" s="28"/>
      <c r="H948" s="28"/>
      <c r="I948" s="28"/>
      <c r="J948" s="28"/>
      <c r="K948" s="28"/>
      <c r="L948" s="28"/>
      <c r="M948" s="28"/>
      <c r="N948" s="28"/>
      <c r="O948" s="28"/>
      <c r="P948" s="28"/>
      <c r="Q948" s="28"/>
      <c r="R948" s="28"/>
      <c r="S948" s="28"/>
      <c r="T948" s="28"/>
      <c r="U948" s="28"/>
      <c r="V948" s="28"/>
      <c r="W948" s="28"/>
      <c r="X948" s="28"/>
      <c r="Y948" s="28"/>
      <c r="Z948" s="28"/>
    </row>
    <row r="949">
      <c r="A949" s="1044"/>
      <c r="B949" s="1045"/>
      <c r="C949" s="1041"/>
      <c r="D949" s="1045"/>
      <c r="E949" s="1041"/>
      <c r="F949" s="1041"/>
      <c r="G949" s="28"/>
      <c r="H949" s="28"/>
      <c r="I949" s="28"/>
      <c r="J949" s="28"/>
      <c r="K949" s="28"/>
      <c r="L949" s="28"/>
      <c r="M949" s="28"/>
      <c r="N949" s="28"/>
      <c r="O949" s="28"/>
      <c r="P949" s="28"/>
      <c r="Q949" s="28"/>
      <c r="R949" s="28"/>
      <c r="S949" s="28"/>
      <c r="T949" s="28"/>
      <c r="U949" s="28"/>
      <c r="V949" s="28"/>
      <c r="W949" s="28"/>
      <c r="X949" s="28"/>
      <c r="Y949" s="28"/>
      <c r="Z949" s="28"/>
    </row>
    <row r="950">
      <c r="A950" s="1044"/>
      <c r="B950" s="1045"/>
      <c r="C950" s="1041"/>
      <c r="D950" s="1045"/>
      <c r="E950" s="1041"/>
      <c r="F950" s="1041"/>
      <c r="G950" s="28"/>
      <c r="H950" s="28"/>
      <c r="I950" s="28"/>
      <c r="J950" s="28"/>
      <c r="K950" s="28"/>
      <c r="L950" s="28"/>
      <c r="M950" s="28"/>
      <c r="N950" s="28"/>
      <c r="O950" s="28"/>
      <c r="P950" s="28"/>
      <c r="Q950" s="28"/>
      <c r="R950" s="28"/>
      <c r="S950" s="28"/>
      <c r="T950" s="28"/>
      <c r="U950" s="28"/>
      <c r="V950" s="28"/>
      <c r="W950" s="28"/>
      <c r="X950" s="28"/>
      <c r="Y950" s="28"/>
      <c r="Z950" s="28"/>
    </row>
    <row r="951">
      <c r="A951" s="1044"/>
      <c r="B951" s="1045"/>
      <c r="C951" s="1041"/>
      <c r="D951" s="1045"/>
      <c r="E951" s="1041"/>
      <c r="F951" s="1041"/>
      <c r="G951" s="28"/>
      <c r="H951" s="28"/>
      <c r="I951" s="28"/>
      <c r="J951" s="28"/>
      <c r="K951" s="28"/>
      <c r="L951" s="28"/>
      <c r="M951" s="28"/>
      <c r="N951" s="28"/>
      <c r="O951" s="28"/>
      <c r="P951" s="28"/>
      <c r="Q951" s="28"/>
      <c r="R951" s="28"/>
      <c r="S951" s="28"/>
      <c r="T951" s="28"/>
      <c r="U951" s="28"/>
      <c r="V951" s="28"/>
      <c r="W951" s="28"/>
      <c r="X951" s="28"/>
      <c r="Y951" s="28"/>
      <c r="Z951" s="28"/>
    </row>
    <row r="952">
      <c r="A952" s="1044"/>
      <c r="B952" s="1045"/>
      <c r="C952" s="1041"/>
      <c r="D952" s="1045"/>
      <c r="E952" s="1041"/>
      <c r="F952" s="1041"/>
      <c r="G952" s="28"/>
      <c r="H952" s="28"/>
      <c r="I952" s="28"/>
      <c r="J952" s="28"/>
      <c r="K952" s="28"/>
      <c r="L952" s="28"/>
      <c r="M952" s="28"/>
      <c r="N952" s="28"/>
      <c r="O952" s="28"/>
      <c r="P952" s="28"/>
      <c r="Q952" s="28"/>
      <c r="R952" s="28"/>
      <c r="S952" s="28"/>
      <c r="T952" s="28"/>
      <c r="U952" s="28"/>
      <c r="V952" s="28"/>
      <c r="W952" s="28"/>
      <c r="X952" s="28"/>
      <c r="Y952" s="28"/>
      <c r="Z952" s="28"/>
    </row>
    <row r="953">
      <c r="A953" s="1044"/>
      <c r="B953" s="1045"/>
      <c r="C953" s="1041"/>
      <c r="D953" s="1045"/>
      <c r="E953" s="1041"/>
      <c r="F953" s="1041"/>
      <c r="G953" s="28"/>
      <c r="H953" s="28"/>
      <c r="I953" s="28"/>
      <c r="J953" s="28"/>
      <c r="K953" s="28"/>
      <c r="L953" s="28"/>
      <c r="M953" s="28"/>
      <c r="N953" s="28"/>
      <c r="O953" s="28"/>
      <c r="P953" s="28"/>
      <c r="Q953" s="28"/>
      <c r="R953" s="28"/>
      <c r="S953" s="28"/>
      <c r="T953" s="28"/>
      <c r="U953" s="28"/>
      <c r="V953" s="28"/>
      <c r="W953" s="28"/>
      <c r="X953" s="28"/>
      <c r="Y953" s="28"/>
      <c r="Z953" s="28"/>
    </row>
    <row r="954">
      <c r="A954" s="1044"/>
      <c r="B954" s="1045"/>
      <c r="C954" s="1041"/>
      <c r="D954" s="1045"/>
      <c r="E954" s="1041"/>
      <c r="F954" s="1041"/>
      <c r="G954" s="28"/>
      <c r="H954" s="28"/>
      <c r="I954" s="28"/>
      <c r="J954" s="28"/>
      <c r="K954" s="28"/>
      <c r="L954" s="28"/>
      <c r="M954" s="28"/>
      <c r="N954" s="28"/>
      <c r="O954" s="28"/>
      <c r="P954" s="28"/>
      <c r="Q954" s="28"/>
      <c r="R954" s="28"/>
      <c r="S954" s="28"/>
      <c r="T954" s="28"/>
      <c r="U954" s="28"/>
      <c r="V954" s="28"/>
      <c r="W954" s="28"/>
      <c r="X954" s="28"/>
      <c r="Y954" s="28"/>
      <c r="Z954" s="28"/>
    </row>
    <row r="955">
      <c r="A955" s="1044"/>
      <c r="B955" s="1045"/>
      <c r="C955" s="1041"/>
      <c r="D955" s="1045"/>
      <c r="E955" s="1041"/>
      <c r="F955" s="1041"/>
      <c r="G955" s="28"/>
      <c r="H955" s="28"/>
      <c r="I955" s="28"/>
      <c r="J955" s="28"/>
      <c r="K955" s="28"/>
      <c r="L955" s="28"/>
      <c r="M955" s="28"/>
      <c r="N955" s="28"/>
      <c r="O955" s="28"/>
      <c r="P955" s="28"/>
      <c r="Q955" s="28"/>
      <c r="R955" s="28"/>
      <c r="S955" s="28"/>
      <c r="T955" s="28"/>
      <c r="U955" s="28"/>
      <c r="V955" s="28"/>
      <c r="W955" s="28"/>
      <c r="X955" s="28"/>
      <c r="Y955" s="28"/>
      <c r="Z955" s="28"/>
    </row>
    <row r="956">
      <c r="A956" s="1044"/>
      <c r="B956" s="1045"/>
      <c r="C956" s="1041"/>
      <c r="D956" s="1045"/>
      <c r="E956" s="1041"/>
      <c r="F956" s="1041"/>
      <c r="G956" s="28"/>
      <c r="H956" s="28"/>
      <c r="I956" s="28"/>
      <c r="J956" s="28"/>
      <c r="K956" s="28"/>
      <c r="L956" s="28"/>
      <c r="M956" s="28"/>
      <c r="N956" s="28"/>
      <c r="O956" s="28"/>
      <c r="P956" s="28"/>
      <c r="Q956" s="28"/>
      <c r="R956" s="28"/>
      <c r="S956" s="28"/>
      <c r="T956" s="28"/>
      <c r="U956" s="28"/>
      <c r="V956" s="28"/>
      <c r="W956" s="28"/>
      <c r="X956" s="28"/>
      <c r="Y956" s="28"/>
      <c r="Z956" s="28"/>
    </row>
    <row r="957">
      <c r="A957" s="1044"/>
      <c r="B957" s="1045"/>
      <c r="C957" s="1041"/>
      <c r="D957" s="1045"/>
      <c r="E957" s="1041"/>
      <c r="F957" s="1041"/>
      <c r="G957" s="28"/>
      <c r="H957" s="28"/>
      <c r="I957" s="28"/>
      <c r="J957" s="28"/>
      <c r="K957" s="28"/>
      <c r="L957" s="28"/>
      <c r="M957" s="28"/>
      <c r="N957" s="28"/>
      <c r="O957" s="28"/>
      <c r="P957" s="28"/>
      <c r="Q957" s="28"/>
      <c r="R957" s="28"/>
      <c r="S957" s="28"/>
      <c r="T957" s="28"/>
      <c r="U957" s="28"/>
      <c r="V957" s="28"/>
      <c r="W957" s="28"/>
      <c r="X957" s="28"/>
      <c r="Y957" s="28"/>
      <c r="Z957" s="28"/>
    </row>
    <row r="958">
      <c r="A958" s="1044"/>
      <c r="B958" s="1045"/>
      <c r="C958" s="1041"/>
      <c r="D958" s="1045"/>
      <c r="E958" s="1041"/>
      <c r="F958" s="1041"/>
      <c r="G958" s="28"/>
      <c r="H958" s="28"/>
      <c r="I958" s="28"/>
      <c r="J958" s="28"/>
      <c r="K958" s="28"/>
      <c r="L958" s="28"/>
      <c r="M958" s="28"/>
      <c r="N958" s="28"/>
      <c r="O958" s="28"/>
      <c r="P958" s="28"/>
      <c r="Q958" s="28"/>
      <c r="R958" s="28"/>
      <c r="S958" s="28"/>
      <c r="T958" s="28"/>
      <c r="U958" s="28"/>
      <c r="V958" s="28"/>
      <c r="W958" s="28"/>
      <c r="X958" s="28"/>
      <c r="Y958" s="28"/>
      <c r="Z958" s="28"/>
    </row>
    <row r="959">
      <c r="A959" s="1044"/>
      <c r="B959" s="1045"/>
      <c r="C959" s="1041"/>
      <c r="D959" s="1045"/>
      <c r="E959" s="1041"/>
      <c r="F959" s="1041"/>
      <c r="G959" s="28"/>
      <c r="H959" s="28"/>
      <c r="I959" s="28"/>
      <c r="J959" s="28"/>
      <c r="K959" s="28"/>
      <c r="L959" s="28"/>
      <c r="M959" s="28"/>
      <c r="N959" s="28"/>
      <c r="O959" s="28"/>
      <c r="P959" s="28"/>
      <c r="Q959" s="28"/>
      <c r="R959" s="28"/>
      <c r="S959" s="28"/>
      <c r="T959" s="28"/>
      <c r="U959" s="28"/>
      <c r="V959" s="28"/>
      <c r="W959" s="28"/>
      <c r="X959" s="28"/>
      <c r="Y959" s="28"/>
      <c r="Z959" s="28"/>
    </row>
    <row r="960">
      <c r="A960" s="1044"/>
      <c r="B960" s="1045"/>
      <c r="C960" s="1041"/>
      <c r="D960" s="1045"/>
      <c r="E960" s="1041"/>
      <c r="F960" s="1041"/>
      <c r="G960" s="28"/>
      <c r="H960" s="28"/>
      <c r="I960" s="28"/>
      <c r="J960" s="28"/>
      <c r="K960" s="28"/>
      <c r="L960" s="28"/>
      <c r="M960" s="28"/>
      <c r="N960" s="28"/>
      <c r="O960" s="28"/>
      <c r="P960" s="28"/>
      <c r="Q960" s="28"/>
      <c r="R960" s="28"/>
      <c r="S960" s="28"/>
      <c r="T960" s="28"/>
      <c r="U960" s="28"/>
      <c r="V960" s="28"/>
      <c r="W960" s="28"/>
      <c r="X960" s="28"/>
      <c r="Y960" s="28"/>
      <c r="Z960" s="28"/>
    </row>
    <row r="961">
      <c r="A961" s="1044"/>
      <c r="B961" s="1045"/>
      <c r="C961" s="1041"/>
      <c r="D961" s="1045"/>
      <c r="E961" s="1041"/>
      <c r="F961" s="1041"/>
      <c r="G961" s="28"/>
      <c r="H961" s="28"/>
      <c r="I961" s="28"/>
      <c r="J961" s="28"/>
      <c r="K961" s="28"/>
      <c r="L961" s="28"/>
      <c r="M961" s="28"/>
      <c r="N961" s="28"/>
      <c r="O961" s="28"/>
      <c r="P961" s="28"/>
      <c r="Q961" s="28"/>
      <c r="R961" s="28"/>
      <c r="S961" s="28"/>
      <c r="T961" s="28"/>
      <c r="U961" s="28"/>
      <c r="V961" s="28"/>
      <c r="W961" s="28"/>
      <c r="X961" s="28"/>
      <c r="Y961" s="28"/>
      <c r="Z961" s="28"/>
    </row>
    <row r="962">
      <c r="A962" s="1044"/>
      <c r="B962" s="1045"/>
      <c r="C962" s="1041"/>
      <c r="D962" s="1045"/>
      <c r="E962" s="1041"/>
      <c r="F962" s="1041"/>
      <c r="G962" s="28"/>
      <c r="H962" s="28"/>
      <c r="I962" s="28"/>
      <c r="J962" s="28"/>
      <c r="K962" s="28"/>
      <c r="L962" s="28"/>
      <c r="M962" s="28"/>
      <c r="N962" s="28"/>
      <c r="O962" s="28"/>
      <c r="P962" s="28"/>
      <c r="Q962" s="28"/>
      <c r="R962" s="28"/>
      <c r="S962" s="28"/>
      <c r="T962" s="28"/>
      <c r="U962" s="28"/>
      <c r="V962" s="28"/>
      <c r="W962" s="28"/>
      <c r="X962" s="28"/>
      <c r="Y962" s="28"/>
      <c r="Z962" s="28"/>
    </row>
    <row r="963">
      <c r="A963" s="1044"/>
      <c r="B963" s="1045"/>
      <c r="C963" s="1041"/>
      <c r="D963" s="1045"/>
      <c r="E963" s="1041"/>
      <c r="F963" s="1041"/>
      <c r="G963" s="28"/>
      <c r="H963" s="28"/>
      <c r="I963" s="28"/>
      <c r="J963" s="28"/>
      <c r="K963" s="28"/>
      <c r="L963" s="28"/>
      <c r="M963" s="28"/>
      <c r="N963" s="28"/>
      <c r="O963" s="28"/>
      <c r="P963" s="28"/>
      <c r="Q963" s="28"/>
      <c r="R963" s="28"/>
      <c r="S963" s="28"/>
      <c r="T963" s="28"/>
      <c r="U963" s="28"/>
      <c r="V963" s="28"/>
      <c r="W963" s="28"/>
      <c r="X963" s="28"/>
      <c r="Y963" s="28"/>
      <c r="Z963" s="28"/>
    </row>
    <row r="964">
      <c r="A964" s="1044"/>
      <c r="B964" s="1045"/>
      <c r="C964" s="1041"/>
      <c r="D964" s="1045"/>
      <c r="E964" s="1041"/>
      <c r="F964" s="1041"/>
      <c r="G964" s="28"/>
      <c r="H964" s="28"/>
      <c r="I964" s="28"/>
      <c r="J964" s="28"/>
      <c r="K964" s="28"/>
      <c r="L964" s="28"/>
      <c r="M964" s="28"/>
      <c r="N964" s="28"/>
      <c r="O964" s="28"/>
      <c r="P964" s="28"/>
      <c r="Q964" s="28"/>
      <c r="R964" s="28"/>
      <c r="S964" s="28"/>
      <c r="T964" s="28"/>
      <c r="U964" s="28"/>
      <c r="V964" s="28"/>
      <c r="W964" s="28"/>
      <c r="X964" s="28"/>
      <c r="Y964" s="28"/>
      <c r="Z964" s="28"/>
    </row>
    <row r="965">
      <c r="A965" s="1044"/>
      <c r="B965" s="1045"/>
      <c r="C965" s="1041"/>
      <c r="D965" s="1045"/>
      <c r="E965" s="1041"/>
      <c r="F965" s="1041"/>
      <c r="G965" s="28"/>
      <c r="H965" s="28"/>
      <c r="I965" s="28"/>
      <c r="J965" s="28"/>
      <c r="K965" s="28"/>
      <c r="L965" s="28"/>
      <c r="M965" s="28"/>
      <c r="N965" s="28"/>
      <c r="O965" s="28"/>
      <c r="P965" s="28"/>
      <c r="Q965" s="28"/>
      <c r="R965" s="28"/>
      <c r="S965" s="28"/>
      <c r="T965" s="28"/>
      <c r="U965" s="28"/>
      <c r="V965" s="28"/>
      <c r="W965" s="28"/>
      <c r="X965" s="28"/>
      <c r="Y965" s="28"/>
      <c r="Z965" s="28"/>
    </row>
    <row r="966">
      <c r="A966" s="1044"/>
      <c r="B966" s="1045"/>
      <c r="C966" s="1041"/>
      <c r="D966" s="1045"/>
      <c r="E966" s="1041"/>
      <c r="F966" s="1041"/>
      <c r="G966" s="28"/>
      <c r="H966" s="28"/>
      <c r="I966" s="28"/>
      <c r="J966" s="28"/>
      <c r="K966" s="28"/>
      <c r="L966" s="28"/>
      <c r="M966" s="28"/>
      <c r="N966" s="28"/>
      <c r="O966" s="28"/>
      <c r="P966" s="28"/>
      <c r="Q966" s="28"/>
      <c r="R966" s="28"/>
      <c r="S966" s="28"/>
      <c r="T966" s="28"/>
      <c r="U966" s="28"/>
      <c r="V966" s="28"/>
      <c r="W966" s="28"/>
      <c r="X966" s="28"/>
      <c r="Y966" s="28"/>
      <c r="Z966" s="28"/>
    </row>
    <row r="967">
      <c r="A967" s="1044"/>
      <c r="B967" s="1045"/>
      <c r="C967" s="1041"/>
      <c r="D967" s="1045"/>
      <c r="E967" s="1041"/>
      <c r="F967" s="1041"/>
      <c r="G967" s="28"/>
      <c r="H967" s="28"/>
      <c r="I967" s="28"/>
      <c r="J967" s="28"/>
      <c r="K967" s="28"/>
      <c r="L967" s="28"/>
      <c r="M967" s="28"/>
      <c r="N967" s="28"/>
      <c r="O967" s="28"/>
      <c r="P967" s="28"/>
      <c r="Q967" s="28"/>
      <c r="R967" s="28"/>
      <c r="S967" s="28"/>
      <c r="T967" s="28"/>
      <c r="U967" s="28"/>
      <c r="V967" s="28"/>
      <c r="W967" s="28"/>
      <c r="X967" s="28"/>
      <c r="Y967" s="28"/>
      <c r="Z967" s="28"/>
    </row>
    <row r="968">
      <c r="A968" s="1044"/>
      <c r="B968" s="1045"/>
      <c r="C968" s="1041"/>
      <c r="D968" s="1045"/>
      <c r="E968" s="1041"/>
      <c r="F968" s="1041"/>
      <c r="G968" s="28"/>
      <c r="H968" s="28"/>
      <c r="I968" s="28"/>
      <c r="J968" s="28"/>
      <c r="K968" s="28"/>
      <c r="L968" s="28"/>
      <c r="M968" s="28"/>
      <c r="N968" s="28"/>
      <c r="O968" s="28"/>
      <c r="P968" s="28"/>
      <c r="Q968" s="28"/>
      <c r="R968" s="28"/>
      <c r="S968" s="28"/>
      <c r="T968" s="28"/>
      <c r="U968" s="28"/>
      <c r="V968" s="28"/>
      <c r="W968" s="28"/>
      <c r="X968" s="28"/>
      <c r="Y968" s="28"/>
      <c r="Z968" s="28"/>
    </row>
    <row r="969">
      <c r="A969" s="1044"/>
      <c r="B969" s="1045"/>
      <c r="C969" s="1041"/>
      <c r="D969" s="1045"/>
      <c r="E969" s="1041"/>
      <c r="F969" s="1041"/>
      <c r="G969" s="28"/>
      <c r="H969" s="28"/>
      <c r="I969" s="28"/>
      <c r="J969" s="28"/>
      <c r="K969" s="28"/>
      <c r="L969" s="28"/>
      <c r="M969" s="28"/>
      <c r="N969" s="28"/>
      <c r="O969" s="28"/>
      <c r="P969" s="28"/>
      <c r="Q969" s="28"/>
      <c r="R969" s="28"/>
      <c r="S969" s="28"/>
      <c r="T969" s="28"/>
      <c r="U969" s="28"/>
      <c r="V969" s="28"/>
      <c r="W969" s="28"/>
      <c r="X969" s="28"/>
      <c r="Y969" s="28"/>
      <c r="Z969" s="28"/>
    </row>
    <row r="970">
      <c r="A970" s="1044"/>
      <c r="B970" s="1045"/>
      <c r="C970" s="1041"/>
      <c r="D970" s="1045"/>
      <c r="E970" s="1041"/>
      <c r="F970" s="1041"/>
      <c r="G970" s="28"/>
      <c r="H970" s="28"/>
      <c r="I970" s="28"/>
      <c r="J970" s="28"/>
      <c r="K970" s="28"/>
      <c r="L970" s="28"/>
      <c r="M970" s="28"/>
      <c r="N970" s="28"/>
      <c r="O970" s="28"/>
      <c r="P970" s="28"/>
      <c r="Q970" s="28"/>
      <c r="R970" s="28"/>
      <c r="S970" s="28"/>
      <c r="T970" s="28"/>
      <c r="U970" s="28"/>
      <c r="V970" s="28"/>
      <c r="W970" s="28"/>
      <c r="X970" s="28"/>
      <c r="Y970" s="28"/>
      <c r="Z970" s="28"/>
    </row>
    <row r="971">
      <c r="A971" s="1044"/>
      <c r="B971" s="1045"/>
      <c r="C971" s="1041"/>
      <c r="D971" s="1045"/>
      <c r="E971" s="1041"/>
      <c r="F971" s="1041"/>
      <c r="G971" s="28"/>
      <c r="H971" s="28"/>
      <c r="I971" s="28"/>
      <c r="J971" s="28"/>
      <c r="K971" s="28"/>
      <c r="L971" s="28"/>
      <c r="M971" s="28"/>
      <c r="N971" s="28"/>
      <c r="O971" s="28"/>
      <c r="P971" s="28"/>
      <c r="Q971" s="28"/>
      <c r="R971" s="28"/>
      <c r="S971" s="28"/>
      <c r="T971" s="28"/>
      <c r="U971" s="28"/>
      <c r="V971" s="28"/>
      <c r="W971" s="28"/>
      <c r="X971" s="28"/>
      <c r="Y971" s="28"/>
      <c r="Z971" s="28"/>
    </row>
    <row r="972">
      <c r="A972" s="1044"/>
      <c r="B972" s="1045"/>
      <c r="C972" s="1041"/>
      <c r="D972" s="1045"/>
      <c r="E972" s="1041"/>
      <c r="F972" s="1041"/>
      <c r="G972" s="28"/>
      <c r="H972" s="28"/>
      <c r="I972" s="28"/>
      <c r="J972" s="28"/>
      <c r="K972" s="28"/>
      <c r="L972" s="28"/>
      <c r="M972" s="28"/>
      <c r="N972" s="28"/>
      <c r="O972" s="28"/>
      <c r="P972" s="28"/>
      <c r="Q972" s="28"/>
      <c r="R972" s="28"/>
      <c r="S972" s="28"/>
      <c r="T972" s="28"/>
      <c r="U972" s="28"/>
      <c r="V972" s="28"/>
      <c r="W972" s="28"/>
      <c r="X972" s="28"/>
      <c r="Y972" s="28"/>
      <c r="Z972" s="28"/>
    </row>
    <row r="973">
      <c r="A973" s="1044"/>
      <c r="B973" s="1045"/>
      <c r="C973" s="1041"/>
      <c r="D973" s="1045"/>
      <c r="E973" s="1041"/>
      <c r="F973" s="1041"/>
      <c r="G973" s="28"/>
      <c r="H973" s="28"/>
      <c r="I973" s="28"/>
      <c r="J973" s="28"/>
      <c r="K973" s="28"/>
      <c r="L973" s="28"/>
      <c r="M973" s="28"/>
      <c r="N973" s="28"/>
      <c r="O973" s="28"/>
      <c r="P973" s="28"/>
      <c r="Q973" s="28"/>
      <c r="R973" s="28"/>
      <c r="S973" s="28"/>
      <c r="T973" s="28"/>
      <c r="U973" s="28"/>
      <c r="V973" s="28"/>
      <c r="W973" s="28"/>
      <c r="X973" s="28"/>
      <c r="Y973" s="28"/>
      <c r="Z973" s="28"/>
    </row>
    <row r="974">
      <c r="A974" s="1044"/>
      <c r="B974" s="1045"/>
      <c r="C974" s="1041"/>
      <c r="D974" s="1045"/>
      <c r="E974" s="1041"/>
      <c r="F974" s="1041"/>
      <c r="G974" s="28"/>
      <c r="H974" s="28"/>
      <c r="I974" s="28"/>
      <c r="J974" s="28"/>
      <c r="K974" s="28"/>
      <c r="L974" s="28"/>
      <c r="M974" s="28"/>
      <c r="N974" s="28"/>
      <c r="O974" s="28"/>
      <c r="P974" s="28"/>
      <c r="Q974" s="28"/>
      <c r="R974" s="28"/>
      <c r="S974" s="28"/>
      <c r="T974" s="28"/>
      <c r="U974" s="28"/>
      <c r="V974" s="28"/>
      <c r="W974" s="28"/>
      <c r="X974" s="28"/>
      <c r="Y974" s="28"/>
      <c r="Z974" s="28"/>
    </row>
    <row r="975">
      <c r="A975" s="1044"/>
      <c r="B975" s="1045"/>
      <c r="C975" s="1041"/>
      <c r="D975" s="1045"/>
      <c r="E975" s="1041"/>
      <c r="F975" s="1041"/>
      <c r="G975" s="28"/>
      <c r="H975" s="28"/>
      <c r="I975" s="28"/>
      <c r="J975" s="28"/>
      <c r="K975" s="28"/>
      <c r="L975" s="28"/>
      <c r="M975" s="28"/>
      <c r="N975" s="28"/>
      <c r="O975" s="28"/>
      <c r="P975" s="28"/>
      <c r="Q975" s="28"/>
      <c r="R975" s="28"/>
      <c r="S975" s="28"/>
      <c r="T975" s="28"/>
      <c r="U975" s="28"/>
      <c r="V975" s="28"/>
      <c r="W975" s="28"/>
      <c r="X975" s="28"/>
      <c r="Y975" s="28"/>
      <c r="Z975" s="28"/>
    </row>
    <row r="976">
      <c r="A976" s="1044"/>
      <c r="B976" s="1045"/>
      <c r="C976" s="1041"/>
      <c r="D976" s="1045"/>
      <c r="E976" s="1041"/>
      <c r="F976" s="1041"/>
      <c r="G976" s="28"/>
      <c r="H976" s="28"/>
      <c r="I976" s="28"/>
      <c r="J976" s="28"/>
      <c r="K976" s="28"/>
      <c r="L976" s="28"/>
      <c r="M976" s="28"/>
      <c r="N976" s="28"/>
      <c r="O976" s="28"/>
      <c r="P976" s="28"/>
      <c r="Q976" s="28"/>
      <c r="R976" s="28"/>
      <c r="S976" s="28"/>
      <c r="T976" s="28"/>
      <c r="U976" s="28"/>
      <c r="V976" s="28"/>
      <c r="W976" s="28"/>
      <c r="X976" s="28"/>
      <c r="Y976" s="28"/>
      <c r="Z976" s="28"/>
    </row>
    <row r="977">
      <c r="A977" s="1044"/>
      <c r="B977" s="1045"/>
      <c r="C977" s="1041"/>
      <c r="D977" s="1045"/>
      <c r="E977" s="1041"/>
      <c r="F977" s="1041"/>
      <c r="G977" s="28"/>
      <c r="H977" s="28"/>
      <c r="I977" s="28"/>
      <c r="J977" s="28"/>
      <c r="K977" s="28"/>
      <c r="L977" s="28"/>
      <c r="M977" s="28"/>
      <c r="N977" s="28"/>
      <c r="O977" s="28"/>
      <c r="P977" s="28"/>
      <c r="Q977" s="28"/>
      <c r="R977" s="28"/>
      <c r="S977" s="28"/>
      <c r="T977" s="28"/>
      <c r="U977" s="28"/>
      <c r="V977" s="28"/>
      <c r="W977" s="28"/>
      <c r="X977" s="28"/>
      <c r="Y977" s="28"/>
      <c r="Z977" s="28"/>
    </row>
    <row r="978">
      <c r="A978" s="1044"/>
      <c r="B978" s="1045"/>
      <c r="C978" s="1041"/>
      <c r="D978" s="1045"/>
      <c r="E978" s="1041"/>
      <c r="F978" s="1041"/>
      <c r="G978" s="28"/>
      <c r="H978" s="28"/>
      <c r="I978" s="28"/>
      <c r="J978" s="28"/>
      <c r="K978" s="28"/>
      <c r="L978" s="28"/>
      <c r="M978" s="28"/>
      <c r="N978" s="28"/>
      <c r="O978" s="28"/>
      <c r="P978" s="28"/>
      <c r="Q978" s="28"/>
      <c r="R978" s="28"/>
      <c r="S978" s="28"/>
      <c r="T978" s="28"/>
      <c r="U978" s="28"/>
      <c r="V978" s="28"/>
      <c r="W978" s="28"/>
      <c r="X978" s="28"/>
      <c r="Y978" s="28"/>
      <c r="Z978" s="28"/>
    </row>
    <row r="979">
      <c r="A979" s="1044"/>
      <c r="B979" s="1045"/>
      <c r="C979" s="1041"/>
      <c r="D979" s="1045"/>
      <c r="E979" s="1041"/>
      <c r="F979" s="1041"/>
      <c r="G979" s="28"/>
      <c r="H979" s="28"/>
      <c r="I979" s="28"/>
      <c r="J979" s="28"/>
      <c r="K979" s="28"/>
      <c r="L979" s="28"/>
      <c r="M979" s="28"/>
      <c r="N979" s="28"/>
      <c r="O979" s="28"/>
      <c r="P979" s="28"/>
      <c r="Q979" s="28"/>
      <c r="R979" s="28"/>
      <c r="S979" s="28"/>
      <c r="T979" s="28"/>
      <c r="U979" s="28"/>
      <c r="V979" s="28"/>
      <c r="W979" s="28"/>
      <c r="X979" s="28"/>
      <c r="Y979" s="28"/>
      <c r="Z979" s="28"/>
    </row>
    <row r="980">
      <c r="A980" s="1044"/>
      <c r="B980" s="1045"/>
      <c r="C980" s="1041"/>
      <c r="D980" s="1045"/>
      <c r="E980" s="1041"/>
      <c r="F980" s="1041"/>
      <c r="G980" s="28"/>
      <c r="H980" s="28"/>
      <c r="I980" s="28"/>
      <c r="J980" s="28"/>
      <c r="K980" s="28"/>
      <c r="L980" s="28"/>
      <c r="M980" s="28"/>
      <c r="N980" s="28"/>
      <c r="O980" s="28"/>
      <c r="P980" s="28"/>
      <c r="Q980" s="28"/>
      <c r="R980" s="28"/>
      <c r="S980" s="28"/>
      <c r="T980" s="28"/>
      <c r="U980" s="28"/>
      <c r="V980" s="28"/>
      <c r="W980" s="28"/>
      <c r="X980" s="28"/>
      <c r="Y980" s="28"/>
      <c r="Z980" s="28"/>
    </row>
    <row r="981">
      <c r="A981" s="1044"/>
      <c r="B981" s="1045"/>
      <c r="C981" s="1041"/>
      <c r="D981" s="1045"/>
      <c r="E981" s="1041"/>
      <c r="F981" s="1041"/>
      <c r="G981" s="28"/>
      <c r="H981" s="28"/>
      <c r="I981" s="28"/>
      <c r="J981" s="28"/>
      <c r="K981" s="28"/>
      <c r="L981" s="28"/>
      <c r="M981" s="28"/>
      <c r="N981" s="28"/>
      <c r="O981" s="28"/>
      <c r="P981" s="28"/>
      <c r="Q981" s="28"/>
      <c r="R981" s="28"/>
      <c r="S981" s="28"/>
      <c r="T981" s="28"/>
      <c r="U981" s="28"/>
      <c r="V981" s="28"/>
      <c r="W981" s="28"/>
      <c r="X981" s="28"/>
      <c r="Y981" s="28"/>
      <c r="Z981" s="28"/>
    </row>
    <row r="982">
      <c r="A982" s="1044"/>
      <c r="B982" s="1045"/>
      <c r="C982" s="1041"/>
      <c r="D982" s="1045"/>
      <c r="E982" s="1041"/>
      <c r="F982" s="1041"/>
      <c r="G982" s="28"/>
      <c r="H982" s="28"/>
      <c r="I982" s="28"/>
      <c r="J982" s="28"/>
      <c r="K982" s="28"/>
      <c r="L982" s="28"/>
      <c r="M982" s="28"/>
      <c r="N982" s="28"/>
      <c r="O982" s="28"/>
      <c r="P982" s="28"/>
      <c r="Q982" s="28"/>
      <c r="R982" s="28"/>
      <c r="S982" s="28"/>
      <c r="T982" s="28"/>
      <c r="U982" s="28"/>
      <c r="V982" s="28"/>
      <c r="W982" s="28"/>
      <c r="X982" s="28"/>
      <c r="Y982" s="28"/>
      <c r="Z982" s="28"/>
    </row>
    <row r="983">
      <c r="A983" s="1044"/>
      <c r="B983" s="1045"/>
      <c r="C983" s="1041"/>
      <c r="D983" s="1045"/>
      <c r="E983" s="1041"/>
      <c r="F983" s="1041"/>
      <c r="G983" s="28"/>
      <c r="H983" s="28"/>
      <c r="I983" s="28"/>
      <c r="J983" s="28"/>
      <c r="K983" s="28"/>
      <c r="L983" s="28"/>
      <c r="M983" s="28"/>
      <c r="N983" s="28"/>
      <c r="O983" s="28"/>
      <c r="P983" s="28"/>
      <c r="Q983" s="28"/>
      <c r="R983" s="28"/>
      <c r="S983" s="28"/>
      <c r="T983" s="28"/>
      <c r="U983" s="28"/>
      <c r="V983" s="28"/>
      <c r="W983" s="28"/>
      <c r="X983" s="28"/>
      <c r="Y983" s="28"/>
      <c r="Z983" s="28"/>
    </row>
    <row r="984">
      <c r="A984" s="1044"/>
      <c r="B984" s="1045"/>
      <c r="C984" s="1041"/>
      <c r="D984" s="1045"/>
      <c r="E984" s="1041"/>
      <c r="F984" s="1041"/>
      <c r="G984" s="28"/>
      <c r="H984" s="28"/>
      <c r="I984" s="28"/>
      <c r="J984" s="28"/>
      <c r="K984" s="28"/>
      <c r="L984" s="28"/>
      <c r="M984" s="28"/>
      <c r="N984" s="28"/>
      <c r="O984" s="28"/>
      <c r="P984" s="28"/>
      <c r="Q984" s="28"/>
      <c r="R984" s="28"/>
      <c r="S984" s="28"/>
      <c r="T984" s="28"/>
      <c r="U984" s="28"/>
      <c r="V984" s="28"/>
      <c r="W984" s="28"/>
      <c r="X984" s="28"/>
      <c r="Y984" s="28"/>
      <c r="Z984" s="28"/>
    </row>
    <row r="985">
      <c r="A985" s="1044"/>
      <c r="B985" s="1045"/>
      <c r="C985" s="1041"/>
      <c r="D985" s="1045"/>
      <c r="E985" s="1041"/>
      <c r="F985" s="1041"/>
      <c r="G985" s="28"/>
      <c r="H985" s="28"/>
      <c r="I985" s="28"/>
      <c r="J985" s="28"/>
      <c r="K985" s="28"/>
      <c r="L985" s="28"/>
      <c r="M985" s="28"/>
      <c r="N985" s="28"/>
      <c r="O985" s="28"/>
      <c r="P985" s="28"/>
      <c r="Q985" s="28"/>
      <c r="R985" s="28"/>
      <c r="S985" s="28"/>
      <c r="T985" s="28"/>
      <c r="U985" s="28"/>
      <c r="V985" s="28"/>
      <c r="W985" s="28"/>
      <c r="X985" s="28"/>
      <c r="Y985" s="28"/>
      <c r="Z985" s="28"/>
    </row>
    <row r="986">
      <c r="A986" s="1044"/>
      <c r="B986" s="1045"/>
      <c r="C986" s="1041"/>
      <c r="D986" s="1045"/>
      <c r="E986" s="1041"/>
      <c r="F986" s="1041"/>
      <c r="G986" s="28"/>
      <c r="H986" s="28"/>
      <c r="I986" s="28"/>
      <c r="J986" s="28"/>
      <c r="K986" s="28"/>
      <c r="L986" s="28"/>
      <c r="M986" s="28"/>
      <c r="N986" s="28"/>
      <c r="O986" s="28"/>
      <c r="P986" s="28"/>
      <c r="Q986" s="28"/>
      <c r="R986" s="28"/>
      <c r="S986" s="28"/>
      <c r="T986" s="28"/>
      <c r="U986" s="28"/>
      <c r="V986" s="28"/>
      <c r="W986" s="28"/>
      <c r="X986" s="28"/>
      <c r="Y986" s="28"/>
      <c r="Z986" s="28"/>
    </row>
    <row r="987">
      <c r="A987" s="1044"/>
      <c r="B987" s="1045"/>
      <c r="C987" s="1041"/>
      <c r="D987" s="1045"/>
      <c r="E987" s="1041"/>
      <c r="F987" s="1041"/>
      <c r="G987" s="28"/>
      <c r="H987" s="28"/>
      <c r="I987" s="28"/>
      <c r="J987" s="28"/>
      <c r="K987" s="28"/>
      <c r="L987" s="28"/>
      <c r="M987" s="28"/>
      <c r="N987" s="28"/>
      <c r="O987" s="28"/>
      <c r="P987" s="28"/>
      <c r="Q987" s="28"/>
      <c r="R987" s="28"/>
      <c r="S987" s="28"/>
      <c r="T987" s="28"/>
      <c r="U987" s="28"/>
      <c r="V987" s="28"/>
      <c r="W987" s="28"/>
      <c r="X987" s="28"/>
      <c r="Y987" s="28"/>
      <c r="Z987" s="28"/>
    </row>
    <row r="988">
      <c r="A988" s="1044"/>
      <c r="B988" s="1045"/>
      <c r="C988" s="1041"/>
      <c r="D988" s="1045"/>
      <c r="E988" s="1041"/>
      <c r="F988" s="1041"/>
      <c r="G988" s="28"/>
      <c r="H988" s="28"/>
      <c r="I988" s="28"/>
      <c r="J988" s="28"/>
      <c r="K988" s="28"/>
      <c r="L988" s="28"/>
      <c r="M988" s="28"/>
      <c r="N988" s="28"/>
      <c r="O988" s="28"/>
      <c r="P988" s="28"/>
      <c r="Q988" s="28"/>
      <c r="R988" s="28"/>
      <c r="S988" s="28"/>
      <c r="T988" s="28"/>
      <c r="U988" s="28"/>
      <c r="V988" s="28"/>
      <c r="W988" s="28"/>
      <c r="X988" s="28"/>
      <c r="Y988" s="28"/>
      <c r="Z988" s="28"/>
    </row>
    <row r="989">
      <c r="A989" s="1044"/>
      <c r="B989" s="1045"/>
      <c r="C989" s="1041"/>
      <c r="D989" s="1045"/>
      <c r="E989" s="1041"/>
      <c r="F989" s="1041"/>
      <c r="G989" s="28"/>
      <c r="H989" s="28"/>
      <c r="I989" s="28"/>
      <c r="J989" s="28"/>
      <c r="K989" s="28"/>
      <c r="L989" s="28"/>
      <c r="M989" s="28"/>
      <c r="N989" s="28"/>
      <c r="O989" s="28"/>
      <c r="P989" s="28"/>
      <c r="Q989" s="28"/>
      <c r="R989" s="28"/>
      <c r="S989" s="28"/>
      <c r="T989" s="28"/>
      <c r="U989" s="28"/>
      <c r="V989" s="28"/>
      <c r="W989" s="28"/>
      <c r="X989" s="28"/>
      <c r="Y989" s="28"/>
      <c r="Z989" s="28"/>
    </row>
    <row r="990">
      <c r="A990" s="1044"/>
      <c r="B990" s="1045"/>
      <c r="C990" s="1041"/>
      <c r="D990" s="1045"/>
      <c r="E990" s="1041"/>
      <c r="F990" s="1041"/>
      <c r="G990" s="28"/>
      <c r="H990" s="28"/>
      <c r="I990" s="28"/>
      <c r="J990" s="28"/>
      <c r="K990" s="28"/>
      <c r="L990" s="28"/>
      <c r="M990" s="28"/>
      <c r="N990" s="28"/>
      <c r="O990" s="28"/>
      <c r="P990" s="28"/>
      <c r="Q990" s="28"/>
      <c r="R990" s="28"/>
      <c r="S990" s="28"/>
      <c r="T990" s="28"/>
      <c r="U990" s="28"/>
      <c r="V990" s="28"/>
      <c r="W990" s="28"/>
      <c r="X990" s="28"/>
      <c r="Y990" s="28"/>
      <c r="Z990" s="28"/>
    </row>
    <row r="991">
      <c r="A991" s="1044"/>
      <c r="B991" s="1045"/>
      <c r="C991" s="1041"/>
      <c r="D991" s="1045"/>
      <c r="E991" s="1041"/>
      <c r="F991" s="1041"/>
      <c r="G991" s="28"/>
      <c r="H991" s="28"/>
      <c r="I991" s="28"/>
      <c r="J991" s="28"/>
      <c r="K991" s="28"/>
      <c r="L991" s="28"/>
      <c r="M991" s="28"/>
      <c r="N991" s="28"/>
      <c r="O991" s="28"/>
      <c r="P991" s="28"/>
      <c r="Q991" s="28"/>
      <c r="R991" s="28"/>
      <c r="S991" s="28"/>
      <c r="T991" s="28"/>
      <c r="U991" s="28"/>
      <c r="V991" s="28"/>
      <c r="W991" s="28"/>
      <c r="X991" s="28"/>
      <c r="Y991" s="28"/>
      <c r="Z991" s="28"/>
    </row>
    <row r="992">
      <c r="A992" s="1044"/>
      <c r="B992" s="1045"/>
      <c r="C992" s="1041"/>
      <c r="D992" s="1045"/>
      <c r="E992" s="1041"/>
      <c r="F992" s="1041"/>
      <c r="G992" s="28"/>
      <c r="H992" s="28"/>
      <c r="I992" s="28"/>
      <c r="J992" s="28"/>
      <c r="K992" s="28"/>
      <c r="L992" s="28"/>
      <c r="M992" s="28"/>
      <c r="N992" s="28"/>
      <c r="O992" s="28"/>
      <c r="P992" s="28"/>
      <c r="Q992" s="28"/>
      <c r="R992" s="28"/>
      <c r="S992" s="28"/>
      <c r="T992" s="28"/>
      <c r="U992" s="28"/>
      <c r="V992" s="28"/>
      <c r="W992" s="28"/>
      <c r="X992" s="28"/>
      <c r="Y992" s="28"/>
      <c r="Z992" s="28"/>
    </row>
    <row r="993">
      <c r="A993" s="1044"/>
      <c r="B993" s="1045"/>
      <c r="C993" s="1041"/>
      <c r="D993" s="1045"/>
      <c r="E993" s="1041"/>
      <c r="F993" s="1041"/>
      <c r="G993" s="28"/>
      <c r="H993" s="28"/>
      <c r="I993" s="28"/>
      <c r="J993" s="28"/>
      <c r="K993" s="28"/>
      <c r="L993" s="28"/>
      <c r="M993" s="28"/>
      <c r="N993" s="28"/>
      <c r="O993" s="28"/>
      <c r="P993" s="28"/>
      <c r="Q993" s="28"/>
      <c r="R993" s="28"/>
      <c r="S993" s="28"/>
      <c r="T993" s="28"/>
      <c r="U993" s="28"/>
      <c r="V993" s="28"/>
      <c r="W993" s="28"/>
      <c r="X993" s="28"/>
      <c r="Y993" s="28"/>
      <c r="Z993" s="28"/>
    </row>
    <row r="994">
      <c r="A994" s="1044"/>
      <c r="B994" s="1045"/>
      <c r="C994" s="1041"/>
      <c r="D994" s="1045"/>
      <c r="E994" s="1041"/>
      <c r="F994" s="1041"/>
      <c r="G994" s="28"/>
      <c r="H994" s="28"/>
      <c r="I994" s="28"/>
      <c r="J994" s="28"/>
      <c r="K994" s="28"/>
      <c r="L994" s="28"/>
      <c r="M994" s="28"/>
      <c r="N994" s="28"/>
      <c r="O994" s="28"/>
      <c r="P994" s="28"/>
      <c r="Q994" s="28"/>
      <c r="R994" s="28"/>
      <c r="S994" s="28"/>
      <c r="T994" s="28"/>
      <c r="U994" s="28"/>
      <c r="V994" s="28"/>
      <c r="W994" s="28"/>
      <c r="X994" s="28"/>
      <c r="Y994" s="28"/>
      <c r="Z994" s="28"/>
    </row>
    <row r="995">
      <c r="A995" s="1044"/>
      <c r="B995" s="1045"/>
      <c r="C995" s="1041"/>
      <c r="D995" s="1045"/>
      <c r="E995" s="1041"/>
      <c r="F995" s="1041"/>
      <c r="G995" s="28"/>
      <c r="H995" s="28"/>
      <c r="I995" s="28"/>
      <c r="J995" s="28"/>
      <c r="K995" s="28"/>
      <c r="L995" s="28"/>
      <c r="M995" s="28"/>
      <c r="N995" s="28"/>
      <c r="O995" s="28"/>
      <c r="P995" s="28"/>
      <c r="Q995" s="28"/>
      <c r="R995" s="28"/>
      <c r="S995" s="28"/>
      <c r="T995" s="28"/>
      <c r="U995" s="28"/>
      <c r="V995" s="28"/>
      <c r="W995" s="28"/>
      <c r="X995" s="28"/>
      <c r="Y995" s="28"/>
      <c r="Z995" s="28"/>
    </row>
    <row r="996">
      <c r="A996" s="1044"/>
      <c r="B996" s="1045"/>
      <c r="C996" s="1041"/>
      <c r="D996" s="1045"/>
      <c r="E996" s="1041"/>
      <c r="F996" s="1041"/>
      <c r="G996" s="28"/>
      <c r="H996" s="28"/>
      <c r="I996" s="28"/>
      <c r="J996" s="28"/>
      <c r="K996" s="28"/>
      <c r="L996" s="28"/>
      <c r="M996" s="28"/>
      <c r="N996" s="28"/>
      <c r="O996" s="28"/>
      <c r="P996" s="28"/>
      <c r="Q996" s="28"/>
      <c r="R996" s="28"/>
      <c r="S996" s="28"/>
      <c r="T996" s="28"/>
      <c r="U996" s="28"/>
      <c r="V996" s="28"/>
      <c r="W996" s="28"/>
      <c r="X996" s="28"/>
      <c r="Y996" s="28"/>
      <c r="Z996" s="28"/>
    </row>
    <row r="997">
      <c r="A997" s="1044"/>
      <c r="B997" s="1045"/>
      <c r="C997" s="1041"/>
      <c r="D997" s="1045"/>
      <c r="E997" s="1041"/>
      <c r="F997" s="1041"/>
      <c r="G997" s="28"/>
      <c r="H997" s="28"/>
      <c r="I997" s="28"/>
      <c r="J997" s="28"/>
      <c r="K997" s="28"/>
      <c r="L997" s="28"/>
      <c r="M997" s="28"/>
      <c r="N997" s="28"/>
      <c r="O997" s="28"/>
      <c r="P997" s="28"/>
      <c r="Q997" s="28"/>
      <c r="R997" s="28"/>
      <c r="S997" s="28"/>
      <c r="T997" s="28"/>
      <c r="U997" s="28"/>
      <c r="V997" s="28"/>
      <c r="W997" s="28"/>
      <c r="X997" s="28"/>
      <c r="Y997" s="28"/>
      <c r="Z997" s="28"/>
    </row>
    <row r="998">
      <c r="A998" s="1044"/>
      <c r="B998" s="1045"/>
      <c r="C998" s="1041"/>
      <c r="D998" s="1045"/>
      <c r="E998" s="1041"/>
      <c r="F998" s="1041"/>
      <c r="G998" s="28"/>
      <c r="H998" s="28"/>
      <c r="I998" s="28"/>
      <c r="J998" s="28"/>
      <c r="K998" s="28"/>
      <c r="L998" s="28"/>
      <c r="M998" s="28"/>
      <c r="N998" s="28"/>
      <c r="O998" s="28"/>
      <c r="P998" s="28"/>
      <c r="Q998" s="28"/>
      <c r="R998" s="28"/>
      <c r="S998" s="28"/>
      <c r="T998" s="28"/>
      <c r="U998" s="28"/>
      <c r="V998" s="28"/>
      <c r="W998" s="28"/>
      <c r="X998" s="28"/>
      <c r="Y998" s="28"/>
      <c r="Z998" s="28"/>
    </row>
    <row r="999">
      <c r="A999" s="1044"/>
      <c r="B999" s="1045"/>
      <c r="C999" s="1041"/>
      <c r="D999" s="1045"/>
      <c r="E999" s="1041"/>
      <c r="F999" s="1041"/>
      <c r="G999" s="28"/>
      <c r="H999" s="28"/>
      <c r="I999" s="28"/>
      <c r="J999" s="28"/>
      <c r="K999" s="28"/>
      <c r="L999" s="28"/>
      <c r="M999" s="28"/>
      <c r="N999" s="28"/>
      <c r="O999" s="28"/>
      <c r="P999" s="28"/>
      <c r="Q999" s="28"/>
      <c r="R999" s="28"/>
      <c r="S999" s="28"/>
      <c r="T999" s="28"/>
      <c r="U999" s="28"/>
      <c r="V999" s="28"/>
      <c r="W999" s="28"/>
      <c r="X999" s="28"/>
      <c r="Y999" s="28"/>
      <c r="Z999" s="28"/>
    </row>
    <row r="1000">
      <c r="A1000" s="1044"/>
      <c r="B1000" s="1045"/>
      <c r="C1000" s="1041"/>
      <c r="D1000" s="1045"/>
      <c r="E1000" s="1041"/>
      <c r="F1000" s="1041"/>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1044"/>
      <c r="B1001" s="1045"/>
      <c r="C1001" s="1041"/>
      <c r="D1001" s="1045"/>
      <c r="E1001" s="1041"/>
      <c r="F1001" s="1041"/>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1044"/>
      <c r="B1002" s="1045"/>
      <c r="C1002" s="1041"/>
      <c r="D1002" s="1045"/>
      <c r="E1002" s="1041"/>
      <c r="F1002" s="1041"/>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1044"/>
      <c r="B1003" s="1045"/>
      <c r="C1003" s="1041"/>
      <c r="D1003" s="1045"/>
      <c r="E1003" s="1041"/>
      <c r="F1003" s="1041"/>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1044"/>
      <c r="B1004" s="1045"/>
      <c r="C1004" s="1041"/>
      <c r="D1004" s="1045"/>
      <c r="E1004" s="1041"/>
      <c r="F1004" s="1041"/>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1044"/>
      <c r="B1005" s="1045"/>
      <c r="C1005" s="1041"/>
      <c r="D1005" s="1045"/>
      <c r="E1005" s="1041"/>
      <c r="F1005" s="1041"/>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1044"/>
      <c r="B1006" s="1045"/>
      <c r="C1006" s="1041"/>
      <c r="D1006" s="1045"/>
      <c r="E1006" s="1041"/>
      <c r="F1006" s="1041"/>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1044"/>
      <c r="B1007" s="1045"/>
      <c r="C1007" s="1041"/>
      <c r="D1007" s="1045"/>
      <c r="E1007" s="1041"/>
      <c r="F1007" s="1041"/>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1044"/>
      <c r="B1008" s="1045"/>
      <c r="C1008" s="1041"/>
      <c r="D1008" s="1045"/>
      <c r="E1008" s="1041"/>
      <c r="F1008" s="1041"/>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1044"/>
      <c r="B1009" s="1045"/>
      <c r="C1009" s="1041"/>
      <c r="D1009" s="1045"/>
      <c r="E1009" s="1041"/>
      <c r="F1009" s="1041"/>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1044"/>
      <c r="B1010" s="1045"/>
      <c r="C1010" s="1041"/>
      <c r="D1010" s="1045"/>
      <c r="E1010" s="1041"/>
      <c r="F1010" s="1041"/>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1044"/>
      <c r="B1011" s="1045"/>
      <c r="C1011" s="1041"/>
      <c r="D1011" s="1045"/>
      <c r="E1011" s="1041"/>
      <c r="F1011" s="1041"/>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1044"/>
      <c r="B1012" s="1045"/>
      <c r="C1012" s="1041"/>
      <c r="D1012" s="1045"/>
      <c r="E1012" s="1041"/>
      <c r="F1012" s="1041"/>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1044"/>
      <c r="B1013" s="1045"/>
      <c r="C1013" s="1041"/>
      <c r="D1013" s="1045"/>
      <c r="E1013" s="1041"/>
      <c r="F1013" s="1041"/>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1044"/>
      <c r="B1014" s="1045"/>
      <c r="C1014" s="1041"/>
      <c r="D1014" s="1045"/>
      <c r="E1014" s="1041"/>
      <c r="F1014" s="1041"/>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1044"/>
      <c r="B1015" s="1045"/>
      <c r="C1015" s="1041"/>
      <c r="D1015" s="1045"/>
      <c r="E1015" s="1041"/>
      <c r="F1015" s="1041"/>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1044"/>
      <c r="B1016" s="1045"/>
      <c r="C1016" s="1041"/>
      <c r="D1016" s="1045"/>
      <c r="E1016" s="1041"/>
      <c r="F1016" s="1041"/>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1044"/>
      <c r="B1017" s="1045"/>
      <c r="C1017" s="1041"/>
      <c r="D1017" s="1045"/>
      <c r="E1017" s="1041"/>
      <c r="F1017" s="1041"/>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1044"/>
      <c r="B1018" s="1045"/>
      <c r="C1018" s="1041"/>
      <c r="D1018" s="1045"/>
      <c r="E1018" s="1041"/>
      <c r="F1018" s="1041"/>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1044"/>
      <c r="B1019" s="1045"/>
      <c r="C1019" s="1041"/>
      <c r="D1019" s="1045"/>
      <c r="E1019" s="1041"/>
      <c r="F1019" s="1041"/>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1044"/>
      <c r="B1020" s="1045"/>
      <c r="C1020" s="1041"/>
      <c r="D1020" s="1045"/>
      <c r="E1020" s="1041"/>
      <c r="F1020" s="1041"/>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1044"/>
      <c r="B1021" s="1045"/>
      <c r="C1021" s="1041"/>
      <c r="D1021" s="1045"/>
      <c r="E1021" s="1041"/>
      <c r="F1021" s="1041"/>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1044"/>
      <c r="B1022" s="1045"/>
      <c r="C1022" s="1041"/>
      <c r="D1022" s="1045"/>
      <c r="E1022" s="1041"/>
      <c r="F1022" s="1041"/>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1044"/>
      <c r="B1023" s="1045"/>
      <c r="C1023" s="1041"/>
      <c r="D1023" s="1045"/>
      <c r="E1023" s="1041"/>
      <c r="F1023" s="1041"/>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1044"/>
      <c r="B1024" s="1045"/>
      <c r="C1024" s="1041"/>
      <c r="D1024" s="1045"/>
      <c r="E1024" s="1041"/>
      <c r="F1024" s="1041"/>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1044"/>
      <c r="B1025" s="1045"/>
      <c r="C1025" s="1041"/>
      <c r="D1025" s="1045"/>
      <c r="E1025" s="1041"/>
      <c r="F1025" s="1041"/>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1044"/>
      <c r="B1026" s="1045"/>
      <c r="C1026" s="1041"/>
      <c r="D1026" s="1045"/>
      <c r="E1026" s="1041"/>
      <c r="F1026" s="1041"/>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1044"/>
      <c r="B1027" s="1045"/>
      <c r="C1027" s="1041"/>
      <c r="D1027" s="1045"/>
      <c r="E1027" s="1041"/>
      <c r="F1027" s="1041"/>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1044"/>
      <c r="B1028" s="1045"/>
      <c r="C1028" s="1041"/>
      <c r="D1028" s="1045"/>
      <c r="E1028" s="1041"/>
      <c r="F1028" s="1041"/>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1044"/>
      <c r="B1029" s="1045"/>
      <c r="C1029" s="1041"/>
      <c r="D1029" s="1045"/>
      <c r="E1029" s="1041"/>
      <c r="F1029" s="1041"/>
      <c r="G1029" s="28"/>
      <c r="H1029" s="28"/>
      <c r="I1029" s="28"/>
      <c r="J1029" s="28"/>
      <c r="K1029" s="28"/>
      <c r="L1029" s="28"/>
      <c r="M1029" s="28"/>
      <c r="N1029" s="28"/>
      <c r="O1029" s="28"/>
      <c r="P1029" s="28"/>
      <c r="Q1029" s="28"/>
      <c r="R1029" s="28"/>
      <c r="S1029" s="28"/>
      <c r="T1029" s="28"/>
      <c r="U1029" s="28"/>
      <c r="V1029" s="28"/>
      <c r="W1029" s="28"/>
      <c r="X1029" s="28"/>
      <c r="Y1029" s="28"/>
      <c r="Z1029" s="28"/>
    </row>
    <row r="1030">
      <c r="A1030" s="1044"/>
      <c r="B1030" s="1045"/>
      <c r="C1030" s="1041"/>
      <c r="D1030" s="1045"/>
      <c r="E1030" s="1041"/>
      <c r="F1030" s="1041"/>
      <c r="G1030" s="28"/>
      <c r="H1030" s="28"/>
      <c r="I1030" s="28"/>
      <c r="J1030" s="28"/>
      <c r="K1030" s="28"/>
      <c r="L1030" s="28"/>
      <c r="M1030" s="28"/>
      <c r="N1030" s="28"/>
      <c r="O1030" s="28"/>
      <c r="P1030" s="28"/>
      <c r="Q1030" s="28"/>
      <c r="R1030" s="28"/>
      <c r="S1030" s="28"/>
      <c r="T1030" s="28"/>
      <c r="U1030" s="28"/>
      <c r="V1030" s="28"/>
      <c r="W1030" s="28"/>
      <c r="X1030" s="28"/>
      <c r="Y1030" s="28"/>
      <c r="Z1030" s="28"/>
    </row>
    <row r="1031">
      <c r="A1031" s="1044"/>
      <c r="B1031" s="1045"/>
      <c r="C1031" s="1041"/>
      <c r="D1031" s="1045"/>
      <c r="E1031" s="1041"/>
      <c r="F1031" s="1041"/>
      <c r="G1031" s="28"/>
      <c r="H1031" s="28"/>
      <c r="I1031" s="28"/>
      <c r="J1031" s="28"/>
      <c r="K1031" s="28"/>
      <c r="L1031" s="28"/>
      <c r="M1031" s="28"/>
      <c r="N1031" s="28"/>
      <c r="O1031" s="28"/>
      <c r="P1031" s="28"/>
      <c r="Q1031" s="28"/>
      <c r="R1031" s="28"/>
      <c r="S1031" s="28"/>
      <c r="T1031" s="28"/>
      <c r="U1031" s="28"/>
      <c r="V1031" s="28"/>
      <c r="W1031" s="28"/>
      <c r="X1031" s="28"/>
      <c r="Y1031" s="28"/>
      <c r="Z1031" s="28"/>
    </row>
    <row r="1032">
      <c r="A1032" s="1044"/>
      <c r="B1032" s="1045"/>
      <c r="C1032" s="1041"/>
      <c r="D1032" s="1045"/>
      <c r="E1032" s="1041"/>
      <c r="F1032" s="1041"/>
      <c r="G1032" s="28"/>
      <c r="H1032" s="28"/>
      <c r="I1032" s="28"/>
      <c r="J1032" s="28"/>
      <c r="K1032" s="28"/>
      <c r="L1032" s="28"/>
      <c r="M1032" s="28"/>
      <c r="N1032" s="28"/>
      <c r="O1032" s="28"/>
      <c r="P1032" s="28"/>
      <c r="Q1032" s="28"/>
      <c r="R1032" s="28"/>
      <c r="S1032" s="28"/>
      <c r="T1032" s="28"/>
      <c r="U1032" s="28"/>
      <c r="V1032" s="28"/>
      <c r="W1032" s="28"/>
      <c r="X1032" s="28"/>
      <c r="Y1032" s="28"/>
      <c r="Z1032" s="28"/>
    </row>
    <row r="1033">
      <c r="A1033" s="1044"/>
      <c r="B1033" s="1045"/>
      <c r="C1033" s="1041"/>
      <c r="D1033" s="1045"/>
      <c r="E1033" s="1041"/>
      <c r="F1033" s="1041"/>
      <c r="G1033" s="28"/>
      <c r="H1033" s="28"/>
      <c r="I1033" s="28"/>
      <c r="J1033" s="28"/>
      <c r="K1033" s="28"/>
      <c r="L1033" s="28"/>
      <c r="M1033" s="28"/>
      <c r="N1033" s="28"/>
      <c r="O1033" s="28"/>
      <c r="P1033" s="28"/>
      <c r="Q1033" s="28"/>
      <c r="R1033" s="28"/>
      <c r="S1033" s="28"/>
      <c r="T1033" s="28"/>
      <c r="U1033" s="28"/>
      <c r="V1033" s="28"/>
      <c r="W1033" s="28"/>
      <c r="X1033" s="28"/>
      <c r="Y1033" s="28"/>
      <c r="Z1033" s="28"/>
    </row>
    <row r="1034">
      <c r="A1034" s="1044"/>
      <c r="B1034" s="1045"/>
      <c r="C1034" s="1041"/>
      <c r="D1034" s="1045"/>
      <c r="E1034" s="1041"/>
      <c r="F1034" s="1041"/>
      <c r="G1034" s="28"/>
      <c r="H1034" s="28"/>
      <c r="I1034" s="28"/>
      <c r="J1034" s="28"/>
      <c r="K1034" s="28"/>
      <c r="L1034" s="28"/>
      <c r="M1034" s="28"/>
      <c r="N1034" s="28"/>
      <c r="O1034" s="28"/>
      <c r="P1034" s="28"/>
      <c r="Q1034" s="28"/>
      <c r="R1034" s="28"/>
      <c r="S1034" s="28"/>
      <c r="T1034" s="28"/>
      <c r="U1034" s="28"/>
      <c r="V1034" s="28"/>
      <c r="W1034" s="28"/>
      <c r="X1034" s="28"/>
      <c r="Y1034" s="28"/>
      <c r="Z1034" s="28"/>
    </row>
    <row r="1035">
      <c r="A1035" s="1044"/>
      <c r="B1035" s="1045"/>
      <c r="C1035" s="1041"/>
      <c r="D1035" s="1045"/>
      <c r="E1035" s="1041"/>
      <c r="F1035" s="1041"/>
      <c r="G1035" s="28"/>
      <c r="H1035" s="28"/>
      <c r="I1035" s="28"/>
      <c r="J1035" s="28"/>
      <c r="K1035" s="28"/>
      <c r="L1035" s="28"/>
      <c r="M1035" s="28"/>
      <c r="N1035" s="28"/>
      <c r="O1035" s="28"/>
      <c r="P1035" s="28"/>
      <c r="Q1035" s="28"/>
      <c r="R1035" s="28"/>
      <c r="S1035" s="28"/>
      <c r="T1035" s="28"/>
      <c r="U1035" s="28"/>
      <c r="V1035" s="28"/>
      <c r="W1035" s="28"/>
      <c r="X1035" s="28"/>
      <c r="Y1035" s="28"/>
      <c r="Z1035" s="28"/>
    </row>
    <row r="1036">
      <c r="A1036" s="1044"/>
      <c r="B1036" s="1045"/>
      <c r="C1036" s="1041"/>
      <c r="D1036" s="1045"/>
      <c r="E1036" s="1041"/>
      <c r="F1036" s="1041"/>
      <c r="G1036" s="28"/>
      <c r="H1036" s="28"/>
      <c r="I1036" s="28"/>
      <c r="J1036" s="28"/>
      <c r="K1036" s="28"/>
      <c r="L1036" s="28"/>
      <c r="M1036" s="28"/>
      <c r="N1036" s="28"/>
      <c r="O1036" s="28"/>
      <c r="P1036" s="28"/>
      <c r="Q1036" s="28"/>
      <c r="R1036" s="28"/>
      <c r="S1036" s="28"/>
      <c r="T1036" s="28"/>
      <c r="U1036" s="28"/>
      <c r="V1036" s="28"/>
      <c r="W1036" s="28"/>
      <c r="X1036" s="28"/>
      <c r="Y1036" s="28"/>
      <c r="Z1036" s="28"/>
    </row>
  </sheetData>
  <mergeCells count="1">
    <mergeCell ref="E1:F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3" max="4" width="80.75"/>
    <col customWidth="1" min="5" max="5" width="65.75"/>
  </cols>
  <sheetData>
    <row r="1">
      <c r="A1" s="1052" t="s">
        <v>2056</v>
      </c>
      <c r="B1" s="1052" t="s">
        <v>2057</v>
      </c>
      <c r="C1" s="1053" t="s">
        <v>2058</v>
      </c>
      <c r="D1" s="1052" t="s">
        <v>1612</v>
      </c>
      <c r="F1" s="1054"/>
      <c r="G1" s="1054"/>
      <c r="H1" s="1054"/>
      <c r="I1" s="1054"/>
      <c r="J1" s="1054"/>
      <c r="K1" s="1054"/>
      <c r="L1" s="1054"/>
      <c r="M1" s="1054"/>
      <c r="N1" s="1054"/>
      <c r="O1" s="1054"/>
      <c r="P1" s="1054"/>
      <c r="Q1" s="1054"/>
      <c r="R1" s="1054"/>
      <c r="S1" s="1054"/>
      <c r="T1" s="1054"/>
      <c r="U1" s="1054"/>
      <c r="V1" s="1054"/>
      <c r="W1" s="1054"/>
      <c r="X1" s="1054"/>
      <c r="Y1" s="1054"/>
      <c r="Z1" s="1054"/>
      <c r="AA1" s="1054"/>
    </row>
    <row r="2">
      <c r="A2" s="37" t="s">
        <v>13</v>
      </c>
      <c r="B2" s="37" t="s">
        <v>2059</v>
      </c>
      <c r="C2" s="22" t="s">
        <v>2060</v>
      </c>
      <c r="D2" s="22"/>
    </row>
    <row r="3">
      <c r="A3" s="37" t="s">
        <v>2061</v>
      </c>
      <c r="B3" s="37" t="s">
        <v>2059</v>
      </c>
      <c r="C3" s="22" t="s">
        <v>2062</v>
      </c>
      <c r="D3" s="22"/>
    </row>
    <row r="4">
      <c r="A4" s="37" t="s">
        <v>13</v>
      </c>
      <c r="B4" s="37" t="s">
        <v>2059</v>
      </c>
      <c r="C4" s="22" t="s">
        <v>2063</v>
      </c>
      <c r="D4" s="22"/>
    </row>
    <row r="5">
      <c r="A5" s="37" t="s">
        <v>13</v>
      </c>
      <c r="B5" s="37" t="s">
        <v>2059</v>
      </c>
      <c r="C5" s="22" t="s">
        <v>2064</v>
      </c>
      <c r="D5" s="22"/>
    </row>
    <row r="6">
      <c r="A6" s="37" t="s">
        <v>192</v>
      </c>
      <c r="B6" s="37" t="s">
        <v>2059</v>
      </c>
      <c r="C6" s="22" t="s">
        <v>2065</v>
      </c>
      <c r="D6" s="22"/>
    </row>
    <row r="7">
      <c r="A7" s="37" t="s">
        <v>192</v>
      </c>
      <c r="B7" s="37" t="s">
        <v>2059</v>
      </c>
      <c r="C7" s="22" t="s">
        <v>2066</v>
      </c>
      <c r="D7" s="22"/>
    </row>
    <row r="8">
      <c r="A8" s="37" t="s">
        <v>192</v>
      </c>
      <c r="B8" s="37" t="s">
        <v>2059</v>
      </c>
      <c r="C8" s="22" t="s">
        <v>2067</v>
      </c>
      <c r="D8" s="22"/>
    </row>
    <row r="9">
      <c r="A9" s="37" t="s">
        <v>192</v>
      </c>
      <c r="B9" s="37" t="s">
        <v>2059</v>
      </c>
      <c r="C9" s="22" t="s">
        <v>2068</v>
      </c>
      <c r="D9" s="22"/>
    </row>
    <row r="10">
      <c r="A10" s="37" t="s">
        <v>2069</v>
      </c>
      <c r="B10" s="37" t="s">
        <v>2059</v>
      </c>
      <c r="C10" s="22" t="s">
        <v>2070</v>
      </c>
      <c r="D10" s="22"/>
    </row>
    <row r="11">
      <c r="A11" s="37" t="s">
        <v>145</v>
      </c>
      <c r="B11" s="37" t="s">
        <v>2059</v>
      </c>
      <c r="C11" s="22" t="s">
        <v>2071</v>
      </c>
      <c r="D11" s="22"/>
    </row>
    <row r="12">
      <c r="A12" s="37" t="s">
        <v>13</v>
      </c>
      <c r="B12" s="37" t="s">
        <v>2059</v>
      </c>
      <c r="C12" s="22" t="s">
        <v>2072</v>
      </c>
      <c r="D12" s="22"/>
    </row>
    <row r="13">
      <c r="A13" s="37" t="s">
        <v>2061</v>
      </c>
      <c r="B13" s="37" t="s">
        <v>2059</v>
      </c>
      <c r="C13" s="22" t="s">
        <v>2073</v>
      </c>
      <c r="D13" s="22"/>
    </row>
    <row r="14">
      <c r="A14" s="37" t="s">
        <v>2074</v>
      </c>
      <c r="B14" s="37" t="s">
        <v>2059</v>
      </c>
      <c r="C14" s="22" t="s">
        <v>2075</v>
      </c>
      <c r="D14" s="22"/>
    </row>
    <row r="15">
      <c r="A15" s="37" t="s">
        <v>2074</v>
      </c>
      <c r="B15" s="37" t="s">
        <v>2059</v>
      </c>
      <c r="C15" s="22" t="s">
        <v>2076</v>
      </c>
      <c r="D15" s="22"/>
    </row>
    <row r="16">
      <c r="A16" s="37" t="s">
        <v>2074</v>
      </c>
      <c r="B16" s="37" t="s">
        <v>2059</v>
      </c>
      <c r="C16" s="22" t="s">
        <v>2077</v>
      </c>
      <c r="D16" s="22"/>
    </row>
    <row r="17">
      <c r="A17" s="37" t="s">
        <v>2074</v>
      </c>
      <c r="B17" s="37" t="s">
        <v>2059</v>
      </c>
      <c r="C17" s="22" t="s">
        <v>2078</v>
      </c>
      <c r="D17" s="22"/>
    </row>
    <row r="18">
      <c r="A18" s="37" t="s">
        <v>2074</v>
      </c>
      <c r="B18" s="37" t="s">
        <v>2059</v>
      </c>
      <c r="C18" s="22" t="s">
        <v>2079</v>
      </c>
      <c r="D18" s="12"/>
    </row>
    <row r="19">
      <c r="A19" s="37" t="s">
        <v>2074</v>
      </c>
      <c r="B19" s="37" t="s">
        <v>2059</v>
      </c>
      <c r="C19" s="22" t="s">
        <v>2080</v>
      </c>
      <c r="D19" s="22"/>
    </row>
    <row r="20">
      <c r="A20" s="37" t="s">
        <v>2074</v>
      </c>
      <c r="B20" s="37" t="s">
        <v>2059</v>
      </c>
      <c r="C20" s="22" t="s">
        <v>2081</v>
      </c>
      <c r="D20" s="22"/>
    </row>
    <row r="21">
      <c r="A21" s="37" t="s">
        <v>2074</v>
      </c>
      <c r="B21" s="37" t="s">
        <v>2059</v>
      </c>
      <c r="C21" s="22" t="s">
        <v>2082</v>
      </c>
      <c r="D21" s="22"/>
    </row>
    <row r="22">
      <c r="A22" s="37" t="s">
        <v>2074</v>
      </c>
      <c r="B22" s="37" t="s">
        <v>2059</v>
      </c>
      <c r="C22" s="22" t="s">
        <v>2083</v>
      </c>
      <c r="D22" s="22"/>
    </row>
    <row r="23">
      <c r="A23" s="37" t="s">
        <v>2084</v>
      </c>
      <c r="B23" s="37" t="s">
        <v>2085</v>
      </c>
      <c r="C23" s="22" t="s">
        <v>2086</v>
      </c>
      <c r="D23" s="22"/>
    </row>
    <row r="24">
      <c r="A24" s="37" t="s">
        <v>13</v>
      </c>
      <c r="B24" s="37" t="s">
        <v>2059</v>
      </c>
      <c r="C24" s="22" t="s">
        <v>2087</v>
      </c>
      <c r="D24" s="22"/>
    </row>
    <row r="25">
      <c r="A25" s="37" t="s">
        <v>2088</v>
      </c>
      <c r="B25" s="37" t="s">
        <v>2059</v>
      </c>
      <c r="C25" s="22" t="s">
        <v>2089</v>
      </c>
      <c r="D25" s="22"/>
    </row>
    <row r="26">
      <c r="A26" s="37" t="s">
        <v>13</v>
      </c>
      <c r="B26" s="37" t="s">
        <v>2059</v>
      </c>
      <c r="C26" s="22" t="s">
        <v>2090</v>
      </c>
      <c r="D26" s="22"/>
    </row>
    <row r="27">
      <c r="A27" s="37" t="s">
        <v>13</v>
      </c>
      <c r="B27" s="37" t="s">
        <v>2059</v>
      </c>
      <c r="C27" s="22" t="s">
        <v>2091</v>
      </c>
      <c r="D27" s="22"/>
    </row>
    <row r="28">
      <c r="A28" s="37" t="s">
        <v>13</v>
      </c>
      <c r="B28" s="37" t="s">
        <v>2059</v>
      </c>
      <c r="C28" s="22" t="s">
        <v>2092</v>
      </c>
      <c r="D28" s="22"/>
    </row>
    <row r="29">
      <c r="A29" s="37" t="s">
        <v>13</v>
      </c>
      <c r="B29" s="37" t="s">
        <v>2059</v>
      </c>
      <c r="C29" s="22" t="s">
        <v>2093</v>
      </c>
      <c r="D29" s="22"/>
    </row>
    <row r="30">
      <c r="A30" s="37" t="s">
        <v>2094</v>
      </c>
      <c r="B30" s="37" t="s">
        <v>2095</v>
      </c>
      <c r="C30" s="22" t="s">
        <v>2096</v>
      </c>
      <c r="D30" s="22"/>
    </row>
    <row r="31">
      <c r="A31" s="37" t="s">
        <v>2097</v>
      </c>
      <c r="B31" s="37" t="s">
        <v>2095</v>
      </c>
      <c r="C31" s="22" t="s">
        <v>2098</v>
      </c>
      <c r="D31" s="22"/>
    </row>
    <row r="32">
      <c r="A32" s="37" t="s">
        <v>2099</v>
      </c>
      <c r="B32" s="37" t="s">
        <v>2100</v>
      </c>
      <c r="C32" s="22" t="s">
        <v>2101</v>
      </c>
      <c r="D32" s="22"/>
    </row>
    <row r="33">
      <c r="A33" s="37" t="s">
        <v>13</v>
      </c>
      <c r="B33" s="37" t="s">
        <v>2059</v>
      </c>
      <c r="C33" s="22" t="s">
        <v>2102</v>
      </c>
      <c r="D33" s="22"/>
    </row>
    <row r="34">
      <c r="A34" s="37" t="s">
        <v>2103</v>
      </c>
      <c r="B34" s="37" t="s">
        <v>2104</v>
      </c>
      <c r="C34" s="22" t="s">
        <v>2105</v>
      </c>
      <c r="D34" s="22"/>
    </row>
    <row r="35">
      <c r="A35" s="37" t="s">
        <v>2103</v>
      </c>
      <c r="B35" s="37" t="s">
        <v>2100</v>
      </c>
      <c r="C35" s="22" t="s">
        <v>2106</v>
      </c>
      <c r="D35" s="22"/>
    </row>
    <row r="36">
      <c r="A36" s="37" t="s">
        <v>2103</v>
      </c>
      <c r="B36" s="37" t="s">
        <v>2100</v>
      </c>
      <c r="C36" s="22" t="s">
        <v>2107</v>
      </c>
      <c r="D36" s="22"/>
    </row>
    <row r="37">
      <c r="A37" s="37" t="s">
        <v>2103</v>
      </c>
      <c r="B37" s="37" t="s">
        <v>2104</v>
      </c>
      <c r="C37" s="22" t="s">
        <v>2108</v>
      </c>
      <c r="D37" s="22"/>
    </row>
    <row r="38">
      <c r="A38" s="37" t="s">
        <v>2103</v>
      </c>
      <c r="B38" s="37" t="s">
        <v>2109</v>
      </c>
      <c r="C38" s="22" t="s">
        <v>2110</v>
      </c>
      <c r="D38" s="22"/>
    </row>
    <row r="39">
      <c r="A39" s="37" t="s">
        <v>2103</v>
      </c>
      <c r="B39" s="37" t="s">
        <v>2100</v>
      </c>
      <c r="C39" s="22" t="s">
        <v>2111</v>
      </c>
      <c r="D39" s="22"/>
    </row>
    <row r="40">
      <c r="A40" s="37" t="s">
        <v>2103</v>
      </c>
      <c r="B40" s="37" t="s">
        <v>2059</v>
      </c>
      <c r="C40" s="22" t="s">
        <v>2112</v>
      </c>
      <c r="D40" s="22"/>
    </row>
    <row r="41">
      <c r="A41" s="37" t="s">
        <v>2103</v>
      </c>
      <c r="B41" s="37" t="s">
        <v>2059</v>
      </c>
      <c r="C41" s="22" t="s">
        <v>2113</v>
      </c>
      <c r="D41" s="22"/>
    </row>
    <row r="42">
      <c r="A42" s="37" t="s">
        <v>2103</v>
      </c>
      <c r="B42" s="37" t="s">
        <v>2059</v>
      </c>
      <c r="C42" s="22" t="s">
        <v>2114</v>
      </c>
      <c r="D42" s="22"/>
    </row>
    <row r="43">
      <c r="A43" s="37" t="s">
        <v>2103</v>
      </c>
      <c r="B43" s="37" t="s">
        <v>2059</v>
      </c>
      <c r="C43" s="22" t="s">
        <v>2115</v>
      </c>
      <c r="D43" s="22"/>
    </row>
    <row r="44">
      <c r="A44" s="37" t="s">
        <v>818</v>
      </c>
      <c r="B44" s="37" t="s">
        <v>2059</v>
      </c>
      <c r="C44" s="22" t="s">
        <v>2116</v>
      </c>
      <c r="D44" s="1"/>
    </row>
    <row r="45">
      <c r="A45" s="37" t="s">
        <v>818</v>
      </c>
      <c r="B45" s="37" t="s">
        <v>2059</v>
      </c>
      <c r="C45" s="22" t="s">
        <v>2117</v>
      </c>
      <c r="D45" s="1"/>
    </row>
    <row r="46">
      <c r="A46" s="37" t="s">
        <v>818</v>
      </c>
      <c r="B46" s="37" t="s">
        <v>2059</v>
      </c>
      <c r="C46" s="22" t="s">
        <v>2118</v>
      </c>
      <c r="D46" s="1"/>
    </row>
    <row r="47">
      <c r="A47" s="37" t="s">
        <v>818</v>
      </c>
      <c r="B47" s="37" t="s">
        <v>2059</v>
      </c>
      <c r="C47" s="22" t="s">
        <v>2119</v>
      </c>
      <c r="D47" s="1"/>
    </row>
    <row r="48">
      <c r="A48" s="37" t="s">
        <v>818</v>
      </c>
      <c r="B48" s="37" t="s">
        <v>2120</v>
      </c>
      <c r="C48" s="22" t="s">
        <v>2121</v>
      </c>
      <c r="D48" s="1"/>
    </row>
    <row r="49">
      <c r="A49" s="37" t="s">
        <v>818</v>
      </c>
      <c r="B49" s="37" t="s">
        <v>2120</v>
      </c>
      <c r="C49" s="22" t="s">
        <v>2122</v>
      </c>
      <c r="D49" s="1"/>
    </row>
    <row r="50">
      <c r="A50" s="37" t="s">
        <v>2123</v>
      </c>
      <c r="B50" s="37" t="s">
        <v>2109</v>
      </c>
      <c r="C50" s="22" t="s">
        <v>2124</v>
      </c>
      <c r="D50" s="1"/>
    </row>
    <row r="51">
      <c r="A51" s="37" t="s">
        <v>49</v>
      </c>
      <c r="C51" s="22" t="s">
        <v>2125</v>
      </c>
      <c r="D51" s="1"/>
    </row>
    <row r="52">
      <c r="A52" s="37" t="s">
        <v>49</v>
      </c>
      <c r="C52" s="22" t="s">
        <v>2126</v>
      </c>
      <c r="D52" s="1"/>
    </row>
    <row r="53">
      <c r="A53" s="37" t="s">
        <v>49</v>
      </c>
      <c r="C53" s="22" t="s">
        <v>2127</v>
      </c>
      <c r="D53" s="1"/>
    </row>
    <row r="54">
      <c r="A54" s="37" t="s">
        <v>49</v>
      </c>
      <c r="C54" s="22" t="s">
        <v>2128</v>
      </c>
      <c r="D54" s="1"/>
    </row>
    <row r="55">
      <c r="A55" s="37" t="s">
        <v>49</v>
      </c>
      <c r="C55" s="22" t="s">
        <v>2129</v>
      </c>
      <c r="D55" s="1"/>
    </row>
    <row r="56">
      <c r="A56" s="37" t="s">
        <v>49</v>
      </c>
      <c r="C56" s="22" t="s">
        <v>2130</v>
      </c>
      <c r="D56" s="1"/>
    </row>
    <row r="57">
      <c r="A57" s="37" t="s">
        <v>2131</v>
      </c>
      <c r="C57" s="22" t="s">
        <v>2132</v>
      </c>
      <c r="D57" s="1"/>
    </row>
    <row r="58">
      <c r="A58" s="37" t="s">
        <v>602</v>
      </c>
      <c r="B58" s="37" t="s">
        <v>2133</v>
      </c>
      <c r="C58" s="22" t="s">
        <v>2134</v>
      </c>
      <c r="D58" s="1"/>
    </row>
    <row r="59">
      <c r="A59" s="37" t="s">
        <v>2135</v>
      </c>
      <c r="B59" s="37" t="s">
        <v>2120</v>
      </c>
      <c r="C59" s="22" t="s">
        <v>2136</v>
      </c>
      <c r="D59" s="1"/>
    </row>
    <row r="60">
      <c r="A60" s="37" t="s">
        <v>49</v>
      </c>
      <c r="B60" s="37" t="s">
        <v>2137</v>
      </c>
      <c r="C60" s="1055" t="s">
        <v>2138</v>
      </c>
      <c r="D60" s="1"/>
    </row>
    <row r="61">
      <c r="A61" s="37" t="s">
        <v>13</v>
      </c>
      <c r="B61" s="37" t="s">
        <v>2139</v>
      </c>
      <c r="C61" s="22" t="s">
        <v>2140</v>
      </c>
      <c r="D61" s="1"/>
    </row>
    <row r="62">
      <c r="A62" s="37" t="s">
        <v>2141</v>
      </c>
      <c r="B62" s="37" t="s">
        <v>2142</v>
      </c>
      <c r="C62" s="1055" t="s">
        <v>2143</v>
      </c>
      <c r="D62" s="1"/>
    </row>
    <row r="63">
      <c r="A63" s="37" t="s">
        <v>2141</v>
      </c>
      <c r="B63" s="37" t="s">
        <v>2139</v>
      </c>
      <c r="C63" s="22" t="s">
        <v>2144</v>
      </c>
      <c r="D63" s="1"/>
    </row>
    <row r="64">
      <c r="A64" s="37" t="s">
        <v>818</v>
      </c>
      <c r="B64" s="37" t="s">
        <v>2059</v>
      </c>
      <c r="C64" s="22" t="s">
        <v>2145</v>
      </c>
      <c r="D64" s="1"/>
    </row>
    <row r="65">
      <c r="A65" s="37" t="s">
        <v>818</v>
      </c>
      <c r="B65" s="37" t="s">
        <v>2146</v>
      </c>
      <c r="C65" s="22" t="s">
        <v>2147</v>
      </c>
      <c r="D65" s="1"/>
    </row>
    <row r="66">
      <c r="C66" s="22" t="s">
        <v>2148</v>
      </c>
      <c r="D66" s="1"/>
    </row>
    <row r="67">
      <c r="C67" s="22" t="s">
        <v>2149</v>
      </c>
      <c r="D67" s="1"/>
    </row>
    <row r="68">
      <c r="C68" s="22" t="s">
        <v>2150</v>
      </c>
      <c r="D68" s="1"/>
    </row>
    <row r="69">
      <c r="C69" s="22" t="s">
        <v>2151</v>
      </c>
      <c r="D69" s="1"/>
    </row>
    <row r="70">
      <c r="C70" s="22" t="s">
        <v>2152</v>
      </c>
      <c r="D70" s="1"/>
    </row>
    <row r="71">
      <c r="C71" s="22" t="s">
        <v>2153</v>
      </c>
      <c r="D71" s="1"/>
    </row>
    <row r="72">
      <c r="C72" s="22" t="s">
        <v>2154</v>
      </c>
      <c r="D72" s="1"/>
    </row>
    <row r="73">
      <c r="C73" s="22" t="s">
        <v>2155</v>
      </c>
      <c r="D73" s="1"/>
    </row>
    <row r="74">
      <c r="C74" s="22" t="s">
        <v>2156</v>
      </c>
      <c r="D74" s="1"/>
    </row>
    <row r="75">
      <c r="C75" s="22" t="s">
        <v>2157</v>
      </c>
      <c r="D75" s="1"/>
    </row>
    <row r="76">
      <c r="C76" s="22" t="s">
        <v>2158</v>
      </c>
      <c r="D76" s="1"/>
    </row>
    <row r="77">
      <c r="C77" s="22" t="s">
        <v>2159</v>
      </c>
      <c r="D77" s="1"/>
    </row>
    <row r="78">
      <c r="C78" s="22" t="s">
        <v>2160</v>
      </c>
      <c r="D78" s="1"/>
    </row>
    <row r="79">
      <c r="C79" s="22" t="s">
        <v>2161</v>
      </c>
      <c r="D79" s="1"/>
    </row>
    <row r="80">
      <c r="C80" s="22" t="s">
        <v>2162</v>
      </c>
      <c r="D80" s="1"/>
    </row>
    <row r="81">
      <c r="C81" s="22" t="s">
        <v>2163</v>
      </c>
      <c r="D81" s="1"/>
    </row>
    <row r="82">
      <c r="C82" s="22" t="s">
        <v>2164</v>
      </c>
      <c r="D82" s="1"/>
    </row>
    <row r="83">
      <c r="A83" s="37" t="s">
        <v>2135</v>
      </c>
      <c r="B83" s="37" t="s">
        <v>2120</v>
      </c>
      <c r="C83" s="22" t="s">
        <v>2165</v>
      </c>
      <c r="D83" s="1"/>
    </row>
    <row r="84">
      <c r="A84" s="37" t="s">
        <v>13</v>
      </c>
      <c r="B84" s="37" t="s">
        <v>2120</v>
      </c>
      <c r="C84" s="22" t="s">
        <v>2166</v>
      </c>
      <c r="D84" s="1"/>
    </row>
    <row r="85">
      <c r="A85" s="37" t="s">
        <v>2135</v>
      </c>
      <c r="B85" s="37" t="s">
        <v>2120</v>
      </c>
      <c r="C85" s="22" t="s">
        <v>2167</v>
      </c>
      <c r="D85" s="1"/>
    </row>
    <row r="86">
      <c r="A86" s="37" t="s">
        <v>2168</v>
      </c>
      <c r="B86" s="37" t="s">
        <v>2139</v>
      </c>
      <c r="C86" s="22" t="s">
        <v>2169</v>
      </c>
      <c r="D86" s="1"/>
    </row>
    <row r="87">
      <c r="A87" s="37" t="s">
        <v>1889</v>
      </c>
      <c r="B87" s="37" t="s">
        <v>2100</v>
      </c>
      <c r="C87" s="22" t="s">
        <v>2170</v>
      </c>
      <c r="D87" s="1"/>
    </row>
    <row r="88">
      <c r="C88" s="22" t="s">
        <v>2171</v>
      </c>
      <c r="D88" s="1"/>
    </row>
    <row r="89">
      <c r="C89" s="22" t="s">
        <v>2172</v>
      </c>
      <c r="D89" s="1"/>
    </row>
    <row r="90">
      <c r="A90" s="37" t="s">
        <v>2173</v>
      </c>
      <c r="B90" s="37" t="s">
        <v>2059</v>
      </c>
      <c r="C90" s="22" t="s">
        <v>2174</v>
      </c>
      <c r="D90" s="1"/>
    </row>
    <row r="91">
      <c r="A91" s="37" t="s">
        <v>2173</v>
      </c>
      <c r="B91" s="37" t="s">
        <v>2059</v>
      </c>
      <c r="C91" s="22" t="s">
        <v>2175</v>
      </c>
      <c r="D91" s="1"/>
    </row>
    <row r="92">
      <c r="A92" s="37" t="s">
        <v>2173</v>
      </c>
      <c r="B92" s="37" t="s">
        <v>2059</v>
      </c>
      <c r="C92" s="22" t="s">
        <v>2176</v>
      </c>
      <c r="D92" s="1"/>
    </row>
    <row r="93">
      <c r="A93" s="37" t="s">
        <v>2173</v>
      </c>
      <c r="B93" s="37" t="s">
        <v>2059</v>
      </c>
      <c r="C93" s="22" t="s">
        <v>2177</v>
      </c>
      <c r="D93" s="1"/>
    </row>
    <row r="94">
      <c r="A94" s="37" t="s">
        <v>2173</v>
      </c>
      <c r="B94" s="37" t="s">
        <v>2120</v>
      </c>
      <c r="C94" s="22" t="s">
        <v>2178</v>
      </c>
      <c r="D94" s="1"/>
    </row>
    <row r="95">
      <c r="A95" s="37" t="s">
        <v>2173</v>
      </c>
      <c r="B95" s="37" t="s">
        <v>2120</v>
      </c>
      <c r="C95" s="22" t="s">
        <v>2179</v>
      </c>
      <c r="D95" s="1"/>
    </row>
    <row r="96">
      <c r="A96" s="37" t="s">
        <v>2173</v>
      </c>
      <c r="B96" s="37" t="s">
        <v>2120</v>
      </c>
      <c r="C96" s="22" t="s">
        <v>2180</v>
      </c>
      <c r="D96" s="1"/>
    </row>
    <row r="97">
      <c r="A97" s="37" t="s">
        <v>2181</v>
      </c>
      <c r="B97" s="37" t="s">
        <v>2120</v>
      </c>
      <c r="C97" s="22" t="s">
        <v>2182</v>
      </c>
      <c r="D97" s="1"/>
    </row>
    <row r="98">
      <c r="A98" s="37" t="s">
        <v>2183</v>
      </c>
      <c r="B98" s="37" t="s">
        <v>2184</v>
      </c>
      <c r="C98" s="22" t="s">
        <v>2185</v>
      </c>
      <c r="D98" s="1"/>
    </row>
    <row r="99">
      <c r="A99" s="37" t="s">
        <v>2183</v>
      </c>
      <c r="B99" s="37" t="s">
        <v>2186</v>
      </c>
      <c r="C99" s="22" t="s">
        <v>2187</v>
      </c>
      <c r="D99" s="1"/>
    </row>
    <row r="100">
      <c r="A100" s="37" t="s">
        <v>466</v>
      </c>
      <c r="B100" s="37" t="s">
        <v>2059</v>
      </c>
      <c r="C100" s="22" t="s">
        <v>2188</v>
      </c>
      <c r="D100" s="1"/>
    </row>
    <row r="101">
      <c r="A101" s="37" t="s">
        <v>2189</v>
      </c>
      <c r="B101" s="37" t="s">
        <v>2059</v>
      </c>
      <c r="C101" s="22" t="s">
        <v>2190</v>
      </c>
      <c r="D101" s="22" t="s">
        <v>2191</v>
      </c>
    </row>
    <row r="102" ht="24.0" customHeight="1">
      <c r="A102" s="37" t="s">
        <v>13</v>
      </c>
      <c r="B102" s="37" t="s">
        <v>2139</v>
      </c>
      <c r="C102" s="22" t="s">
        <v>2192</v>
      </c>
      <c r="D102" s="1"/>
    </row>
    <row r="103">
      <c r="A103" s="37" t="s">
        <v>2193</v>
      </c>
      <c r="B103" s="37" t="s">
        <v>652</v>
      </c>
      <c r="C103" s="22" t="s">
        <v>2194</v>
      </c>
      <c r="D103" s="1"/>
    </row>
    <row r="104">
      <c r="A104" s="37" t="s">
        <v>2193</v>
      </c>
      <c r="B104" s="37" t="s">
        <v>2195</v>
      </c>
      <c r="C104" s="22" t="s">
        <v>2196</v>
      </c>
      <c r="D104" s="1"/>
    </row>
    <row r="105">
      <c r="A105" s="37" t="s">
        <v>123</v>
      </c>
      <c r="B105" s="37" t="s">
        <v>652</v>
      </c>
      <c r="C105" s="22" t="s">
        <v>2197</v>
      </c>
      <c r="D105" s="1"/>
    </row>
    <row r="106">
      <c r="A106" s="37" t="s">
        <v>145</v>
      </c>
      <c r="B106" s="37" t="s">
        <v>2100</v>
      </c>
      <c r="C106" s="22" t="s">
        <v>2198</v>
      </c>
      <c r="D106" s="1"/>
    </row>
    <row r="107">
      <c r="A107" s="37" t="s">
        <v>2199</v>
      </c>
      <c r="B107" s="37" t="s">
        <v>2059</v>
      </c>
      <c r="C107" s="22" t="s">
        <v>2200</v>
      </c>
      <c r="D107" s="1"/>
    </row>
    <row r="108">
      <c r="B108" s="37" t="s">
        <v>2059</v>
      </c>
      <c r="C108" s="22" t="s">
        <v>2201</v>
      </c>
      <c r="D108" s="1"/>
    </row>
    <row r="109">
      <c r="B109" s="37" t="s">
        <v>2133</v>
      </c>
      <c r="C109" s="22" t="s">
        <v>2202</v>
      </c>
      <c r="D109" s="1"/>
    </row>
    <row r="110">
      <c r="B110" s="37" t="s">
        <v>2059</v>
      </c>
      <c r="C110" s="22" t="s">
        <v>2203</v>
      </c>
      <c r="D110" s="1"/>
    </row>
    <row r="111">
      <c r="A111" s="37" t="s">
        <v>13</v>
      </c>
      <c r="B111" s="37" t="s">
        <v>2120</v>
      </c>
      <c r="C111" s="22" t="s">
        <v>2204</v>
      </c>
      <c r="D111" s="1"/>
    </row>
    <row r="112">
      <c r="B112" s="37" t="s">
        <v>2205</v>
      </c>
      <c r="C112" s="22" t="s">
        <v>2206</v>
      </c>
      <c r="D112" s="1"/>
    </row>
    <row r="113">
      <c r="B113" s="37" t="s">
        <v>2195</v>
      </c>
      <c r="C113" s="22" t="s">
        <v>2207</v>
      </c>
      <c r="D113" s="1"/>
    </row>
    <row r="114">
      <c r="B114" s="37" t="s">
        <v>2208</v>
      </c>
      <c r="C114" s="22" t="s">
        <v>2209</v>
      </c>
      <c r="D114" s="1"/>
    </row>
    <row r="115">
      <c r="A115" s="37" t="s">
        <v>2210</v>
      </c>
      <c r="C115" s="22" t="s">
        <v>2211</v>
      </c>
      <c r="D115" s="1"/>
    </row>
    <row r="116">
      <c r="C116" s="22" t="s">
        <v>2212</v>
      </c>
      <c r="D116" s="1"/>
    </row>
    <row r="117">
      <c r="C117" s="22" t="s">
        <v>2213</v>
      </c>
      <c r="D117" s="1"/>
    </row>
    <row r="118">
      <c r="C118" s="22" t="s">
        <v>2214</v>
      </c>
      <c r="D118" s="1"/>
    </row>
    <row r="119">
      <c r="A119" s="37" t="s">
        <v>530</v>
      </c>
      <c r="B119" s="37" t="s">
        <v>2215</v>
      </c>
      <c r="C119" s="22" t="s">
        <v>2216</v>
      </c>
      <c r="D119" s="1"/>
    </row>
    <row r="120">
      <c r="A120" s="37" t="s">
        <v>2199</v>
      </c>
      <c r="B120" s="37" t="s">
        <v>2217</v>
      </c>
      <c r="C120" s="22" t="s">
        <v>2218</v>
      </c>
      <c r="D120" s="1"/>
    </row>
    <row r="121">
      <c r="A121" s="37" t="s">
        <v>2199</v>
      </c>
      <c r="B121" s="37" t="s">
        <v>2219</v>
      </c>
      <c r="C121" s="22" t="s">
        <v>2220</v>
      </c>
      <c r="D121" s="1"/>
    </row>
    <row r="122">
      <c r="A122" s="37" t="s">
        <v>2199</v>
      </c>
      <c r="C122" s="22" t="s">
        <v>2221</v>
      </c>
      <c r="D122" s="1"/>
    </row>
    <row r="123">
      <c r="B123" s="37" t="s">
        <v>2222</v>
      </c>
      <c r="C123" s="22" t="s">
        <v>2223</v>
      </c>
      <c r="D123" s="1"/>
    </row>
    <row r="124">
      <c r="B124" s="37" t="s">
        <v>2224</v>
      </c>
      <c r="C124" s="22" t="s">
        <v>2225</v>
      </c>
      <c r="D124" s="1"/>
    </row>
    <row r="125">
      <c r="B125" s="37" t="s">
        <v>2226</v>
      </c>
      <c r="C125" s="1055" t="s">
        <v>2227</v>
      </c>
      <c r="D125" s="1"/>
    </row>
    <row r="126">
      <c r="C126" s="22" t="s">
        <v>2228</v>
      </c>
      <c r="D126" s="1"/>
    </row>
    <row r="127">
      <c r="A127" s="37" t="s">
        <v>13</v>
      </c>
      <c r="B127" s="37" t="s">
        <v>2059</v>
      </c>
      <c r="C127" s="22" t="s">
        <v>2229</v>
      </c>
      <c r="D127" s="1"/>
    </row>
    <row r="128">
      <c r="A128" s="37" t="s">
        <v>13</v>
      </c>
      <c r="B128" s="37" t="s">
        <v>2059</v>
      </c>
      <c r="C128" s="22" t="s">
        <v>2230</v>
      </c>
      <c r="D128" s="1"/>
    </row>
    <row r="129">
      <c r="A129" s="37" t="s">
        <v>13</v>
      </c>
      <c r="B129" s="37" t="s">
        <v>2120</v>
      </c>
      <c r="C129" s="22" t="s">
        <v>2231</v>
      </c>
      <c r="D129" s="1"/>
    </row>
    <row r="130">
      <c r="A130" s="37" t="s">
        <v>2099</v>
      </c>
      <c r="B130" s="37" t="s">
        <v>2120</v>
      </c>
      <c r="C130" s="22" t="s">
        <v>2232</v>
      </c>
      <c r="D130" s="1"/>
    </row>
    <row r="131">
      <c r="A131" s="37" t="s">
        <v>2233</v>
      </c>
      <c r="B131" s="37" t="s">
        <v>2234</v>
      </c>
      <c r="C131" s="22" t="s">
        <v>2235</v>
      </c>
      <c r="D131" s="1"/>
    </row>
    <row r="132">
      <c r="A132" s="37" t="s">
        <v>13</v>
      </c>
      <c r="B132" s="37" t="s">
        <v>2059</v>
      </c>
      <c r="C132" s="22" t="s">
        <v>2236</v>
      </c>
      <c r="D132" s="1"/>
    </row>
    <row r="133">
      <c r="A133" s="37" t="s">
        <v>2237</v>
      </c>
      <c r="B133" s="37" t="s">
        <v>2059</v>
      </c>
      <c r="C133" s="22" t="s">
        <v>2238</v>
      </c>
      <c r="D133" s="1"/>
    </row>
    <row r="134">
      <c r="A134" s="37" t="s">
        <v>2239</v>
      </c>
      <c r="B134" s="37" t="s">
        <v>2059</v>
      </c>
      <c r="C134" s="22" t="s">
        <v>2240</v>
      </c>
      <c r="D134" s="1"/>
    </row>
    <row r="135">
      <c r="A135" s="37" t="s">
        <v>13</v>
      </c>
      <c r="B135" s="37" t="s">
        <v>2059</v>
      </c>
      <c r="C135" s="22" t="s">
        <v>2241</v>
      </c>
      <c r="D135" s="1"/>
    </row>
    <row r="136">
      <c r="A136" s="37" t="s">
        <v>2183</v>
      </c>
      <c r="B136" s="37" t="s">
        <v>2059</v>
      </c>
      <c r="C136" s="22" t="s">
        <v>2242</v>
      </c>
      <c r="D136" s="1"/>
    </row>
    <row r="137">
      <c r="A137" s="37" t="s">
        <v>2183</v>
      </c>
      <c r="B137" s="37" t="s">
        <v>2059</v>
      </c>
      <c r="C137" s="22" t="s">
        <v>2243</v>
      </c>
      <c r="D137" s="1"/>
    </row>
    <row r="138">
      <c r="A138" s="37" t="s">
        <v>2183</v>
      </c>
      <c r="B138" s="37" t="s">
        <v>2059</v>
      </c>
      <c r="C138" s="22" t="s">
        <v>2244</v>
      </c>
      <c r="D138" s="1"/>
    </row>
    <row r="139">
      <c r="A139" s="37" t="s">
        <v>2183</v>
      </c>
      <c r="B139" s="37" t="s">
        <v>2059</v>
      </c>
      <c r="C139" s="22" t="s">
        <v>2245</v>
      </c>
      <c r="D139" s="1"/>
    </row>
    <row r="140">
      <c r="A140" s="37" t="s">
        <v>2183</v>
      </c>
      <c r="B140" s="37" t="s">
        <v>2059</v>
      </c>
      <c r="C140" s="22" t="s">
        <v>2246</v>
      </c>
      <c r="D140" s="1"/>
    </row>
    <row r="141">
      <c r="A141" s="37" t="s">
        <v>13</v>
      </c>
      <c r="B141" s="37" t="s">
        <v>2139</v>
      </c>
      <c r="C141" s="22" t="s">
        <v>2247</v>
      </c>
      <c r="D141" s="1"/>
    </row>
    <row r="142">
      <c r="A142" s="37" t="s">
        <v>2237</v>
      </c>
      <c r="B142" s="37" t="s">
        <v>2139</v>
      </c>
      <c r="C142" s="22" t="s">
        <v>2248</v>
      </c>
      <c r="D142" s="1"/>
    </row>
    <row r="143">
      <c r="A143" s="37" t="s">
        <v>13</v>
      </c>
      <c r="B143" s="37" t="s">
        <v>2133</v>
      </c>
      <c r="C143" s="22" t="s">
        <v>2249</v>
      </c>
      <c r="D143" s="1"/>
    </row>
    <row r="144">
      <c r="A144" s="37" t="s">
        <v>13</v>
      </c>
      <c r="B144" s="37" t="s">
        <v>2226</v>
      </c>
      <c r="C144" s="22" t="s">
        <v>2250</v>
      </c>
      <c r="D144" s="1"/>
    </row>
    <row r="145">
      <c r="A145" s="37" t="s">
        <v>13</v>
      </c>
      <c r="B145" s="37" t="s">
        <v>2226</v>
      </c>
      <c r="C145" s="22" t="s">
        <v>2251</v>
      </c>
      <c r="D145" s="1"/>
    </row>
    <row r="146">
      <c r="A146" s="37" t="s">
        <v>13</v>
      </c>
      <c r="B146" s="37" t="s">
        <v>2252</v>
      </c>
      <c r="C146" s="1055" t="s">
        <v>2253</v>
      </c>
      <c r="D146" s="1"/>
    </row>
    <row r="147">
      <c r="A147" s="37" t="s">
        <v>2254</v>
      </c>
      <c r="B147" s="37" t="s">
        <v>2059</v>
      </c>
      <c r="C147" s="22" t="s">
        <v>2255</v>
      </c>
      <c r="D147" s="1"/>
    </row>
    <row r="148">
      <c r="A148" s="37" t="s">
        <v>2256</v>
      </c>
      <c r="B148" s="37" t="s">
        <v>2257</v>
      </c>
      <c r="C148" s="22" t="s">
        <v>2258</v>
      </c>
      <c r="D148" s="1"/>
    </row>
    <row r="149">
      <c r="A149" s="37" t="s">
        <v>2030</v>
      </c>
      <c r="B149" s="37" t="s">
        <v>2139</v>
      </c>
      <c r="C149" s="22" t="s">
        <v>2259</v>
      </c>
      <c r="D149" s="1"/>
    </row>
    <row r="150">
      <c r="A150" s="37" t="s">
        <v>2260</v>
      </c>
      <c r="B150" s="37" t="s">
        <v>2139</v>
      </c>
      <c r="C150" s="22" t="s">
        <v>2261</v>
      </c>
      <c r="D150" s="1"/>
    </row>
    <row r="151">
      <c r="A151" s="37" t="s">
        <v>2183</v>
      </c>
      <c r="B151" s="37" t="s">
        <v>652</v>
      </c>
      <c r="C151" s="1055" t="s">
        <v>2262</v>
      </c>
      <c r="D151" s="1"/>
    </row>
    <row r="152">
      <c r="A152" s="37" t="s">
        <v>49</v>
      </c>
      <c r="B152" s="37" t="s">
        <v>2263</v>
      </c>
      <c r="C152" s="22" t="s">
        <v>2264</v>
      </c>
      <c r="D152" s="1"/>
    </row>
    <row r="153">
      <c r="A153" s="37" t="s">
        <v>49</v>
      </c>
      <c r="B153" s="37" t="s">
        <v>2263</v>
      </c>
      <c r="C153" s="22" t="s">
        <v>2265</v>
      </c>
      <c r="D153" s="1"/>
    </row>
    <row r="154">
      <c r="A154" s="37" t="s">
        <v>49</v>
      </c>
      <c r="B154" s="37" t="s">
        <v>2263</v>
      </c>
      <c r="C154" s="22" t="s">
        <v>2266</v>
      </c>
      <c r="D154" s="1"/>
    </row>
    <row r="155">
      <c r="A155" s="37" t="s">
        <v>49</v>
      </c>
      <c r="B155" s="37" t="s">
        <v>2263</v>
      </c>
      <c r="C155" s="22" t="s">
        <v>2267</v>
      </c>
      <c r="D155" s="1"/>
    </row>
    <row r="156">
      <c r="A156" s="37" t="s">
        <v>145</v>
      </c>
      <c r="B156" s="37" t="s">
        <v>2268</v>
      </c>
      <c r="C156" s="22" t="s">
        <v>2269</v>
      </c>
      <c r="D156" s="1"/>
    </row>
    <row r="157">
      <c r="A157" s="37" t="s">
        <v>13</v>
      </c>
      <c r="B157" s="37" t="s">
        <v>2133</v>
      </c>
      <c r="C157" s="22" t="s">
        <v>2270</v>
      </c>
      <c r="D157" s="1"/>
    </row>
    <row r="158">
      <c r="A158" s="37" t="s">
        <v>13</v>
      </c>
      <c r="B158" s="37" t="s">
        <v>2257</v>
      </c>
      <c r="C158" s="22" t="s">
        <v>2271</v>
      </c>
      <c r="D158" s="1"/>
    </row>
    <row r="159">
      <c r="A159" s="37" t="s">
        <v>49</v>
      </c>
      <c r="B159" s="37" t="s">
        <v>2059</v>
      </c>
      <c r="C159" s="22" t="s">
        <v>2272</v>
      </c>
      <c r="D159" s="1"/>
    </row>
    <row r="160">
      <c r="A160" s="37" t="s">
        <v>2273</v>
      </c>
      <c r="B160" s="37" t="s">
        <v>2100</v>
      </c>
      <c r="C160" s="22" t="s">
        <v>2274</v>
      </c>
      <c r="D160" s="1"/>
    </row>
    <row r="161">
      <c r="A161" s="37" t="s">
        <v>2273</v>
      </c>
      <c r="B161" s="37" t="s">
        <v>2257</v>
      </c>
      <c r="C161" s="22" t="s">
        <v>2275</v>
      </c>
      <c r="D161" s="1"/>
    </row>
    <row r="162">
      <c r="A162" s="37" t="s">
        <v>2276</v>
      </c>
      <c r="B162" s="37" t="s">
        <v>2252</v>
      </c>
      <c r="C162" s="12" t="s">
        <v>2277</v>
      </c>
      <c r="D162" s="1"/>
    </row>
    <row r="163">
      <c r="A163" s="37" t="s">
        <v>818</v>
      </c>
      <c r="B163" s="37" t="s">
        <v>652</v>
      </c>
      <c r="C163" s="22" t="s">
        <v>2278</v>
      </c>
      <c r="D163" s="1"/>
    </row>
    <row r="164">
      <c r="A164" s="37" t="s">
        <v>2273</v>
      </c>
      <c r="B164" s="37" t="s">
        <v>2257</v>
      </c>
      <c r="C164" s="22" t="s">
        <v>2279</v>
      </c>
      <c r="D164" s="1"/>
    </row>
    <row r="165">
      <c r="A165" s="37" t="s">
        <v>13</v>
      </c>
      <c r="B165" s="37" t="s">
        <v>2104</v>
      </c>
      <c r="C165" s="22" t="s">
        <v>2280</v>
      </c>
      <c r="D165" s="1"/>
    </row>
    <row r="166">
      <c r="A166" s="37" t="s">
        <v>145</v>
      </c>
      <c r="B166" s="37" t="s">
        <v>2268</v>
      </c>
      <c r="C166" s="22" t="s">
        <v>2281</v>
      </c>
      <c r="D166" s="1"/>
    </row>
    <row r="167">
      <c r="A167" s="37" t="s">
        <v>13</v>
      </c>
      <c r="B167" s="37" t="s">
        <v>2139</v>
      </c>
      <c r="C167" s="22" t="s">
        <v>2282</v>
      </c>
      <c r="D167" s="1"/>
    </row>
    <row r="168">
      <c r="A168" s="37" t="s">
        <v>192</v>
      </c>
      <c r="B168" s="37" t="s">
        <v>2059</v>
      </c>
      <c r="C168" s="22" t="s">
        <v>2283</v>
      </c>
      <c r="D168" s="1"/>
    </row>
    <row r="169">
      <c r="A169" s="37" t="s">
        <v>2273</v>
      </c>
      <c r="B169" s="37" t="s">
        <v>2139</v>
      </c>
      <c r="C169" s="22" t="s">
        <v>2284</v>
      </c>
      <c r="D169" s="1"/>
    </row>
    <row r="170">
      <c r="A170" s="37" t="s">
        <v>13</v>
      </c>
      <c r="B170" s="37" t="s">
        <v>2257</v>
      </c>
      <c r="C170" s="22" t="s">
        <v>2285</v>
      </c>
      <c r="D170" s="1"/>
    </row>
    <row r="171">
      <c r="A171" s="37" t="s">
        <v>2254</v>
      </c>
      <c r="B171" s="37" t="s">
        <v>2059</v>
      </c>
      <c r="C171" s="22" t="s">
        <v>2286</v>
      </c>
      <c r="D171" s="1"/>
    </row>
    <row r="172">
      <c r="A172" s="37" t="s">
        <v>2287</v>
      </c>
      <c r="B172" s="37" t="s">
        <v>2142</v>
      </c>
      <c r="C172" s="22" t="s">
        <v>2288</v>
      </c>
      <c r="D172" s="1"/>
    </row>
    <row r="173">
      <c r="A173" s="37" t="s">
        <v>1281</v>
      </c>
      <c r="B173" s="37" t="s">
        <v>2133</v>
      </c>
      <c r="C173" s="22" t="s">
        <v>2289</v>
      </c>
      <c r="D173" s="1"/>
    </row>
    <row r="174">
      <c r="C174" s="1056" t="s">
        <v>2290</v>
      </c>
      <c r="D174" s="1"/>
    </row>
    <row r="175">
      <c r="A175" s="37" t="s">
        <v>49</v>
      </c>
      <c r="B175" s="37" t="s">
        <v>2133</v>
      </c>
      <c r="C175" s="22" t="s">
        <v>2291</v>
      </c>
      <c r="D175" s="1"/>
    </row>
    <row r="176">
      <c r="A176" s="37" t="s">
        <v>1281</v>
      </c>
      <c r="B176" s="37" t="s">
        <v>2059</v>
      </c>
      <c r="C176" s="22" t="s">
        <v>2292</v>
      </c>
      <c r="D176" s="1"/>
    </row>
    <row r="177">
      <c r="A177" s="37" t="s">
        <v>13</v>
      </c>
      <c r="B177" s="37" t="s">
        <v>2133</v>
      </c>
      <c r="C177" s="22" t="s">
        <v>2293</v>
      </c>
      <c r="D177" s="1"/>
    </row>
    <row r="178">
      <c r="A178" s="37" t="s">
        <v>1281</v>
      </c>
      <c r="B178" s="37" t="s">
        <v>2133</v>
      </c>
      <c r="C178" s="22" t="s">
        <v>2294</v>
      </c>
      <c r="D178" s="1"/>
    </row>
    <row r="179">
      <c r="A179" s="37" t="s">
        <v>1889</v>
      </c>
      <c r="B179" s="37" t="s">
        <v>2100</v>
      </c>
      <c r="C179" s="22" t="s">
        <v>2295</v>
      </c>
      <c r="D179" s="1"/>
    </row>
    <row r="180">
      <c r="A180" s="37" t="s">
        <v>466</v>
      </c>
      <c r="B180" s="37" t="s">
        <v>2059</v>
      </c>
      <c r="C180" s="22" t="s">
        <v>2296</v>
      </c>
      <c r="D180" s="1"/>
    </row>
    <row r="181">
      <c r="A181" s="37" t="s">
        <v>559</v>
      </c>
      <c r="B181" s="37" t="s">
        <v>2297</v>
      </c>
      <c r="C181" s="22" t="s">
        <v>2298</v>
      </c>
      <c r="D181" s="1"/>
    </row>
    <row r="182">
      <c r="A182" s="37" t="s">
        <v>13</v>
      </c>
      <c r="B182" s="37" t="s">
        <v>2059</v>
      </c>
      <c r="C182" s="22" t="s">
        <v>2299</v>
      </c>
      <c r="D182" s="1"/>
    </row>
    <row r="183">
      <c r="A183" s="37" t="s">
        <v>13</v>
      </c>
      <c r="B183" s="37" t="s">
        <v>2100</v>
      </c>
      <c r="C183" s="22" t="s">
        <v>2300</v>
      </c>
      <c r="D183" s="1"/>
    </row>
    <row r="184">
      <c r="A184" s="37" t="s">
        <v>2273</v>
      </c>
      <c r="B184" s="37" t="s">
        <v>2301</v>
      </c>
      <c r="C184" s="22" t="s">
        <v>2302</v>
      </c>
      <c r="D184" s="1"/>
    </row>
    <row r="185">
      <c r="A185" s="37" t="s">
        <v>13</v>
      </c>
      <c r="B185" s="37" t="s">
        <v>2303</v>
      </c>
      <c r="C185" s="22" t="s">
        <v>2304</v>
      </c>
      <c r="D185" s="1"/>
    </row>
    <row r="186">
      <c r="A186" s="37" t="s">
        <v>13</v>
      </c>
      <c r="B186" s="37" t="s">
        <v>2059</v>
      </c>
      <c r="C186" s="22" t="s">
        <v>2305</v>
      </c>
      <c r="D186" s="1"/>
    </row>
    <row r="187">
      <c r="A187" s="37" t="s">
        <v>2306</v>
      </c>
      <c r="B187" s="37" t="s">
        <v>2109</v>
      </c>
      <c r="C187" s="1055" t="s">
        <v>2307</v>
      </c>
      <c r="D187" s="1"/>
    </row>
    <row r="188">
      <c r="A188" s="37" t="s">
        <v>2273</v>
      </c>
      <c r="B188" s="37" t="s">
        <v>2142</v>
      </c>
      <c r="C188" s="22" t="s">
        <v>2308</v>
      </c>
      <c r="D188" s="1"/>
    </row>
    <row r="189">
      <c r="A189" s="37" t="s">
        <v>280</v>
      </c>
      <c r="B189" s="37" t="s">
        <v>2100</v>
      </c>
      <c r="C189" s="22" t="s">
        <v>2309</v>
      </c>
      <c r="D189" s="1"/>
    </row>
    <row r="190">
      <c r="A190" s="37" t="s">
        <v>2287</v>
      </c>
      <c r="B190" s="37" t="s">
        <v>2310</v>
      </c>
      <c r="C190" s="22" t="s">
        <v>2311</v>
      </c>
      <c r="D190" s="1"/>
    </row>
    <row r="191">
      <c r="A191" s="37" t="s">
        <v>13</v>
      </c>
      <c r="B191" s="37" t="s">
        <v>2310</v>
      </c>
      <c r="C191" s="22" t="s">
        <v>2312</v>
      </c>
      <c r="D191" s="1"/>
    </row>
    <row r="192">
      <c r="A192" s="37" t="s">
        <v>49</v>
      </c>
      <c r="B192" s="37" t="s">
        <v>2226</v>
      </c>
      <c r="C192" s="22" t="s">
        <v>2313</v>
      </c>
      <c r="D192" s="1"/>
    </row>
    <row r="193">
      <c r="A193" s="37" t="s">
        <v>13</v>
      </c>
      <c r="B193" s="37" t="s">
        <v>2059</v>
      </c>
      <c r="C193" s="22" t="s">
        <v>2314</v>
      </c>
      <c r="D193" s="1"/>
    </row>
    <row r="194">
      <c r="A194" s="37" t="s">
        <v>1281</v>
      </c>
      <c r="B194" s="37" t="s">
        <v>2139</v>
      </c>
      <c r="C194" s="22" t="s">
        <v>2315</v>
      </c>
      <c r="D194" s="1"/>
    </row>
    <row r="195">
      <c r="A195" s="37" t="s">
        <v>1281</v>
      </c>
      <c r="B195" s="37" t="s">
        <v>2059</v>
      </c>
      <c r="C195" s="22" t="s">
        <v>2316</v>
      </c>
      <c r="D195" s="1"/>
    </row>
    <row r="196">
      <c r="A196" s="37" t="s">
        <v>2287</v>
      </c>
      <c r="B196" s="37" t="s">
        <v>2142</v>
      </c>
      <c r="C196" s="22" t="s">
        <v>2317</v>
      </c>
      <c r="D196" s="1"/>
    </row>
    <row r="197">
      <c r="A197" s="37" t="s">
        <v>2131</v>
      </c>
      <c r="B197" s="37" t="s">
        <v>2139</v>
      </c>
      <c r="C197" s="22" t="s">
        <v>2318</v>
      </c>
      <c r="D197" s="1"/>
    </row>
    <row r="198">
      <c r="A198" s="37" t="s">
        <v>2319</v>
      </c>
      <c r="B198" s="37" t="s">
        <v>2142</v>
      </c>
      <c r="C198" s="22" t="s">
        <v>2320</v>
      </c>
      <c r="D198" s="1"/>
    </row>
    <row r="199">
      <c r="A199" s="37" t="s">
        <v>2273</v>
      </c>
      <c r="B199" s="37" t="s">
        <v>2297</v>
      </c>
      <c r="C199" s="22" t="s">
        <v>2321</v>
      </c>
      <c r="D199" s="1"/>
    </row>
    <row r="200">
      <c r="A200" s="37" t="s">
        <v>145</v>
      </c>
      <c r="B200" s="37" t="s">
        <v>2142</v>
      </c>
      <c r="C200" s="22" t="s">
        <v>2322</v>
      </c>
      <c r="D200" s="1"/>
    </row>
    <row r="201">
      <c r="A201" s="37" t="s">
        <v>145</v>
      </c>
      <c r="B201" s="37" t="s">
        <v>652</v>
      </c>
      <c r="C201" s="22" t="s">
        <v>2323</v>
      </c>
      <c r="D201" s="1"/>
    </row>
    <row r="202">
      <c r="A202" s="37" t="s">
        <v>145</v>
      </c>
      <c r="B202" s="37" t="s">
        <v>2100</v>
      </c>
      <c r="C202" s="22" t="s">
        <v>2324</v>
      </c>
      <c r="D202" s="1"/>
    </row>
    <row r="203">
      <c r="A203" s="37" t="s">
        <v>13</v>
      </c>
      <c r="B203" s="37" t="s">
        <v>2120</v>
      </c>
      <c r="C203" s="22" t="s">
        <v>2325</v>
      </c>
      <c r="D203" s="1"/>
    </row>
    <row r="204">
      <c r="A204" s="37" t="s">
        <v>13</v>
      </c>
      <c r="B204" s="37" t="s">
        <v>2059</v>
      </c>
      <c r="C204" s="22" t="s">
        <v>2326</v>
      </c>
      <c r="D204" s="1"/>
    </row>
    <row r="205">
      <c r="A205" s="37" t="s">
        <v>13</v>
      </c>
      <c r="B205" s="37" t="s">
        <v>2059</v>
      </c>
      <c r="C205" s="22" t="s">
        <v>2327</v>
      </c>
      <c r="D205" s="1"/>
    </row>
    <row r="206">
      <c r="A206" s="37" t="s">
        <v>13</v>
      </c>
      <c r="B206" s="37" t="s">
        <v>2059</v>
      </c>
      <c r="C206" s="22" t="s">
        <v>2328</v>
      </c>
      <c r="D206" s="1"/>
    </row>
    <row r="207">
      <c r="A207" s="37" t="s">
        <v>13</v>
      </c>
      <c r="B207" s="37" t="s">
        <v>2059</v>
      </c>
      <c r="C207" s="22" t="s">
        <v>2329</v>
      </c>
      <c r="D207" s="1"/>
    </row>
    <row r="208">
      <c r="A208" s="37" t="s">
        <v>2287</v>
      </c>
      <c r="B208" s="37" t="s">
        <v>2142</v>
      </c>
      <c r="C208" s="22" t="s">
        <v>2330</v>
      </c>
      <c r="D208" s="1"/>
    </row>
    <row r="209">
      <c r="A209" s="37" t="s">
        <v>145</v>
      </c>
      <c r="B209" s="37" t="s">
        <v>2120</v>
      </c>
      <c r="C209" s="22" t="s">
        <v>2331</v>
      </c>
      <c r="D209" s="1"/>
    </row>
    <row r="210">
      <c r="A210" s="37" t="s">
        <v>2332</v>
      </c>
      <c r="B210" s="37" t="s">
        <v>2333</v>
      </c>
      <c r="C210" s="22" t="s">
        <v>2334</v>
      </c>
      <c r="D210" s="1"/>
    </row>
    <row r="211">
      <c r="A211" s="37" t="s">
        <v>2332</v>
      </c>
      <c r="B211" s="37" t="s">
        <v>2333</v>
      </c>
      <c r="C211" s="1057" t="s">
        <v>2335</v>
      </c>
      <c r="D211" s="1"/>
    </row>
    <row r="212">
      <c r="A212" s="37" t="s">
        <v>2336</v>
      </c>
      <c r="B212" s="37" t="s">
        <v>2333</v>
      </c>
      <c r="C212" s="1058" t="s">
        <v>2337</v>
      </c>
      <c r="D212" s="1"/>
    </row>
    <row r="213">
      <c r="A213" s="37" t="s">
        <v>13</v>
      </c>
      <c r="B213" s="37" t="s">
        <v>2301</v>
      </c>
      <c r="C213" s="1059" t="s">
        <v>2338</v>
      </c>
      <c r="D213" s="1"/>
    </row>
    <row r="214">
      <c r="A214" s="37" t="s">
        <v>13</v>
      </c>
      <c r="B214" s="37" t="s">
        <v>2301</v>
      </c>
      <c r="C214" s="1059" t="s">
        <v>2339</v>
      </c>
      <c r="D214" s="1"/>
    </row>
    <row r="215">
      <c r="A215" s="37" t="s">
        <v>2273</v>
      </c>
      <c r="B215" s="37" t="s">
        <v>2301</v>
      </c>
      <c r="C215" s="22" t="s">
        <v>2340</v>
      </c>
      <c r="D215" s="1"/>
    </row>
    <row r="216">
      <c r="A216" s="37" t="s">
        <v>145</v>
      </c>
      <c r="B216" s="37" t="s">
        <v>2120</v>
      </c>
      <c r="C216" s="22" t="s">
        <v>2341</v>
      </c>
      <c r="D216" s="1"/>
    </row>
    <row r="217">
      <c r="A217" s="37" t="s">
        <v>145</v>
      </c>
      <c r="B217" s="37" t="s">
        <v>2120</v>
      </c>
      <c r="C217" s="22" t="s">
        <v>2342</v>
      </c>
      <c r="D217" s="1"/>
    </row>
    <row r="218">
      <c r="A218" s="37" t="s">
        <v>145</v>
      </c>
      <c r="B218" s="37" t="s">
        <v>2120</v>
      </c>
      <c r="C218" s="22" t="s">
        <v>2343</v>
      </c>
      <c r="D218" s="1"/>
    </row>
    <row r="219">
      <c r="A219" s="37" t="s">
        <v>145</v>
      </c>
      <c r="B219" s="37" t="s">
        <v>2120</v>
      </c>
      <c r="C219" s="22" t="s">
        <v>2344</v>
      </c>
      <c r="D219" s="1"/>
    </row>
    <row r="220">
      <c r="A220" s="37" t="s">
        <v>145</v>
      </c>
      <c r="B220" s="37" t="s">
        <v>2120</v>
      </c>
      <c r="C220" s="22" t="s">
        <v>2345</v>
      </c>
      <c r="D220" s="1"/>
    </row>
    <row r="221">
      <c r="A221" s="37" t="s">
        <v>145</v>
      </c>
      <c r="B221" s="37" t="s">
        <v>2346</v>
      </c>
      <c r="C221" s="22" t="s">
        <v>2347</v>
      </c>
      <c r="D221" s="1"/>
    </row>
    <row r="222">
      <c r="A222" s="37" t="s">
        <v>2273</v>
      </c>
      <c r="B222" s="37" t="s">
        <v>2346</v>
      </c>
      <c r="C222" s="22" t="s">
        <v>2348</v>
      </c>
      <c r="D222" s="1"/>
    </row>
    <row r="223">
      <c r="A223" s="37" t="s">
        <v>2319</v>
      </c>
      <c r="B223" s="37" t="s">
        <v>2346</v>
      </c>
      <c r="C223" s="22" t="s">
        <v>2349</v>
      </c>
      <c r="D223" s="1"/>
    </row>
    <row r="224">
      <c r="A224" s="37" t="s">
        <v>13</v>
      </c>
      <c r="B224" s="37" t="s">
        <v>2346</v>
      </c>
      <c r="C224" s="22" t="s">
        <v>2350</v>
      </c>
      <c r="D224" s="1"/>
    </row>
    <row r="225">
      <c r="A225" s="37" t="s">
        <v>602</v>
      </c>
      <c r="B225" s="37" t="s">
        <v>2346</v>
      </c>
      <c r="C225" s="22" t="s">
        <v>2351</v>
      </c>
      <c r="D225" s="1"/>
    </row>
    <row r="226">
      <c r="A226" s="37" t="s">
        <v>13</v>
      </c>
      <c r="B226" s="37" t="s">
        <v>2133</v>
      </c>
      <c r="C226" s="22" t="s">
        <v>2352</v>
      </c>
      <c r="D226" s="1"/>
    </row>
    <row r="227">
      <c r="A227" s="37" t="s">
        <v>13</v>
      </c>
      <c r="B227" s="37" t="s">
        <v>2133</v>
      </c>
      <c r="C227" s="22" t="s">
        <v>2353</v>
      </c>
      <c r="D227" s="1"/>
    </row>
    <row r="228">
      <c r="A228" s="37" t="s">
        <v>13</v>
      </c>
      <c r="B228" s="37" t="s">
        <v>2257</v>
      </c>
      <c r="C228" s="22" t="s">
        <v>2354</v>
      </c>
      <c r="D228" s="1"/>
    </row>
    <row r="229">
      <c r="A229" s="37" t="s">
        <v>2273</v>
      </c>
      <c r="B229" s="37" t="s">
        <v>2257</v>
      </c>
      <c r="C229" s="22" t="s">
        <v>2355</v>
      </c>
      <c r="D229" s="1"/>
    </row>
    <row r="230">
      <c r="A230" s="37" t="s">
        <v>602</v>
      </c>
      <c r="B230" s="37" t="s">
        <v>2257</v>
      </c>
      <c r="C230" s="22" t="s">
        <v>2356</v>
      </c>
      <c r="D230" s="1"/>
    </row>
    <row r="231">
      <c r="A231" s="37" t="s">
        <v>2273</v>
      </c>
      <c r="B231" s="37" t="s">
        <v>2357</v>
      </c>
      <c r="C231" s="22" t="s">
        <v>2358</v>
      </c>
      <c r="D231" s="1"/>
    </row>
    <row r="232">
      <c r="A232" s="37" t="s">
        <v>13</v>
      </c>
      <c r="B232" s="37" t="s">
        <v>2226</v>
      </c>
      <c r="C232" s="22" t="s">
        <v>2359</v>
      </c>
      <c r="D232" s="1"/>
    </row>
    <row r="233">
      <c r="A233" s="37" t="s">
        <v>2360</v>
      </c>
      <c r="B233" s="37" t="s">
        <v>2226</v>
      </c>
      <c r="C233" s="22" t="s">
        <v>2361</v>
      </c>
      <c r="D233" s="1"/>
    </row>
    <row r="234">
      <c r="A234" s="37" t="s">
        <v>2362</v>
      </c>
      <c r="B234" s="37" t="s">
        <v>2100</v>
      </c>
      <c r="C234" s="22" t="s">
        <v>2363</v>
      </c>
      <c r="D234" s="1"/>
    </row>
    <row r="235">
      <c r="A235" s="37" t="s">
        <v>796</v>
      </c>
      <c r="B235" s="37" t="s">
        <v>2100</v>
      </c>
      <c r="C235" s="22" t="s">
        <v>2364</v>
      </c>
      <c r="D235" s="1"/>
    </row>
    <row r="236">
      <c r="C236" s="1"/>
      <c r="D236" s="1"/>
    </row>
    <row r="237">
      <c r="A237" s="37" t="s">
        <v>2365</v>
      </c>
      <c r="B237" s="37" t="s">
        <v>2366</v>
      </c>
      <c r="C237" s="22" t="s">
        <v>2367</v>
      </c>
      <c r="D237" s="1"/>
    </row>
    <row r="238">
      <c r="A238" s="37" t="s">
        <v>2365</v>
      </c>
      <c r="B238" s="37" t="s">
        <v>2366</v>
      </c>
      <c r="C238" s="22" t="s">
        <v>2368</v>
      </c>
      <c r="D238" s="1"/>
    </row>
    <row r="239">
      <c r="A239" s="37" t="s">
        <v>2365</v>
      </c>
      <c r="B239" s="37" t="s">
        <v>2366</v>
      </c>
      <c r="C239" s="22" t="s">
        <v>2369</v>
      </c>
      <c r="D239" s="1"/>
    </row>
    <row r="240">
      <c r="A240" s="37" t="s">
        <v>13</v>
      </c>
      <c r="B240" s="37" t="s">
        <v>2370</v>
      </c>
      <c r="C240" s="22" t="s">
        <v>2371</v>
      </c>
      <c r="D240" s="1"/>
    </row>
    <row r="241">
      <c r="A241" s="37" t="s">
        <v>2372</v>
      </c>
      <c r="B241" s="37" t="s">
        <v>2373</v>
      </c>
      <c r="C241" s="1060" t="s">
        <v>2374</v>
      </c>
      <c r="D241" s="1061"/>
    </row>
    <row r="242">
      <c r="A242" s="37" t="s">
        <v>123</v>
      </c>
      <c r="B242" s="37" t="s">
        <v>2373</v>
      </c>
      <c r="C242" s="22" t="s">
        <v>2375</v>
      </c>
      <c r="D242" s="1"/>
    </row>
    <row r="243">
      <c r="A243" s="37" t="s">
        <v>2376</v>
      </c>
      <c r="B243" s="37" t="s">
        <v>2377</v>
      </c>
      <c r="C243" s="22" t="s">
        <v>2378</v>
      </c>
      <c r="D243" s="1"/>
    </row>
    <row r="244">
      <c r="A244" s="37" t="s">
        <v>2379</v>
      </c>
      <c r="B244" s="37" t="s">
        <v>2377</v>
      </c>
      <c r="C244" s="22" t="s">
        <v>2380</v>
      </c>
      <c r="D244" s="1"/>
    </row>
    <row r="245">
      <c r="A245" s="37" t="s">
        <v>2381</v>
      </c>
      <c r="B245" s="37" t="s">
        <v>2377</v>
      </c>
      <c r="C245" s="22" t="s">
        <v>2382</v>
      </c>
      <c r="D245" s="1"/>
    </row>
    <row r="246">
      <c r="A246" s="37" t="s">
        <v>2376</v>
      </c>
      <c r="B246" s="37" t="s">
        <v>2377</v>
      </c>
      <c r="C246" s="22" t="s">
        <v>2383</v>
      </c>
      <c r="D246" s="1"/>
    </row>
    <row r="247">
      <c r="A247" s="37" t="s">
        <v>559</v>
      </c>
      <c r="B247" s="37" t="s">
        <v>2297</v>
      </c>
      <c r="C247" s="22" t="s">
        <v>2384</v>
      </c>
      <c r="D247" s="1"/>
    </row>
    <row r="248">
      <c r="A248" s="37" t="s">
        <v>559</v>
      </c>
      <c r="B248" s="37" t="s">
        <v>2297</v>
      </c>
      <c r="C248" s="22" t="s">
        <v>2385</v>
      </c>
      <c r="D248" s="1"/>
    </row>
    <row r="249">
      <c r="A249" s="37" t="s">
        <v>559</v>
      </c>
      <c r="B249" s="37" t="s">
        <v>2297</v>
      </c>
      <c r="C249" s="22" t="s">
        <v>2386</v>
      </c>
      <c r="D249" s="1"/>
    </row>
    <row r="250">
      <c r="A250" s="37" t="s">
        <v>559</v>
      </c>
      <c r="B250" s="37" t="s">
        <v>2297</v>
      </c>
      <c r="C250" s="22" t="s">
        <v>2387</v>
      </c>
      <c r="D250" s="1"/>
    </row>
    <row r="251">
      <c r="A251" s="37" t="s">
        <v>1057</v>
      </c>
      <c r="B251" s="37" t="s">
        <v>2297</v>
      </c>
      <c r="C251" s="22" t="s">
        <v>2388</v>
      </c>
      <c r="D251" s="1"/>
    </row>
    <row r="252">
      <c r="A252" s="37" t="s">
        <v>1057</v>
      </c>
      <c r="B252" s="37" t="s">
        <v>2297</v>
      </c>
      <c r="C252" s="22" t="s">
        <v>2389</v>
      </c>
      <c r="D252" s="1"/>
    </row>
    <row r="253">
      <c r="A253" s="37" t="s">
        <v>2390</v>
      </c>
      <c r="B253" s="37" t="s">
        <v>2297</v>
      </c>
      <c r="C253" s="22" t="s">
        <v>2391</v>
      </c>
      <c r="D253" s="1"/>
    </row>
    <row r="254">
      <c r="A254" s="37" t="s">
        <v>2390</v>
      </c>
      <c r="B254" s="37" t="s">
        <v>2297</v>
      </c>
      <c r="C254" s="22" t="s">
        <v>2392</v>
      </c>
      <c r="D254" s="1"/>
    </row>
    <row r="255">
      <c r="A255" s="37" t="s">
        <v>2390</v>
      </c>
      <c r="B255" s="37" t="s">
        <v>2297</v>
      </c>
      <c r="C255" s="22" t="s">
        <v>2393</v>
      </c>
      <c r="D255" s="1"/>
    </row>
    <row r="256">
      <c r="A256" s="37" t="s">
        <v>442</v>
      </c>
      <c r="B256" s="37" t="s">
        <v>2109</v>
      </c>
      <c r="C256" s="22" t="s">
        <v>2394</v>
      </c>
      <c r="D256" s="1"/>
    </row>
    <row r="257">
      <c r="A257" s="37" t="s">
        <v>13</v>
      </c>
      <c r="B257" s="37" t="s">
        <v>2109</v>
      </c>
      <c r="C257" s="22" t="s">
        <v>2395</v>
      </c>
      <c r="D257" s="1"/>
    </row>
    <row r="258">
      <c r="A258" s="37" t="s">
        <v>530</v>
      </c>
      <c r="B258" s="37" t="s">
        <v>2396</v>
      </c>
      <c r="C258" s="1062" t="s">
        <v>2397</v>
      </c>
      <c r="D258" s="1"/>
    </row>
    <row r="259">
      <c r="A259" s="37" t="s">
        <v>559</v>
      </c>
      <c r="B259" s="37" t="s">
        <v>2398</v>
      </c>
      <c r="C259" s="22" t="s">
        <v>2399</v>
      </c>
      <c r="D259" s="1"/>
    </row>
    <row r="260">
      <c r="A260" s="37" t="s">
        <v>13</v>
      </c>
      <c r="B260" s="37" t="s">
        <v>2104</v>
      </c>
      <c r="C260" s="22" t="s">
        <v>2400</v>
      </c>
      <c r="D260" s="1"/>
    </row>
    <row r="261">
      <c r="A261" s="37" t="s">
        <v>2401</v>
      </c>
      <c r="B261" s="37" t="s">
        <v>2396</v>
      </c>
      <c r="C261" s="1062" t="s">
        <v>2402</v>
      </c>
      <c r="D261" s="1"/>
    </row>
    <row r="262">
      <c r="A262" s="37" t="s">
        <v>2403</v>
      </c>
      <c r="B262" s="37" t="s">
        <v>2398</v>
      </c>
      <c r="C262" s="22" t="s">
        <v>2404</v>
      </c>
      <c r="D262" s="1"/>
    </row>
    <row r="263">
      <c r="A263" s="37" t="s">
        <v>1281</v>
      </c>
      <c r="B263" s="37" t="s">
        <v>2139</v>
      </c>
      <c r="C263" s="22" t="s">
        <v>2405</v>
      </c>
      <c r="D263" s="1"/>
    </row>
    <row r="264">
      <c r="A264" s="37" t="s">
        <v>559</v>
      </c>
      <c r="B264" s="37" t="s">
        <v>2398</v>
      </c>
      <c r="C264" s="22" t="s">
        <v>2406</v>
      </c>
      <c r="D264" s="1"/>
    </row>
    <row r="265">
      <c r="A265" s="37" t="s">
        <v>2040</v>
      </c>
      <c r="B265" s="37" t="s">
        <v>2104</v>
      </c>
      <c r="C265" s="22" t="s">
        <v>2407</v>
      </c>
      <c r="D265" s="1"/>
    </row>
    <row r="266">
      <c r="A266" s="37" t="s">
        <v>530</v>
      </c>
      <c r="B266" s="37" t="s">
        <v>2396</v>
      </c>
      <c r="C266" s="1062" t="s">
        <v>2408</v>
      </c>
      <c r="D266" s="1"/>
    </row>
    <row r="267">
      <c r="A267" s="37" t="s">
        <v>2409</v>
      </c>
      <c r="B267" s="37" t="s">
        <v>2104</v>
      </c>
      <c r="C267" s="22" t="s">
        <v>2410</v>
      </c>
      <c r="D267" s="1"/>
    </row>
    <row r="268">
      <c r="A268" s="37" t="s">
        <v>1281</v>
      </c>
      <c r="B268" s="37" t="s">
        <v>2139</v>
      </c>
      <c r="C268" s="22" t="s">
        <v>2411</v>
      </c>
      <c r="D268" s="1"/>
    </row>
    <row r="269">
      <c r="A269" s="37" t="s">
        <v>2030</v>
      </c>
      <c r="B269" s="37" t="s">
        <v>2139</v>
      </c>
      <c r="C269" s="22" t="s">
        <v>2412</v>
      </c>
      <c r="D269" s="1"/>
    </row>
    <row r="270">
      <c r="A270" s="37" t="s">
        <v>2030</v>
      </c>
      <c r="B270" s="37" t="s">
        <v>2139</v>
      </c>
      <c r="C270" s="22" t="s">
        <v>2413</v>
      </c>
      <c r="D270" s="1"/>
    </row>
    <row r="271">
      <c r="A271" s="37" t="s">
        <v>466</v>
      </c>
      <c r="B271" s="37" t="s">
        <v>2059</v>
      </c>
      <c r="C271" s="22" t="s">
        <v>2414</v>
      </c>
      <c r="D271" s="1"/>
    </row>
    <row r="272">
      <c r="A272" s="37" t="s">
        <v>2415</v>
      </c>
      <c r="B272" s="37" t="s">
        <v>2301</v>
      </c>
      <c r="C272" s="22" t="s">
        <v>2416</v>
      </c>
      <c r="D272" s="1"/>
    </row>
    <row r="273">
      <c r="A273" s="37" t="s">
        <v>13</v>
      </c>
      <c r="B273" s="37" t="s">
        <v>2417</v>
      </c>
      <c r="C273" s="22" t="s">
        <v>2418</v>
      </c>
      <c r="D273" s="1"/>
    </row>
    <row r="274">
      <c r="A274" s="37" t="s">
        <v>13</v>
      </c>
      <c r="B274" s="37" t="s">
        <v>2417</v>
      </c>
      <c r="C274" s="22" t="s">
        <v>2419</v>
      </c>
      <c r="D274" s="1"/>
    </row>
    <row r="275">
      <c r="A275" s="37" t="s">
        <v>2365</v>
      </c>
      <c r="B275" s="37" t="s">
        <v>2366</v>
      </c>
      <c r="C275" s="22" t="s">
        <v>2420</v>
      </c>
      <c r="D275" s="1"/>
    </row>
    <row r="276">
      <c r="A276" s="37" t="s">
        <v>2421</v>
      </c>
      <c r="B276" s="37" t="s">
        <v>2257</v>
      </c>
      <c r="C276" s="22" t="s">
        <v>2422</v>
      </c>
      <c r="D276" s="1"/>
    </row>
    <row r="277">
      <c r="A277" s="37" t="s">
        <v>2421</v>
      </c>
      <c r="B277" s="37" t="s">
        <v>2257</v>
      </c>
      <c r="C277" s="22" t="s">
        <v>2423</v>
      </c>
      <c r="D277" s="1"/>
    </row>
    <row r="278">
      <c r="A278" s="37" t="s">
        <v>1281</v>
      </c>
      <c r="B278" s="37" t="s">
        <v>2346</v>
      </c>
      <c r="C278" s="22" t="s">
        <v>2424</v>
      </c>
      <c r="D278" s="1"/>
    </row>
    <row r="279">
      <c r="A279" s="37" t="s">
        <v>192</v>
      </c>
      <c r="B279" s="37" t="s">
        <v>2059</v>
      </c>
      <c r="C279" s="22" t="s">
        <v>2425</v>
      </c>
      <c r="D279" s="1"/>
    </row>
    <row r="280">
      <c r="A280" s="37" t="s">
        <v>145</v>
      </c>
      <c r="B280" s="37" t="s">
        <v>2426</v>
      </c>
      <c r="C280" s="22" t="s">
        <v>2427</v>
      </c>
      <c r="D280" s="1"/>
    </row>
    <row r="281">
      <c r="A281" s="37" t="s">
        <v>145</v>
      </c>
      <c r="B281" s="37" t="s">
        <v>2426</v>
      </c>
      <c r="C281" s="22" t="s">
        <v>2428</v>
      </c>
      <c r="D281" s="1"/>
    </row>
    <row r="282">
      <c r="A282" s="37" t="s">
        <v>145</v>
      </c>
      <c r="B282" s="37" t="s">
        <v>2059</v>
      </c>
      <c r="C282" s="22" t="s">
        <v>2429</v>
      </c>
      <c r="D282" s="1"/>
    </row>
    <row r="283">
      <c r="A283" s="37" t="s">
        <v>145</v>
      </c>
      <c r="B283" s="37" t="s">
        <v>2059</v>
      </c>
      <c r="C283" s="22" t="s">
        <v>2430</v>
      </c>
      <c r="D283" s="1"/>
    </row>
    <row r="284">
      <c r="A284" s="37" t="s">
        <v>2431</v>
      </c>
      <c r="B284" s="37" t="s">
        <v>2432</v>
      </c>
      <c r="C284" s="1063" t="s">
        <v>2433</v>
      </c>
      <c r="D284" s="1"/>
    </row>
    <row r="285">
      <c r="A285" s="37" t="s">
        <v>2434</v>
      </c>
      <c r="B285" s="37" t="s">
        <v>2435</v>
      </c>
      <c r="C285" s="22" t="s">
        <v>2436</v>
      </c>
      <c r="D285" s="1"/>
    </row>
    <row r="286">
      <c r="A286" s="37" t="s">
        <v>1889</v>
      </c>
      <c r="B286" s="37" t="s">
        <v>2059</v>
      </c>
      <c r="C286" s="22" t="s">
        <v>2437</v>
      </c>
      <c r="D286" s="1"/>
    </row>
    <row r="287">
      <c r="A287" s="37" t="s">
        <v>1420</v>
      </c>
      <c r="B287" s="37" t="s">
        <v>2195</v>
      </c>
      <c r="C287" s="22" t="s">
        <v>2438</v>
      </c>
      <c r="D287" s="1"/>
    </row>
    <row r="288">
      <c r="A288" s="37" t="s">
        <v>2439</v>
      </c>
      <c r="B288" s="37" t="s">
        <v>2195</v>
      </c>
      <c r="C288" s="22" t="s">
        <v>2440</v>
      </c>
      <c r="D288" s="1"/>
    </row>
    <row r="289">
      <c r="A289" s="37" t="s">
        <v>2441</v>
      </c>
      <c r="B289" s="37" t="s">
        <v>2195</v>
      </c>
      <c r="C289" s="22" t="s">
        <v>2442</v>
      </c>
      <c r="D289" s="1"/>
    </row>
    <row r="290">
      <c r="A290" s="37" t="s">
        <v>2441</v>
      </c>
      <c r="B290" s="37" t="s">
        <v>2195</v>
      </c>
      <c r="C290" s="22" t="s">
        <v>2443</v>
      </c>
      <c r="D290" s="1"/>
    </row>
    <row r="291">
      <c r="A291" s="37" t="s">
        <v>2444</v>
      </c>
      <c r="B291" s="37" t="s">
        <v>2445</v>
      </c>
      <c r="C291" s="22" t="s">
        <v>2446</v>
      </c>
      <c r="D291" s="1"/>
    </row>
    <row r="292">
      <c r="A292" s="37" t="s">
        <v>2447</v>
      </c>
      <c r="B292" s="37" t="s">
        <v>2195</v>
      </c>
      <c r="C292" s="22" t="s">
        <v>2448</v>
      </c>
      <c r="D292" s="1"/>
    </row>
    <row r="293">
      <c r="A293" s="37" t="s">
        <v>2449</v>
      </c>
      <c r="B293" s="37" t="s">
        <v>2226</v>
      </c>
      <c r="C293" s="22" t="s">
        <v>2450</v>
      </c>
      <c r="D293" s="1"/>
    </row>
    <row r="294">
      <c r="A294" s="37" t="s">
        <v>2451</v>
      </c>
      <c r="B294" s="37" t="s">
        <v>2226</v>
      </c>
      <c r="C294" s="22" t="s">
        <v>2452</v>
      </c>
      <c r="D294" s="1"/>
    </row>
    <row r="295">
      <c r="A295" s="37" t="s">
        <v>2336</v>
      </c>
      <c r="B295" s="37" t="s">
        <v>2226</v>
      </c>
      <c r="C295" s="22" t="s">
        <v>2453</v>
      </c>
      <c r="D295" s="1"/>
    </row>
    <row r="296">
      <c r="A296" s="37" t="s">
        <v>2454</v>
      </c>
      <c r="B296" s="37" t="s">
        <v>2059</v>
      </c>
      <c r="C296" s="22" t="s">
        <v>2455</v>
      </c>
      <c r="D296" s="1"/>
    </row>
    <row r="297">
      <c r="A297" s="37" t="s">
        <v>2456</v>
      </c>
      <c r="B297" s="37" t="s">
        <v>2059</v>
      </c>
      <c r="C297" s="22" t="s">
        <v>2457</v>
      </c>
      <c r="D297" s="1"/>
    </row>
    <row r="298">
      <c r="A298" s="37" t="s">
        <v>2458</v>
      </c>
      <c r="B298" s="37" t="s">
        <v>2059</v>
      </c>
      <c r="C298" s="22" t="s">
        <v>2459</v>
      </c>
      <c r="D298" s="1"/>
    </row>
    <row r="299">
      <c r="A299" s="37" t="s">
        <v>2441</v>
      </c>
      <c r="B299" s="37" t="s">
        <v>2059</v>
      </c>
      <c r="C299" s="22" t="s">
        <v>2460</v>
      </c>
      <c r="D299" s="1"/>
    </row>
    <row r="300">
      <c r="A300" s="37" t="s">
        <v>2461</v>
      </c>
      <c r="B300" s="37" t="s">
        <v>2195</v>
      </c>
      <c r="C300" s="22" t="s">
        <v>2462</v>
      </c>
      <c r="D300" s="1"/>
    </row>
    <row r="301">
      <c r="A301" s="37" t="s">
        <v>2463</v>
      </c>
      <c r="B301" s="37" t="s">
        <v>2059</v>
      </c>
      <c r="C301" s="22" t="s">
        <v>2464</v>
      </c>
      <c r="D301" s="1"/>
    </row>
    <row r="302">
      <c r="A302" s="37" t="s">
        <v>2465</v>
      </c>
      <c r="B302" s="37" t="s">
        <v>2059</v>
      </c>
      <c r="C302" s="22" t="s">
        <v>2466</v>
      </c>
      <c r="D302" s="1"/>
    </row>
    <row r="303">
      <c r="A303" s="37" t="s">
        <v>2441</v>
      </c>
      <c r="B303" s="37" t="s">
        <v>2059</v>
      </c>
      <c r="C303" s="22" t="s">
        <v>2467</v>
      </c>
      <c r="D303" s="1"/>
    </row>
    <row r="304">
      <c r="A304" s="37" t="s">
        <v>2468</v>
      </c>
      <c r="B304" s="37" t="s">
        <v>2059</v>
      </c>
      <c r="C304" s="22" t="s">
        <v>2469</v>
      </c>
      <c r="D304" s="1"/>
    </row>
    <row r="305">
      <c r="A305" s="37" t="s">
        <v>2470</v>
      </c>
      <c r="B305" s="37" t="s">
        <v>2059</v>
      </c>
      <c r="C305" s="22" t="s">
        <v>2471</v>
      </c>
      <c r="D305" s="1"/>
    </row>
    <row r="306">
      <c r="A306" s="37" t="s">
        <v>2472</v>
      </c>
      <c r="B306" s="37" t="s">
        <v>2059</v>
      </c>
      <c r="C306" s="22" t="s">
        <v>2473</v>
      </c>
      <c r="D306" s="1"/>
    </row>
    <row r="307">
      <c r="A307" s="37" t="s">
        <v>2474</v>
      </c>
      <c r="B307" s="37" t="s">
        <v>2059</v>
      </c>
      <c r="C307" s="22" t="s">
        <v>2475</v>
      </c>
      <c r="D307" s="1"/>
    </row>
    <row r="308">
      <c r="A308" s="37" t="s">
        <v>2476</v>
      </c>
      <c r="B308" s="37" t="s">
        <v>2059</v>
      </c>
      <c r="C308" s="22" t="s">
        <v>2477</v>
      </c>
      <c r="D308" s="1"/>
    </row>
    <row r="309">
      <c r="A309" s="37" t="s">
        <v>2441</v>
      </c>
      <c r="B309" s="37" t="s">
        <v>2059</v>
      </c>
      <c r="C309" s="22" t="s">
        <v>2478</v>
      </c>
      <c r="D309" s="1"/>
    </row>
    <row r="310">
      <c r="A310" s="37" t="s">
        <v>2479</v>
      </c>
      <c r="B310" s="37" t="s">
        <v>2059</v>
      </c>
      <c r="C310" s="22" t="s">
        <v>2480</v>
      </c>
      <c r="D310" s="1"/>
    </row>
    <row r="311">
      <c r="A311" s="37" t="s">
        <v>2481</v>
      </c>
      <c r="B311" s="37" t="s">
        <v>2059</v>
      </c>
      <c r="C311" s="22" t="s">
        <v>2482</v>
      </c>
      <c r="D311" s="1"/>
    </row>
    <row r="312">
      <c r="A312" s="37" t="s">
        <v>2483</v>
      </c>
      <c r="B312" s="37" t="s">
        <v>2059</v>
      </c>
      <c r="C312" s="1"/>
      <c r="D312" s="1"/>
    </row>
    <row r="313">
      <c r="A313" s="37" t="s">
        <v>2484</v>
      </c>
      <c r="B313" s="37" t="s">
        <v>2059</v>
      </c>
      <c r="C313" s="22" t="s">
        <v>2485</v>
      </c>
      <c r="D313" s="1"/>
    </row>
    <row r="314">
      <c r="A314" s="37" t="s">
        <v>2486</v>
      </c>
      <c r="B314" s="37" t="s">
        <v>2059</v>
      </c>
      <c r="C314" s="22" t="s">
        <v>2487</v>
      </c>
      <c r="D314" s="1"/>
    </row>
    <row r="315">
      <c r="A315" s="37" t="s">
        <v>2488</v>
      </c>
      <c r="B315" s="37" t="s">
        <v>2489</v>
      </c>
      <c r="C315" s="22" t="s">
        <v>2490</v>
      </c>
      <c r="D315" s="1"/>
    </row>
    <row r="316">
      <c r="A316" s="37" t="s">
        <v>2491</v>
      </c>
      <c r="B316" s="37" t="s">
        <v>2195</v>
      </c>
      <c r="C316" s="22" t="s">
        <v>2492</v>
      </c>
      <c r="D316" s="1"/>
    </row>
    <row r="317">
      <c r="A317" s="37" t="s">
        <v>2493</v>
      </c>
      <c r="B317" s="37" t="s">
        <v>2195</v>
      </c>
      <c r="C317" s="22" t="s">
        <v>2494</v>
      </c>
      <c r="D317" s="1"/>
    </row>
    <row r="318">
      <c r="A318" s="37" t="s">
        <v>2495</v>
      </c>
      <c r="B318" s="37" t="s">
        <v>2226</v>
      </c>
      <c r="C318" s="22" t="s">
        <v>2496</v>
      </c>
      <c r="D318" s="1"/>
    </row>
    <row r="319">
      <c r="A319" s="37" t="s">
        <v>2497</v>
      </c>
      <c r="B319" s="37" t="s">
        <v>2377</v>
      </c>
      <c r="C319" s="22" t="s">
        <v>2498</v>
      </c>
      <c r="D319" s="1"/>
    </row>
    <row r="320">
      <c r="A320" s="37" t="s">
        <v>13</v>
      </c>
      <c r="B320" s="37" t="s">
        <v>2377</v>
      </c>
      <c r="C320" s="22" t="s">
        <v>2499</v>
      </c>
      <c r="D320" s="1"/>
    </row>
    <row r="321">
      <c r="A321" s="37" t="s">
        <v>2500</v>
      </c>
      <c r="B321" s="37" t="s">
        <v>2377</v>
      </c>
      <c r="C321" s="22" t="s">
        <v>2501</v>
      </c>
      <c r="D321" s="1"/>
    </row>
    <row r="322">
      <c r="A322" s="37" t="s">
        <v>2500</v>
      </c>
      <c r="B322" s="37" t="s">
        <v>2377</v>
      </c>
      <c r="C322" s="22" t="s">
        <v>2502</v>
      </c>
      <c r="D322" s="1"/>
    </row>
    <row r="323">
      <c r="A323" s="37" t="s">
        <v>2500</v>
      </c>
      <c r="B323" s="37" t="s">
        <v>2377</v>
      </c>
      <c r="C323" s="22" t="s">
        <v>2503</v>
      </c>
      <c r="D323" s="1"/>
    </row>
    <row r="324">
      <c r="A324" s="37" t="s">
        <v>2500</v>
      </c>
      <c r="B324" s="37" t="s">
        <v>2377</v>
      </c>
      <c r="C324" s="22" t="s">
        <v>2504</v>
      </c>
      <c r="D324" s="1"/>
    </row>
    <row r="325">
      <c r="A325" s="37" t="s">
        <v>2500</v>
      </c>
      <c r="B325" s="37" t="s">
        <v>2377</v>
      </c>
      <c r="C325" s="22" t="s">
        <v>2505</v>
      </c>
      <c r="D325" s="1"/>
    </row>
    <row r="326">
      <c r="A326" s="37" t="s">
        <v>2506</v>
      </c>
      <c r="B326" s="37" t="s">
        <v>2377</v>
      </c>
      <c r="C326" s="22" t="s">
        <v>2507</v>
      </c>
      <c r="D326" s="1"/>
    </row>
    <row r="327">
      <c r="B327" s="37" t="s">
        <v>2252</v>
      </c>
      <c r="C327" s="22" t="s">
        <v>2508</v>
      </c>
      <c r="D327" s="1"/>
    </row>
    <row r="328">
      <c r="A328" s="37" t="s">
        <v>2509</v>
      </c>
      <c r="B328" s="37" t="s">
        <v>2252</v>
      </c>
      <c r="C328" s="22" t="s">
        <v>2510</v>
      </c>
      <c r="D328" s="22"/>
    </row>
    <row r="329">
      <c r="A329" s="37" t="s">
        <v>2509</v>
      </c>
      <c r="B329" s="37" t="s">
        <v>2252</v>
      </c>
      <c r="C329" s="22" t="s">
        <v>2511</v>
      </c>
      <c r="D329" s="1"/>
    </row>
    <row r="330">
      <c r="A330" s="37" t="s">
        <v>129</v>
      </c>
      <c r="B330" s="37" t="s">
        <v>2252</v>
      </c>
      <c r="C330" s="22" t="s">
        <v>2512</v>
      </c>
      <c r="D330" s="1"/>
    </row>
    <row r="331">
      <c r="A331" s="37" t="s">
        <v>2513</v>
      </c>
      <c r="B331" s="37" t="s">
        <v>2252</v>
      </c>
      <c r="C331" s="22" t="s">
        <v>2514</v>
      </c>
      <c r="D331" s="1"/>
    </row>
    <row r="332">
      <c r="A332" s="37" t="s">
        <v>2515</v>
      </c>
      <c r="B332" s="37" t="s">
        <v>2252</v>
      </c>
      <c r="C332" s="22" t="s">
        <v>2516</v>
      </c>
      <c r="D332" s="1"/>
    </row>
    <row r="333">
      <c r="A333" s="37" t="s">
        <v>2517</v>
      </c>
      <c r="B333" s="37" t="s">
        <v>2301</v>
      </c>
      <c r="C333" s="22" t="s">
        <v>2518</v>
      </c>
      <c r="D333" s="1"/>
    </row>
    <row r="334">
      <c r="A334" s="37" t="s">
        <v>2519</v>
      </c>
      <c r="B334" s="37" t="s">
        <v>2366</v>
      </c>
      <c r="C334" s="22" t="s">
        <v>2520</v>
      </c>
      <c r="D334" s="1"/>
    </row>
    <row r="335">
      <c r="A335" s="37" t="s">
        <v>2519</v>
      </c>
      <c r="B335" s="37" t="s">
        <v>2366</v>
      </c>
      <c r="C335" s="22" t="s">
        <v>2521</v>
      </c>
      <c r="D335" s="1"/>
    </row>
    <row r="336">
      <c r="A336" s="37" t="s">
        <v>2519</v>
      </c>
      <c r="B336" s="37" t="s">
        <v>2366</v>
      </c>
      <c r="C336" s="22" t="s">
        <v>2522</v>
      </c>
      <c r="D336" s="1"/>
    </row>
    <row r="337">
      <c r="A337" s="37" t="s">
        <v>2519</v>
      </c>
      <c r="B337" s="37" t="s">
        <v>2366</v>
      </c>
      <c r="C337" s="22" t="s">
        <v>2523</v>
      </c>
      <c r="D337" s="1"/>
    </row>
    <row r="338">
      <c r="A338" s="37" t="s">
        <v>2519</v>
      </c>
      <c r="B338" s="37" t="s">
        <v>2366</v>
      </c>
      <c r="C338" s="22" t="s">
        <v>2524</v>
      </c>
      <c r="D338" s="1"/>
    </row>
    <row r="339">
      <c r="A339" s="37" t="s">
        <v>2519</v>
      </c>
      <c r="B339" s="37" t="s">
        <v>2366</v>
      </c>
      <c r="C339" s="22" t="s">
        <v>2525</v>
      </c>
      <c r="D339" s="1"/>
    </row>
    <row r="340">
      <c r="A340" s="37" t="s">
        <v>2519</v>
      </c>
      <c r="B340" s="37" t="s">
        <v>2526</v>
      </c>
      <c r="C340" s="22" t="s">
        <v>2527</v>
      </c>
      <c r="D340" s="1"/>
    </row>
    <row r="341">
      <c r="A341" s="37" t="s">
        <v>2519</v>
      </c>
      <c r="B341" s="37" t="s">
        <v>2366</v>
      </c>
      <c r="C341" s="22" t="s">
        <v>2528</v>
      </c>
      <c r="D341" s="1"/>
    </row>
    <row r="342">
      <c r="A342" s="37" t="s">
        <v>251</v>
      </c>
      <c r="B342" s="37" t="s">
        <v>2366</v>
      </c>
      <c r="C342" s="22" t="s">
        <v>2529</v>
      </c>
      <c r="D342" s="1"/>
    </row>
    <row r="343">
      <c r="A343" s="37" t="s">
        <v>251</v>
      </c>
      <c r="B343" s="37" t="s">
        <v>2366</v>
      </c>
      <c r="C343" s="22" t="s">
        <v>2530</v>
      </c>
      <c r="D343" s="1"/>
    </row>
    <row r="344">
      <c r="A344" s="37" t="s">
        <v>251</v>
      </c>
      <c r="B344" s="37" t="s">
        <v>2366</v>
      </c>
      <c r="C344" s="22" t="s">
        <v>2531</v>
      </c>
      <c r="D344" s="1"/>
    </row>
    <row r="345">
      <c r="A345" s="37" t="s">
        <v>251</v>
      </c>
      <c r="B345" s="37" t="s">
        <v>2526</v>
      </c>
      <c r="C345" s="22" t="s">
        <v>2532</v>
      </c>
      <c r="D345" s="1"/>
    </row>
    <row r="346">
      <c r="A346" s="37" t="s">
        <v>2533</v>
      </c>
      <c r="B346" s="37" t="s">
        <v>2366</v>
      </c>
      <c r="C346" s="22" t="s">
        <v>2534</v>
      </c>
      <c r="D346" s="1"/>
    </row>
    <row r="347">
      <c r="A347" s="37" t="s">
        <v>1940</v>
      </c>
      <c r="B347" s="37" t="s">
        <v>2301</v>
      </c>
      <c r="C347" s="22" t="s">
        <v>2535</v>
      </c>
      <c r="D347" s="1"/>
    </row>
    <row r="348">
      <c r="A348" s="37" t="s">
        <v>2237</v>
      </c>
      <c r="B348" s="37" t="s">
        <v>2366</v>
      </c>
      <c r="C348" s="22" t="s">
        <v>2536</v>
      </c>
      <c r="D348" s="1"/>
    </row>
    <row r="349">
      <c r="A349" s="37" t="s">
        <v>2183</v>
      </c>
      <c r="B349" s="37" t="s">
        <v>2366</v>
      </c>
      <c r="C349" s="22" t="s">
        <v>2537</v>
      </c>
      <c r="D349" s="1"/>
    </row>
    <row r="350">
      <c r="A350" s="37" t="s">
        <v>2183</v>
      </c>
      <c r="B350" s="37" t="s">
        <v>2366</v>
      </c>
      <c r="C350" s="22" t="s">
        <v>2538</v>
      </c>
      <c r="D350" s="1"/>
    </row>
    <row r="351">
      <c r="A351" s="37" t="s">
        <v>2183</v>
      </c>
      <c r="B351" s="37" t="s">
        <v>2366</v>
      </c>
      <c r="C351" s="22" t="s">
        <v>2539</v>
      </c>
      <c r="D351" s="1"/>
    </row>
    <row r="352">
      <c r="A352" s="37" t="s">
        <v>2540</v>
      </c>
      <c r="B352" s="37" t="s">
        <v>2366</v>
      </c>
      <c r="C352" s="22" t="s">
        <v>2541</v>
      </c>
      <c r="D352" s="1"/>
    </row>
    <row r="353">
      <c r="A353" s="37" t="s">
        <v>2519</v>
      </c>
      <c r="B353" s="37" t="s">
        <v>2366</v>
      </c>
      <c r="C353" s="22" t="s">
        <v>2542</v>
      </c>
      <c r="D353" s="1"/>
    </row>
    <row r="354">
      <c r="A354" s="37" t="s">
        <v>2519</v>
      </c>
      <c r="B354" s="37" t="s">
        <v>2366</v>
      </c>
      <c r="C354" s="22" t="s">
        <v>2543</v>
      </c>
      <c r="D354" s="1"/>
    </row>
    <row r="355">
      <c r="A355" s="37" t="s">
        <v>2519</v>
      </c>
      <c r="B355" s="37" t="s">
        <v>2366</v>
      </c>
      <c r="C355" s="22" t="s">
        <v>2544</v>
      </c>
      <c r="D355" s="1"/>
    </row>
    <row r="356">
      <c r="A356" s="37" t="s">
        <v>2519</v>
      </c>
      <c r="B356" s="37" t="s">
        <v>2366</v>
      </c>
      <c r="C356" s="22" t="s">
        <v>2545</v>
      </c>
      <c r="D356" s="1"/>
    </row>
    <row r="357">
      <c r="A357" s="37" t="s">
        <v>2519</v>
      </c>
      <c r="B357" s="37" t="s">
        <v>2366</v>
      </c>
      <c r="C357" s="22" t="s">
        <v>2546</v>
      </c>
      <c r="D357" s="1"/>
    </row>
    <row r="358">
      <c r="A358" s="37" t="s">
        <v>2519</v>
      </c>
      <c r="B358" s="37" t="s">
        <v>2366</v>
      </c>
      <c r="C358" s="22" t="s">
        <v>2547</v>
      </c>
      <c r="D358" s="1"/>
    </row>
    <row r="359">
      <c r="A359" s="37" t="s">
        <v>2548</v>
      </c>
      <c r="B359" s="37" t="s">
        <v>2526</v>
      </c>
      <c r="C359" s="22" t="s">
        <v>2549</v>
      </c>
      <c r="D359" s="1"/>
    </row>
    <row r="360">
      <c r="A360" s="37" t="s">
        <v>2548</v>
      </c>
      <c r="B360" s="37" t="s">
        <v>2526</v>
      </c>
      <c r="C360" s="22" t="s">
        <v>2550</v>
      </c>
      <c r="D360" s="1"/>
    </row>
    <row r="361">
      <c r="A361" s="37" t="s">
        <v>564</v>
      </c>
      <c r="B361" s="37" t="s">
        <v>2551</v>
      </c>
      <c r="C361" s="22" t="s">
        <v>2552</v>
      </c>
      <c r="D361" s="1"/>
    </row>
    <row r="362">
      <c r="A362" s="37" t="s">
        <v>564</v>
      </c>
      <c r="B362" s="37" t="s">
        <v>2551</v>
      </c>
      <c r="C362" s="22" t="s">
        <v>2553</v>
      </c>
      <c r="D362" s="1"/>
    </row>
    <row r="363">
      <c r="A363" s="37" t="s">
        <v>564</v>
      </c>
      <c r="B363" s="37" t="s">
        <v>2551</v>
      </c>
      <c r="C363" s="22" t="s">
        <v>2554</v>
      </c>
      <c r="D363" s="1"/>
    </row>
    <row r="364">
      <c r="A364" s="37" t="s">
        <v>564</v>
      </c>
      <c r="B364" s="37" t="s">
        <v>2551</v>
      </c>
      <c r="C364" s="22" t="s">
        <v>2555</v>
      </c>
      <c r="D364" s="1"/>
    </row>
    <row r="365">
      <c r="A365" s="37" t="s">
        <v>564</v>
      </c>
      <c r="B365" s="37" t="s">
        <v>2551</v>
      </c>
      <c r="C365" s="22" t="s">
        <v>2556</v>
      </c>
      <c r="D365" s="1"/>
    </row>
    <row r="366">
      <c r="A366" s="37" t="s">
        <v>2557</v>
      </c>
      <c r="B366" s="37" t="s">
        <v>2226</v>
      </c>
      <c r="C366" s="22" t="s">
        <v>2558</v>
      </c>
      <c r="D366" s="1"/>
    </row>
    <row r="367">
      <c r="A367" s="37" t="s">
        <v>2557</v>
      </c>
      <c r="B367" s="37" t="s">
        <v>2226</v>
      </c>
      <c r="C367" s="22" t="s">
        <v>2559</v>
      </c>
      <c r="D367" s="1"/>
    </row>
    <row r="368">
      <c r="A368" s="37" t="s">
        <v>466</v>
      </c>
      <c r="B368" s="37" t="s">
        <v>2560</v>
      </c>
      <c r="C368" s="22" t="s">
        <v>2561</v>
      </c>
      <c r="D368" s="1"/>
    </row>
    <row r="369">
      <c r="A369" s="37" t="s">
        <v>49</v>
      </c>
      <c r="B369" s="37" t="s">
        <v>2346</v>
      </c>
      <c r="C369" s="22" t="s">
        <v>2562</v>
      </c>
      <c r="D369" s="1"/>
    </row>
    <row r="370">
      <c r="A370" s="37" t="s">
        <v>49</v>
      </c>
      <c r="B370" s="37" t="s">
        <v>2346</v>
      </c>
      <c r="C370" s="22" t="s">
        <v>2563</v>
      </c>
      <c r="D370" s="1"/>
    </row>
    <row r="371">
      <c r="A371" s="37" t="s">
        <v>49</v>
      </c>
      <c r="B371" s="37" t="s">
        <v>2226</v>
      </c>
      <c r="C371" s="22" t="s">
        <v>2564</v>
      </c>
      <c r="D371" s="1"/>
    </row>
    <row r="372">
      <c r="A372" s="37" t="s">
        <v>2273</v>
      </c>
      <c r="B372" s="37" t="s">
        <v>2226</v>
      </c>
      <c r="C372" s="22" t="s">
        <v>2565</v>
      </c>
      <c r="D372" s="1"/>
    </row>
    <row r="373">
      <c r="A373" s="37" t="s">
        <v>2566</v>
      </c>
      <c r="B373" s="37" t="s">
        <v>2226</v>
      </c>
      <c r="C373" s="22" t="s">
        <v>2567</v>
      </c>
      <c r="D373" s="1"/>
    </row>
    <row r="374">
      <c r="A374" s="37" t="s">
        <v>2061</v>
      </c>
      <c r="B374" s="37" t="s">
        <v>2226</v>
      </c>
      <c r="C374" s="22" t="s">
        <v>2568</v>
      </c>
      <c r="D374" s="1"/>
    </row>
    <row r="375">
      <c r="A375" s="37" t="s">
        <v>2569</v>
      </c>
      <c r="B375" s="37" t="s">
        <v>2377</v>
      </c>
      <c r="C375" s="22" t="s">
        <v>2570</v>
      </c>
      <c r="D375" s="1"/>
    </row>
    <row r="376">
      <c r="A376" s="37" t="s">
        <v>2099</v>
      </c>
      <c r="B376" s="37" t="s">
        <v>2377</v>
      </c>
      <c r="C376" s="22" t="s">
        <v>2571</v>
      </c>
      <c r="D376" s="1"/>
    </row>
    <row r="377">
      <c r="A377" s="37" t="s">
        <v>2569</v>
      </c>
      <c r="B377" s="37" t="s">
        <v>2377</v>
      </c>
      <c r="C377" s="22" t="s">
        <v>2572</v>
      </c>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row r="1001">
      <c r="C1001" s="1"/>
      <c r="D1001" s="1"/>
    </row>
    <row r="1002">
      <c r="C1002" s="1"/>
      <c r="D1002" s="1"/>
    </row>
    <row r="1003">
      <c r="C1003" s="1"/>
      <c r="D1003" s="1"/>
    </row>
    <row r="1004">
      <c r="C1004" s="1"/>
      <c r="D1004" s="1"/>
    </row>
    <row r="1005">
      <c r="C1005" s="1"/>
      <c r="D1005" s="1"/>
    </row>
    <row r="1006">
      <c r="C1006" s="1"/>
      <c r="D1006" s="1"/>
    </row>
    <row r="1007">
      <c r="C1007" s="1"/>
      <c r="D1007" s="1"/>
    </row>
    <row r="1008">
      <c r="C1008" s="1"/>
      <c r="D1008" s="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9.75"/>
    <col customWidth="1" min="3" max="3" width="25.38"/>
    <col customWidth="1" min="4" max="4" width="25.13"/>
    <col customWidth="1" min="5" max="5" width="12.25"/>
    <col customWidth="1" min="6" max="6" width="12.0"/>
    <col customWidth="1" min="7" max="7" width="6.63"/>
    <col customWidth="1" min="8" max="8" width="8.88"/>
    <col customWidth="1" min="9" max="9" width="15.0"/>
    <col customWidth="1" min="10" max="10" width="14.25"/>
    <col customWidth="1" min="11" max="11" width="11.63"/>
    <col customWidth="1" min="12" max="12" width="17.63"/>
    <col customWidth="1" min="13" max="13" width="10.5"/>
    <col customWidth="1" min="14" max="14" width="10.75"/>
    <col customWidth="1" min="15" max="15" width="16.75"/>
    <col customWidth="1" min="16" max="16" width="13.13"/>
    <col customWidth="1" min="17" max="17" width="20.75"/>
    <col customWidth="1" min="18" max="18" width="12.63"/>
    <col customWidth="1" min="19" max="19" width="15.38"/>
  </cols>
  <sheetData>
    <row r="1">
      <c r="A1" s="1064"/>
      <c r="B1" s="1064"/>
    </row>
    <row r="2">
      <c r="A2" s="1065" t="s">
        <v>271</v>
      </c>
      <c r="B2" s="1065" t="s">
        <v>2573</v>
      </c>
      <c r="C2" s="1066" t="s">
        <v>605</v>
      </c>
      <c r="D2" s="1066" t="s">
        <v>606</v>
      </c>
      <c r="E2" s="1066" t="s">
        <v>609</v>
      </c>
      <c r="F2" s="1065" t="s">
        <v>610</v>
      </c>
      <c r="G2" s="1065" t="s">
        <v>611</v>
      </c>
      <c r="H2" s="1067" t="s">
        <v>612</v>
      </c>
      <c r="I2" s="1067" t="s">
        <v>613</v>
      </c>
      <c r="J2" s="1067" t="s">
        <v>2574</v>
      </c>
      <c r="K2" s="1066" t="s">
        <v>616</v>
      </c>
      <c r="L2" s="1066" t="s">
        <v>617</v>
      </c>
      <c r="M2" s="1066" t="s">
        <v>618</v>
      </c>
      <c r="N2" s="1068" t="s">
        <v>623</v>
      </c>
      <c r="O2" s="37" t="s">
        <v>2575</v>
      </c>
      <c r="P2" s="37" t="s">
        <v>2576</v>
      </c>
      <c r="Q2" s="22" t="s">
        <v>2577</v>
      </c>
      <c r="S2" s="1069" t="s">
        <v>2578</v>
      </c>
    </row>
    <row r="3">
      <c r="A3" s="37"/>
      <c r="B3" s="37"/>
      <c r="C3" s="37"/>
      <c r="D3" s="37"/>
      <c r="E3" s="37"/>
      <c r="G3" s="37"/>
      <c r="H3" s="817"/>
      <c r="I3" s="460"/>
      <c r="J3" s="460"/>
      <c r="K3" s="37"/>
      <c r="L3" s="37"/>
      <c r="M3" s="37"/>
      <c r="N3" s="1"/>
      <c r="O3" s="1070"/>
      <c r="P3" s="37"/>
      <c r="Q3" s="22"/>
      <c r="S3" s="37"/>
    </row>
    <row r="4">
      <c r="A4" s="37"/>
      <c r="B4" s="37"/>
      <c r="C4" s="37"/>
      <c r="D4" s="37"/>
      <c r="E4" s="37"/>
      <c r="H4" s="817"/>
      <c r="I4" s="460"/>
      <c r="J4" s="460"/>
      <c r="K4" s="37"/>
      <c r="L4" s="37"/>
      <c r="M4" s="37"/>
      <c r="N4" s="1"/>
      <c r="P4" s="37"/>
      <c r="Q4" s="22"/>
      <c r="S4" s="37"/>
    </row>
    <row r="5">
      <c r="A5" s="37"/>
      <c r="B5" s="37"/>
      <c r="C5" s="37"/>
      <c r="D5" s="37"/>
      <c r="E5" s="37"/>
      <c r="H5" s="817"/>
      <c r="I5" s="460"/>
      <c r="J5" s="460"/>
      <c r="K5" s="37"/>
      <c r="L5" s="37"/>
      <c r="M5" s="37"/>
      <c r="N5" s="1"/>
      <c r="O5" s="37"/>
      <c r="P5" s="37"/>
      <c r="Q5" s="22"/>
      <c r="S5" s="37"/>
    </row>
    <row r="6">
      <c r="A6" s="37"/>
      <c r="B6" s="37"/>
      <c r="C6" s="37"/>
      <c r="D6" s="1071"/>
      <c r="E6" s="37"/>
      <c r="F6" s="37"/>
      <c r="G6" s="37"/>
      <c r="H6" s="817"/>
      <c r="I6" s="460"/>
      <c r="J6" s="460"/>
      <c r="K6" s="37"/>
      <c r="L6" s="1072"/>
      <c r="M6" s="37"/>
      <c r="N6" s="1"/>
      <c r="O6" s="37"/>
      <c r="P6" s="37"/>
      <c r="Q6" s="22"/>
      <c r="S6" s="37"/>
    </row>
    <row r="7">
      <c r="A7" s="37"/>
      <c r="B7" s="37"/>
      <c r="C7" s="37"/>
      <c r="D7" s="1071"/>
      <c r="E7" s="37"/>
      <c r="F7" s="37"/>
      <c r="G7" s="37"/>
      <c r="H7" s="817"/>
      <c r="I7" s="460"/>
      <c r="J7" s="460"/>
      <c r="K7" s="37"/>
      <c r="L7" s="1072"/>
      <c r="M7" s="37"/>
      <c r="N7" s="1"/>
      <c r="O7" s="37"/>
      <c r="P7" s="37"/>
      <c r="Q7" s="22"/>
      <c r="S7" s="37"/>
    </row>
    <row r="8">
      <c r="A8" s="37"/>
      <c r="B8" s="37"/>
      <c r="C8" s="37"/>
      <c r="D8" s="1071"/>
      <c r="E8" s="37"/>
      <c r="F8" s="37"/>
      <c r="G8" s="37"/>
      <c r="H8" s="817"/>
      <c r="I8" s="460"/>
      <c r="J8" s="460"/>
      <c r="K8" s="37"/>
      <c r="L8" s="1072"/>
      <c r="M8" s="37"/>
      <c r="N8" s="1"/>
      <c r="O8" s="37"/>
      <c r="P8" s="37"/>
      <c r="Q8" s="22"/>
      <c r="S8" s="37"/>
    </row>
    <row r="9">
      <c r="A9" s="37"/>
      <c r="B9" s="37"/>
      <c r="C9" s="37"/>
      <c r="D9" s="37"/>
      <c r="E9" s="37"/>
      <c r="F9" s="37"/>
      <c r="H9" s="817"/>
      <c r="I9" s="460"/>
      <c r="J9" s="460"/>
      <c r="K9" s="37"/>
      <c r="L9" s="37"/>
      <c r="M9" s="903"/>
      <c r="N9" s="22"/>
      <c r="P9" s="37"/>
      <c r="Q9" s="22"/>
      <c r="S9" s="37"/>
    </row>
    <row r="10">
      <c r="A10" s="37"/>
      <c r="B10" s="37"/>
      <c r="C10" s="37"/>
      <c r="D10" s="37"/>
      <c r="E10" s="37"/>
      <c r="F10" s="37"/>
      <c r="H10" s="817"/>
      <c r="I10" s="460"/>
      <c r="J10" s="460"/>
      <c r="K10" s="37"/>
      <c r="L10" s="1073"/>
      <c r="M10" s="37"/>
      <c r="N10" s="22"/>
      <c r="P10" s="37"/>
      <c r="Q10" s="22"/>
      <c r="S10" s="37"/>
    </row>
    <row r="11">
      <c r="H11" s="817"/>
      <c r="I11" s="460"/>
      <c r="J11" s="460"/>
      <c r="L11" s="1074"/>
      <c r="N11" s="22"/>
      <c r="Q11" s="22"/>
    </row>
    <row r="12">
      <c r="A12" s="37"/>
      <c r="B12" s="37"/>
      <c r="C12" s="37"/>
      <c r="D12" s="37"/>
      <c r="E12" s="37"/>
      <c r="F12" s="37"/>
      <c r="H12" s="817"/>
      <c r="I12" s="460"/>
      <c r="J12" s="460"/>
      <c r="K12" s="37"/>
      <c r="L12" s="1074"/>
      <c r="M12" s="37"/>
      <c r="N12" s="22"/>
      <c r="P12" s="37"/>
      <c r="Q12" s="22"/>
      <c r="S12" s="37"/>
    </row>
    <row r="13">
      <c r="D13" s="1075"/>
      <c r="H13" s="817"/>
      <c r="I13" s="460"/>
      <c r="J13" s="817"/>
      <c r="L13" s="1074"/>
      <c r="N13" s="22"/>
      <c r="Q13" s="22"/>
    </row>
    <row r="14">
      <c r="H14" s="817"/>
      <c r="I14" s="460"/>
      <c r="J14" s="460"/>
      <c r="M14" s="1076"/>
      <c r="N14" s="1"/>
      <c r="Q14" s="1"/>
    </row>
    <row r="15">
      <c r="H15" s="817"/>
      <c r="I15" s="460"/>
      <c r="J15" s="460"/>
      <c r="L15" s="1077"/>
      <c r="N15" s="22"/>
      <c r="Q15" s="22"/>
    </row>
    <row r="16">
      <c r="H16" s="817"/>
      <c r="I16" s="460"/>
      <c r="J16" s="460"/>
      <c r="L16" s="1077"/>
      <c r="N16" s="1"/>
      <c r="Q16" s="22"/>
    </row>
    <row r="17">
      <c r="H17" s="817"/>
      <c r="I17" s="460"/>
      <c r="J17" s="460"/>
      <c r="L17" s="1077"/>
      <c r="N17" s="22"/>
      <c r="O17" s="1076"/>
      <c r="Q17" s="22"/>
    </row>
    <row r="18">
      <c r="H18" s="817"/>
      <c r="I18" s="460"/>
      <c r="J18" s="460"/>
      <c r="L18" s="1077"/>
      <c r="M18" s="1078"/>
      <c r="N18" s="22"/>
      <c r="Q18" s="22"/>
      <c r="R18" s="22"/>
    </row>
    <row r="19">
      <c r="H19" s="817"/>
      <c r="I19" s="460"/>
      <c r="J19" s="460"/>
      <c r="L19" s="1074"/>
      <c r="N19" s="1"/>
      <c r="Q19" s="22"/>
    </row>
    <row r="20">
      <c r="H20" s="817"/>
      <c r="I20" s="460"/>
      <c r="J20" s="460"/>
      <c r="L20" s="1077"/>
      <c r="N20" s="1"/>
      <c r="Q20" s="22"/>
    </row>
    <row r="21">
      <c r="H21" s="817"/>
      <c r="I21" s="460"/>
      <c r="J21" s="460"/>
      <c r="L21" s="1077"/>
      <c r="N21" s="1"/>
      <c r="Q21" s="22"/>
      <c r="R21" s="22"/>
    </row>
    <row r="22">
      <c r="H22" s="460"/>
      <c r="I22" s="460"/>
      <c r="J22" s="460"/>
      <c r="N22" s="1"/>
      <c r="Q22" s="1"/>
    </row>
    <row r="23">
      <c r="A23" s="37"/>
      <c r="H23" s="460"/>
      <c r="I23" s="460"/>
      <c r="J23" s="460"/>
      <c r="N23" s="1"/>
      <c r="Q23" s="1"/>
    </row>
    <row r="24">
      <c r="H24" s="460"/>
      <c r="I24" s="460"/>
      <c r="J24" s="460"/>
      <c r="N24" s="1"/>
      <c r="Q24" s="1"/>
    </row>
    <row r="25">
      <c r="A25" s="1079"/>
      <c r="Q25" s="1"/>
    </row>
    <row r="26">
      <c r="H26" s="460"/>
      <c r="I26" s="460"/>
      <c r="J26" s="460"/>
      <c r="N26" s="1"/>
      <c r="Q26" s="1"/>
    </row>
    <row r="27">
      <c r="H27" s="460"/>
      <c r="I27" s="460"/>
      <c r="J27" s="460"/>
      <c r="N27" s="1"/>
      <c r="Q27" s="1"/>
    </row>
    <row r="28">
      <c r="H28" s="460"/>
      <c r="I28" s="460"/>
      <c r="J28" s="460"/>
      <c r="N28" s="1"/>
      <c r="Q28" s="1"/>
    </row>
    <row r="29">
      <c r="H29" s="460"/>
      <c r="I29" s="460"/>
      <c r="J29" s="460"/>
      <c r="N29" s="1"/>
      <c r="Q29" s="1"/>
    </row>
    <row r="30">
      <c r="H30" s="460"/>
      <c r="I30" s="460"/>
      <c r="J30" s="460"/>
      <c r="N30" s="1"/>
      <c r="Q30" s="1"/>
    </row>
    <row r="31">
      <c r="H31" s="460"/>
      <c r="I31" s="460"/>
      <c r="J31" s="460"/>
      <c r="N31" s="1"/>
      <c r="Q31" s="1"/>
    </row>
    <row r="32">
      <c r="H32" s="460"/>
      <c r="I32" s="460"/>
      <c r="J32" s="460"/>
      <c r="N32" s="1"/>
      <c r="Q32" s="1"/>
    </row>
    <row r="33">
      <c r="A33" s="1079"/>
      <c r="B33" s="1079"/>
    </row>
    <row r="34">
      <c r="H34" s="460"/>
      <c r="I34" s="460"/>
      <c r="J34" s="460"/>
      <c r="N34" s="1"/>
      <c r="Q34" s="1"/>
    </row>
    <row r="35">
      <c r="D35" s="523"/>
      <c r="H35" s="817"/>
      <c r="I35" s="460"/>
      <c r="J35" s="460"/>
      <c r="N35" s="22"/>
      <c r="Q35" s="1"/>
    </row>
    <row r="36">
      <c r="C36" s="1080"/>
      <c r="D36" s="1081"/>
      <c r="E36" s="1082"/>
      <c r="F36" s="1082"/>
      <c r="G36" s="1080"/>
      <c r="H36" s="1083"/>
      <c r="I36" s="460"/>
      <c r="J36" s="460"/>
      <c r="L36" s="903"/>
      <c r="M36" s="903"/>
      <c r="N36" s="242"/>
      <c r="O36" s="242"/>
      <c r="Q36" s="242"/>
    </row>
    <row r="37">
      <c r="C37" s="1080"/>
      <c r="D37" s="1080"/>
      <c r="E37" s="1082"/>
      <c r="F37" s="1082"/>
      <c r="H37" s="817"/>
      <c r="I37" s="460"/>
      <c r="J37" s="460"/>
      <c r="L37" s="903"/>
      <c r="M37" s="903"/>
      <c r="N37" s="903"/>
      <c r="O37" s="242"/>
      <c r="P37" s="242"/>
      <c r="Q37" s="242"/>
    </row>
    <row r="38">
      <c r="C38" s="1076"/>
      <c r="H38" s="460"/>
      <c r="I38" s="460"/>
      <c r="J38" s="460"/>
      <c r="L38" s="903"/>
      <c r="M38" s="903"/>
      <c r="N38" s="242"/>
      <c r="O38" s="242"/>
      <c r="P38" s="242"/>
      <c r="Q38" s="242"/>
    </row>
    <row r="39">
      <c r="C39" s="1076"/>
      <c r="H39" s="817"/>
      <c r="I39" s="460"/>
      <c r="J39" s="460"/>
      <c r="L39" s="903"/>
      <c r="M39" s="242"/>
      <c r="N39" s="903"/>
      <c r="O39" s="242"/>
      <c r="P39" s="242"/>
      <c r="Q39" s="242"/>
    </row>
    <row r="40">
      <c r="C40" s="1084"/>
      <c r="D40" s="1085"/>
      <c r="E40" s="1085"/>
      <c r="F40" s="1086"/>
      <c r="G40" s="1086"/>
      <c r="H40" s="1087"/>
      <c r="I40" s="460"/>
      <c r="J40" s="460"/>
      <c r="L40" s="903"/>
      <c r="M40" s="242"/>
      <c r="N40" s="903"/>
      <c r="O40" s="242"/>
      <c r="P40" s="242"/>
      <c r="Q40" s="242"/>
    </row>
    <row r="41">
      <c r="H41" s="460"/>
      <c r="I41" s="460"/>
      <c r="J41" s="460"/>
      <c r="L41" s="242"/>
      <c r="M41" s="242"/>
      <c r="N41" s="242"/>
      <c r="O41" s="242"/>
      <c r="P41" s="242"/>
      <c r="Q41" s="242"/>
    </row>
    <row r="42">
      <c r="H42" s="460"/>
      <c r="I42" s="460"/>
      <c r="J42" s="460"/>
      <c r="M42" s="242"/>
      <c r="N42" s="242"/>
      <c r="O42" s="242"/>
      <c r="P42" s="242"/>
      <c r="Q42" s="242"/>
    </row>
    <row r="43">
      <c r="H43" s="460"/>
      <c r="I43" s="460"/>
      <c r="J43" s="460"/>
      <c r="L43" s="903"/>
      <c r="N43" s="1"/>
      <c r="Q43" s="1"/>
    </row>
    <row r="44">
      <c r="H44" s="460"/>
      <c r="I44" s="460"/>
      <c r="J44" s="460"/>
      <c r="N44" s="1"/>
      <c r="Q44" s="1"/>
    </row>
    <row r="45">
      <c r="H45" s="460"/>
      <c r="I45" s="460"/>
      <c r="J45" s="460"/>
      <c r="N45" s="1"/>
      <c r="Q45" s="1"/>
    </row>
    <row r="46">
      <c r="A46" s="1079"/>
      <c r="B46" s="1079"/>
    </row>
    <row r="47">
      <c r="D47" s="82"/>
      <c r="F47" s="82"/>
      <c r="H47" s="1088"/>
      <c r="I47" s="817"/>
      <c r="J47" s="460"/>
      <c r="K47" s="82"/>
      <c r="L47" s="828"/>
      <c r="N47" s="1"/>
      <c r="Q47" s="1"/>
    </row>
    <row r="48">
      <c r="D48" s="1070"/>
      <c r="E48" s="817"/>
      <c r="F48" s="1070"/>
      <c r="G48" s="1089"/>
      <c r="H48" s="1090"/>
      <c r="J48" s="817"/>
      <c r="K48" s="828"/>
      <c r="N48" s="1"/>
      <c r="Q48" s="1"/>
    </row>
    <row r="49">
      <c r="E49" s="817"/>
      <c r="G49" s="817"/>
      <c r="J49" s="460"/>
      <c r="N49" s="1"/>
      <c r="Q49" s="1"/>
    </row>
    <row r="50">
      <c r="E50" s="817"/>
      <c r="G50" s="239"/>
      <c r="J50" s="460"/>
      <c r="N50" s="1"/>
      <c r="Q50" s="1"/>
    </row>
    <row r="51">
      <c r="E51" s="817"/>
      <c r="G51" s="239"/>
      <c r="J51" s="460"/>
      <c r="N51" s="1"/>
      <c r="Q51" s="1"/>
    </row>
    <row r="52">
      <c r="E52" s="460"/>
      <c r="J52" s="460"/>
      <c r="N52" s="1"/>
      <c r="Q52" s="1"/>
    </row>
    <row r="53">
      <c r="E53" s="817"/>
      <c r="J53" s="460"/>
      <c r="N53" s="1"/>
      <c r="Q53" s="1"/>
    </row>
    <row r="54">
      <c r="E54" s="817"/>
      <c r="N54" s="1"/>
      <c r="Q54" s="1"/>
    </row>
    <row r="55">
      <c r="N55" s="1"/>
      <c r="Q55" s="1"/>
    </row>
    <row r="56">
      <c r="E56" s="817"/>
      <c r="N56" s="1"/>
      <c r="Q56" s="1"/>
    </row>
    <row r="57">
      <c r="E57" s="817"/>
      <c r="J57" s="460"/>
      <c r="N57" s="1"/>
      <c r="Q57" s="1"/>
    </row>
    <row r="58">
      <c r="E58" s="817"/>
      <c r="J58" s="460"/>
      <c r="N58" s="1"/>
      <c r="Q58" s="1"/>
    </row>
    <row r="59">
      <c r="E59" s="817"/>
      <c r="G59" s="239"/>
      <c r="J59" s="460"/>
      <c r="N59" s="1"/>
      <c r="Q59" s="1"/>
    </row>
    <row r="60">
      <c r="N60" s="1"/>
      <c r="Q60" s="1"/>
    </row>
    <row r="61">
      <c r="C61" s="82"/>
      <c r="E61" s="460"/>
      <c r="I61" s="460"/>
      <c r="J61" s="460"/>
      <c r="N61" s="1"/>
      <c r="Q61" s="1"/>
    </row>
    <row r="62">
      <c r="E62" s="460"/>
      <c r="G62" s="1091"/>
      <c r="I62" s="460"/>
      <c r="J62" s="460"/>
      <c r="N62" s="1"/>
      <c r="Q62" s="1"/>
    </row>
    <row r="63">
      <c r="E63" s="460"/>
      <c r="G63" s="460"/>
      <c r="H63" s="460"/>
      <c r="I63" s="460"/>
      <c r="J63" s="460"/>
      <c r="N63" s="1"/>
      <c r="Q63" s="1"/>
    </row>
    <row r="64">
      <c r="N64" s="1"/>
      <c r="Q64" s="1"/>
    </row>
    <row r="65">
      <c r="N65" s="1"/>
      <c r="Q65" s="1"/>
    </row>
    <row r="66">
      <c r="C66" s="82"/>
      <c r="E66" s="817"/>
      <c r="G66" s="460"/>
      <c r="H66" s="460"/>
      <c r="I66" s="460"/>
      <c r="J66" s="460"/>
      <c r="N66" s="1"/>
      <c r="Q66" s="1"/>
    </row>
    <row r="67">
      <c r="E67" s="460"/>
      <c r="G67" s="460"/>
      <c r="H67" s="460"/>
      <c r="I67" s="460"/>
      <c r="J67" s="460"/>
      <c r="N67" s="1"/>
      <c r="Q67" s="1"/>
    </row>
    <row r="68">
      <c r="E68" s="460"/>
      <c r="G68" s="460"/>
      <c r="H68" s="460"/>
      <c r="I68" s="460"/>
      <c r="J68" s="460"/>
      <c r="N68" s="1"/>
      <c r="Q68" s="1"/>
    </row>
    <row r="69">
      <c r="C69" s="1092"/>
      <c r="N69" s="1"/>
      <c r="Q69" s="1"/>
    </row>
    <row r="70">
      <c r="E70" s="817"/>
      <c r="G70" s="817"/>
      <c r="H70" s="460"/>
      <c r="J70" s="817"/>
      <c r="N70" s="901"/>
      <c r="Q70" s="1"/>
    </row>
    <row r="71">
      <c r="E71" s="817"/>
      <c r="G71" s="817"/>
      <c r="H71" s="460"/>
      <c r="J71" s="817"/>
      <c r="N71" s="901"/>
      <c r="Q71" s="1"/>
    </row>
    <row r="72">
      <c r="E72" s="817"/>
      <c r="G72" s="239"/>
      <c r="H72" s="460"/>
      <c r="J72" s="239"/>
      <c r="N72" s="901"/>
      <c r="Q72" s="1"/>
    </row>
    <row r="73">
      <c r="E73" s="817"/>
      <c r="G73" s="817"/>
      <c r="H73" s="460"/>
      <c r="I73" s="817"/>
      <c r="J73" s="817"/>
      <c r="M73" s="1070"/>
      <c r="N73" s="901"/>
      <c r="Q73" s="1"/>
    </row>
    <row r="74">
      <c r="E74" s="817"/>
      <c r="G74" s="817"/>
      <c r="H74" s="460"/>
      <c r="N74" s="901"/>
      <c r="Q74" s="1"/>
    </row>
    <row r="75">
      <c r="E75" s="817"/>
      <c r="H75" s="460"/>
      <c r="N75" s="901"/>
      <c r="Q75" s="1"/>
    </row>
    <row r="76">
      <c r="E76" s="817"/>
      <c r="H76" s="460"/>
      <c r="N76" s="901"/>
      <c r="Q76" s="1"/>
    </row>
    <row r="77">
      <c r="H77" s="460"/>
      <c r="I77" s="1076"/>
      <c r="N77" s="1093"/>
      <c r="Q77" s="1"/>
    </row>
    <row r="78">
      <c r="N78" s="1093"/>
      <c r="Q78" s="1"/>
    </row>
    <row r="79">
      <c r="N79" s="1093"/>
      <c r="Q79" s="1"/>
    </row>
    <row r="80">
      <c r="N80" s="1093"/>
      <c r="Q80" s="1"/>
    </row>
    <row r="81">
      <c r="F81" s="817"/>
      <c r="G81" s="817"/>
      <c r="H81" s="460"/>
      <c r="I81" s="1090"/>
      <c r="J81" s="817"/>
      <c r="N81" s="1093"/>
      <c r="Q81" s="1"/>
    </row>
    <row r="82">
      <c r="E82" s="460"/>
      <c r="F82" s="817"/>
      <c r="G82" s="817"/>
      <c r="H82" s="460"/>
      <c r="I82" s="817"/>
      <c r="J82" s="817"/>
      <c r="N82" s="901"/>
      <c r="Q82" s="1"/>
    </row>
    <row r="83">
      <c r="E83" s="460"/>
      <c r="H83" s="460"/>
      <c r="N83" s="901"/>
      <c r="Q83" s="1"/>
    </row>
    <row r="84">
      <c r="E84" s="460"/>
      <c r="G84" s="460"/>
      <c r="H84" s="460"/>
      <c r="I84" s="460"/>
      <c r="J84" s="460"/>
      <c r="N84" s="1093"/>
      <c r="Q84" s="1"/>
    </row>
    <row r="85">
      <c r="H85" s="460"/>
      <c r="I85" s="460"/>
      <c r="J85" s="460"/>
      <c r="N85" s="1093"/>
      <c r="Q85" s="1"/>
    </row>
    <row r="86">
      <c r="G86" s="1091"/>
      <c r="H86" s="460"/>
      <c r="I86" s="460"/>
      <c r="J86" s="1094"/>
      <c r="N86" s="1093"/>
      <c r="Q86" s="1"/>
    </row>
    <row r="87">
      <c r="H87" s="460"/>
      <c r="I87" s="460"/>
      <c r="J87" s="460"/>
      <c r="N87" s="1093"/>
      <c r="Q87" s="1"/>
    </row>
    <row r="88">
      <c r="H88" s="460"/>
      <c r="I88" s="460"/>
      <c r="J88" s="460"/>
      <c r="N88" s="1"/>
      <c r="Q88" s="1"/>
    </row>
    <row r="89">
      <c r="H89" s="460"/>
      <c r="I89" s="460"/>
      <c r="J89" s="460"/>
      <c r="N89" s="1"/>
      <c r="Q89" s="1"/>
    </row>
    <row r="90">
      <c r="H90" s="460"/>
      <c r="I90" s="460"/>
      <c r="J90" s="460"/>
      <c r="N90" s="1"/>
      <c r="Q90" s="1"/>
    </row>
    <row r="91">
      <c r="H91" s="460"/>
      <c r="I91" s="460"/>
      <c r="J91" s="460"/>
      <c r="N91" s="1"/>
      <c r="Q91" s="1"/>
    </row>
    <row r="92">
      <c r="H92" s="460"/>
      <c r="I92" s="460"/>
      <c r="J92" s="460"/>
      <c r="N92" s="1"/>
      <c r="Q92" s="1"/>
    </row>
    <row r="93">
      <c r="H93" s="460"/>
      <c r="I93" s="460"/>
      <c r="J93" s="460"/>
      <c r="N93" s="1"/>
      <c r="Q93" s="1"/>
    </row>
    <row r="94">
      <c r="H94" s="460"/>
      <c r="I94" s="460"/>
      <c r="J94" s="460"/>
      <c r="N94" s="1"/>
      <c r="Q94" s="1"/>
    </row>
    <row r="95">
      <c r="H95" s="460"/>
      <c r="I95" s="460"/>
      <c r="J95" s="460"/>
      <c r="N95" s="1"/>
      <c r="Q95" s="1"/>
    </row>
    <row r="96">
      <c r="H96" s="460"/>
      <c r="I96" s="460"/>
      <c r="J96" s="460"/>
      <c r="N96" s="1"/>
      <c r="Q96" s="1"/>
    </row>
    <row r="97">
      <c r="H97" s="460"/>
      <c r="I97" s="460"/>
      <c r="J97" s="460"/>
      <c r="N97" s="1"/>
      <c r="Q97" s="1"/>
    </row>
    <row r="98">
      <c r="H98" s="460"/>
      <c r="I98" s="460"/>
      <c r="J98" s="460"/>
      <c r="N98" s="1"/>
      <c r="Q98" s="1"/>
    </row>
    <row r="99">
      <c r="H99" s="460"/>
      <c r="I99" s="460"/>
      <c r="J99" s="460"/>
      <c r="N99" s="1"/>
      <c r="Q99" s="1"/>
    </row>
    <row r="100">
      <c r="H100" s="460"/>
      <c r="I100" s="460"/>
      <c r="J100" s="460"/>
      <c r="N100" s="1"/>
      <c r="Q100" s="1"/>
    </row>
    <row r="101">
      <c r="H101" s="460"/>
      <c r="I101" s="460"/>
      <c r="J101" s="460"/>
      <c r="N101" s="1"/>
      <c r="Q101" s="1"/>
    </row>
    <row r="102">
      <c r="H102" s="460"/>
      <c r="I102" s="460"/>
      <c r="J102" s="460"/>
      <c r="N102" s="1"/>
      <c r="Q102" s="1"/>
    </row>
    <row r="103">
      <c r="H103" s="460"/>
      <c r="I103" s="460"/>
      <c r="J103" s="460"/>
      <c r="N103" s="1"/>
      <c r="Q103" s="1"/>
    </row>
    <row r="104">
      <c r="H104" s="460"/>
      <c r="I104" s="460"/>
      <c r="J104" s="460"/>
      <c r="N104" s="1"/>
      <c r="Q104" s="1"/>
    </row>
    <row r="105">
      <c r="H105" s="460"/>
      <c r="I105" s="460"/>
      <c r="J105" s="460"/>
      <c r="N105" s="1"/>
      <c r="Q105" s="1"/>
    </row>
    <row r="106">
      <c r="H106" s="460"/>
      <c r="I106" s="460"/>
      <c r="J106" s="460"/>
      <c r="N106" s="1"/>
      <c r="Q106" s="1"/>
    </row>
    <row r="107">
      <c r="H107" s="460"/>
      <c r="I107" s="460"/>
      <c r="J107" s="460"/>
      <c r="N107" s="1"/>
      <c r="Q107" s="1"/>
    </row>
    <row r="108">
      <c r="H108" s="460"/>
      <c r="I108" s="460"/>
      <c r="J108" s="460"/>
      <c r="N108" s="1"/>
      <c r="Q108" s="1"/>
    </row>
    <row r="109">
      <c r="H109" s="460"/>
      <c r="I109" s="460"/>
      <c r="J109" s="460"/>
      <c r="N109" s="1"/>
      <c r="Q109" s="1"/>
    </row>
    <row r="110">
      <c r="H110" s="460"/>
      <c r="I110" s="460"/>
      <c r="J110" s="460"/>
      <c r="N110" s="1"/>
      <c r="Q110" s="1"/>
    </row>
    <row r="111">
      <c r="H111" s="460"/>
      <c r="I111" s="460"/>
      <c r="J111" s="460"/>
      <c r="N111" s="1"/>
      <c r="Q111" s="1"/>
    </row>
    <row r="112">
      <c r="H112" s="460"/>
      <c r="I112" s="460"/>
      <c r="J112" s="460"/>
      <c r="N112" s="1"/>
      <c r="Q112" s="1"/>
    </row>
    <row r="113">
      <c r="H113" s="460"/>
      <c r="I113" s="460"/>
      <c r="J113" s="460"/>
      <c r="N113" s="1"/>
      <c r="Q113" s="1"/>
    </row>
    <row r="114">
      <c r="H114" s="460"/>
      <c r="I114" s="460"/>
      <c r="J114" s="460"/>
      <c r="N114" s="1"/>
      <c r="Q114" s="1"/>
    </row>
    <row r="115">
      <c r="H115" s="460"/>
      <c r="I115" s="460"/>
      <c r="J115" s="460"/>
      <c r="N115" s="1"/>
      <c r="Q115" s="1"/>
    </row>
    <row r="116">
      <c r="H116" s="460"/>
      <c r="I116" s="460"/>
      <c r="J116" s="460"/>
      <c r="N116" s="1"/>
      <c r="Q116" s="1"/>
    </row>
    <row r="117">
      <c r="H117" s="460"/>
      <c r="I117" s="460"/>
      <c r="J117" s="460"/>
      <c r="N117" s="1"/>
      <c r="Q117" s="1"/>
    </row>
    <row r="118">
      <c r="H118" s="460"/>
      <c r="I118" s="460"/>
      <c r="J118" s="460"/>
      <c r="N118" s="1"/>
      <c r="Q118" s="1"/>
    </row>
    <row r="119">
      <c r="H119" s="460"/>
      <c r="I119" s="460"/>
      <c r="J119" s="460"/>
      <c r="N119" s="1"/>
      <c r="Q119" s="1"/>
    </row>
    <row r="120">
      <c r="H120" s="460"/>
      <c r="I120" s="460"/>
      <c r="J120" s="460"/>
      <c r="N120" s="1"/>
      <c r="Q120" s="1"/>
    </row>
    <row r="121">
      <c r="H121" s="460"/>
      <c r="I121" s="460"/>
      <c r="J121" s="460"/>
      <c r="N121" s="1"/>
      <c r="Q121" s="1"/>
    </row>
    <row r="122">
      <c r="H122" s="460"/>
      <c r="I122" s="460"/>
      <c r="J122" s="460"/>
      <c r="N122" s="1"/>
      <c r="Q122" s="1"/>
    </row>
    <row r="123">
      <c r="H123" s="460"/>
      <c r="I123" s="460"/>
      <c r="J123" s="460"/>
      <c r="N123" s="1"/>
      <c r="Q123" s="1"/>
    </row>
    <row r="124">
      <c r="H124" s="460"/>
      <c r="I124" s="460"/>
      <c r="J124" s="460"/>
      <c r="N124" s="1"/>
      <c r="Q124" s="1"/>
    </row>
    <row r="125">
      <c r="H125" s="460"/>
      <c r="I125" s="460"/>
      <c r="J125" s="460"/>
      <c r="N125" s="1"/>
      <c r="Q125" s="1"/>
    </row>
    <row r="126">
      <c r="H126" s="460"/>
      <c r="I126" s="460"/>
      <c r="J126" s="460"/>
      <c r="N126" s="1"/>
      <c r="Q126" s="1"/>
    </row>
    <row r="127">
      <c r="H127" s="460"/>
      <c r="I127" s="460"/>
      <c r="J127" s="460"/>
      <c r="N127" s="1"/>
      <c r="Q127" s="1"/>
    </row>
    <row r="128">
      <c r="H128" s="460"/>
      <c r="I128" s="460"/>
      <c r="J128" s="460"/>
      <c r="N128" s="1"/>
      <c r="Q128" s="1"/>
    </row>
    <row r="129">
      <c r="H129" s="460"/>
      <c r="I129" s="460"/>
      <c r="J129" s="460"/>
      <c r="N129" s="1"/>
      <c r="Q129" s="1"/>
    </row>
    <row r="130">
      <c r="H130" s="460"/>
      <c r="I130" s="460"/>
      <c r="J130" s="460"/>
      <c r="N130" s="1"/>
      <c r="Q130" s="1"/>
    </row>
    <row r="131">
      <c r="H131" s="460"/>
      <c r="I131" s="460"/>
      <c r="J131" s="460"/>
      <c r="N131" s="1"/>
      <c r="Q131" s="1"/>
    </row>
    <row r="132">
      <c r="H132" s="460"/>
      <c r="I132" s="460"/>
      <c r="J132" s="460"/>
      <c r="N132" s="1"/>
      <c r="Q132" s="1"/>
    </row>
    <row r="133">
      <c r="H133" s="460"/>
      <c r="I133" s="460"/>
      <c r="J133" s="460"/>
      <c r="N133" s="1"/>
      <c r="Q133" s="1"/>
    </row>
    <row r="134">
      <c r="H134" s="460"/>
      <c r="I134" s="460"/>
      <c r="J134" s="460"/>
      <c r="N134" s="1"/>
      <c r="Q134" s="1"/>
    </row>
    <row r="135">
      <c r="H135" s="460"/>
      <c r="I135" s="460"/>
      <c r="J135" s="460"/>
      <c r="N135" s="1"/>
      <c r="Q135" s="1"/>
    </row>
    <row r="136">
      <c r="H136" s="460"/>
      <c r="I136" s="460"/>
      <c r="J136" s="460"/>
      <c r="N136" s="1"/>
      <c r="Q136" s="1"/>
    </row>
    <row r="137">
      <c r="H137" s="460"/>
      <c r="I137" s="460"/>
      <c r="J137" s="460"/>
      <c r="N137" s="1"/>
      <c r="Q137" s="1"/>
    </row>
    <row r="138">
      <c r="H138" s="460"/>
      <c r="I138" s="460"/>
      <c r="J138" s="460"/>
      <c r="N138" s="1"/>
      <c r="Q138" s="1"/>
    </row>
    <row r="139">
      <c r="H139" s="460"/>
      <c r="I139" s="460"/>
      <c r="J139" s="460"/>
      <c r="N139" s="1"/>
      <c r="Q139" s="1"/>
    </row>
    <row r="140">
      <c r="H140" s="460"/>
      <c r="I140" s="460"/>
      <c r="J140" s="460"/>
      <c r="N140" s="1"/>
      <c r="Q140" s="1"/>
    </row>
    <row r="141">
      <c r="H141" s="460"/>
      <c r="I141" s="460"/>
      <c r="J141" s="460"/>
      <c r="N141" s="1"/>
      <c r="Q141" s="1"/>
    </row>
    <row r="142">
      <c r="H142" s="460"/>
      <c r="I142" s="460"/>
      <c r="J142" s="460"/>
      <c r="N142" s="1"/>
      <c r="Q142" s="1"/>
    </row>
    <row r="143">
      <c r="H143" s="460"/>
      <c r="I143" s="460"/>
      <c r="J143" s="460"/>
      <c r="N143" s="1"/>
      <c r="Q143" s="1"/>
    </row>
    <row r="144">
      <c r="H144" s="460"/>
      <c r="I144" s="460"/>
      <c r="J144" s="460"/>
      <c r="N144" s="1"/>
      <c r="Q144" s="1"/>
    </row>
    <row r="145">
      <c r="H145" s="460"/>
      <c r="I145" s="460"/>
      <c r="J145" s="460"/>
      <c r="N145" s="1"/>
      <c r="Q145" s="1"/>
    </row>
    <row r="146">
      <c r="H146" s="460"/>
      <c r="I146" s="460"/>
      <c r="J146" s="460"/>
      <c r="N146" s="1"/>
      <c r="Q146" s="1"/>
    </row>
    <row r="147">
      <c r="H147" s="460"/>
      <c r="I147" s="460"/>
      <c r="J147" s="460"/>
      <c r="N147" s="1"/>
      <c r="Q147" s="1"/>
    </row>
    <row r="148">
      <c r="H148" s="460"/>
      <c r="I148" s="460"/>
      <c r="J148" s="460"/>
      <c r="N148" s="1"/>
      <c r="Q148" s="1"/>
    </row>
    <row r="149">
      <c r="H149" s="460"/>
      <c r="I149" s="460"/>
      <c r="J149" s="460"/>
      <c r="N149" s="1"/>
      <c r="Q149" s="1"/>
    </row>
    <row r="150">
      <c r="H150" s="460"/>
      <c r="I150" s="460"/>
      <c r="J150" s="460"/>
      <c r="N150" s="1"/>
      <c r="Q150" s="1"/>
    </row>
    <row r="151">
      <c r="H151" s="460"/>
      <c r="I151" s="460"/>
      <c r="J151" s="460"/>
      <c r="N151" s="1"/>
      <c r="Q151" s="1"/>
    </row>
    <row r="152">
      <c r="H152" s="460"/>
      <c r="I152" s="460"/>
      <c r="J152" s="460"/>
      <c r="N152" s="1"/>
      <c r="Q152" s="1"/>
    </row>
    <row r="153">
      <c r="H153" s="460"/>
      <c r="I153" s="460"/>
      <c r="J153" s="460"/>
      <c r="N153" s="1"/>
      <c r="Q153" s="1"/>
    </row>
    <row r="154">
      <c r="H154" s="460"/>
      <c r="I154" s="460"/>
      <c r="J154" s="460"/>
      <c r="N154" s="1"/>
      <c r="Q154" s="1"/>
    </row>
    <row r="155">
      <c r="H155" s="460"/>
      <c r="I155" s="460"/>
      <c r="J155" s="460"/>
      <c r="N155" s="1"/>
      <c r="Q155" s="1"/>
    </row>
    <row r="156">
      <c r="H156" s="460"/>
      <c r="I156" s="460"/>
      <c r="J156" s="460"/>
      <c r="N156" s="1"/>
      <c r="Q156" s="1"/>
    </row>
    <row r="157">
      <c r="H157" s="460"/>
      <c r="I157" s="460"/>
      <c r="J157" s="460"/>
      <c r="N157" s="1"/>
      <c r="Q157" s="1"/>
    </row>
    <row r="158">
      <c r="H158" s="460"/>
      <c r="I158" s="460"/>
      <c r="J158" s="460"/>
      <c r="N158" s="1"/>
      <c r="Q158" s="1"/>
    </row>
    <row r="159">
      <c r="H159" s="460"/>
      <c r="I159" s="460"/>
      <c r="J159" s="460"/>
      <c r="N159" s="1"/>
      <c r="Q159" s="1"/>
    </row>
    <row r="160">
      <c r="H160" s="460"/>
      <c r="I160" s="460"/>
      <c r="J160" s="460"/>
      <c r="N160" s="1"/>
      <c r="Q160" s="1"/>
    </row>
    <row r="161">
      <c r="H161" s="460"/>
      <c r="I161" s="460"/>
      <c r="J161" s="460"/>
      <c r="N161" s="1"/>
      <c r="Q161" s="1"/>
    </row>
    <row r="162">
      <c r="H162" s="460"/>
      <c r="I162" s="460"/>
      <c r="J162" s="460"/>
      <c r="N162" s="1"/>
      <c r="Q162" s="1"/>
    </row>
    <row r="163">
      <c r="H163" s="460"/>
      <c r="I163" s="460"/>
      <c r="J163" s="460"/>
      <c r="N163" s="1"/>
      <c r="Q163" s="1"/>
    </row>
    <row r="164">
      <c r="H164" s="460"/>
      <c r="I164" s="460"/>
      <c r="J164" s="460"/>
      <c r="N164" s="1"/>
      <c r="Q164" s="1"/>
    </row>
    <row r="165">
      <c r="H165" s="460"/>
      <c r="I165" s="460"/>
      <c r="J165" s="460"/>
      <c r="N165" s="1"/>
      <c r="Q165" s="1"/>
    </row>
    <row r="166">
      <c r="H166" s="460"/>
      <c r="I166" s="460"/>
      <c r="J166" s="460"/>
      <c r="N166" s="1"/>
      <c r="Q166" s="1"/>
    </row>
    <row r="167">
      <c r="H167" s="460"/>
      <c r="I167" s="460"/>
      <c r="J167" s="460"/>
      <c r="N167" s="1"/>
      <c r="Q167" s="1"/>
    </row>
    <row r="168">
      <c r="H168" s="460"/>
      <c r="I168" s="460"/>
      <c r="J168" s="460"/>
      <c r="N168" s="1"/>
      <c r="Q168" s="1"/>
    </row>
    <row r="169">
      <c r="H169" s="460"/>
      <c r="I169" s="460"/>
      <c r="J169" s="460"/>
      <c r="N169" s="1"/>
      <c r="Q169" s="1"/>
    </row>
    <row r="170">
      <c r="H170" s="460"/>
      <c r="I170" s="460"/>
      <c r="J170" s="460"/>
      <c r="N170" s="1"/>
      <c r="Q170" s="1"/>
    </row>
    <row r="171">
      <c r="H171" s="460"/>
      <c r="I171" s="460"/>
      <c r="J171" s="460"/>
      <c r="N171" s="1"/>
      <c r="Q171" s="1"/>
    </row>
    <row r="172">
      <c r="H172" s="460"/>
      <c r="I172" s="460"/>
      <c r="J172" s="460"/>
      <c r="N172" s="1"/>
      <c r="Q172" s="1"/>
    </row>
    <row r="173">
      <c r="H173" s="460"/>
      <c r="I173" s="460"/>
      <c r="J173" s="460"/>
      <c r="N173" s="1"/>
      <c r="Q173" s="1"/>
    </row>
    <row r="174">
      <c r="H174" s="460"/>
      <c r="I174" s="460"/>
      <c r="J174" s="460"/>
      <c r="N174" s="1"/>
      <c r="Q174" s="1"/>
    </row>
    <row r="175">
      <c r="H175" s="460"/>
      <c r="I175" s="460"/>
      <c r="J175" s="460"/>
      <c r="N175" s="1"/>
      <c r="Q175" s="1"/>
    </row>
    <row r="176">
      <c r="H176" s="460"/>
      <c r="I176" s="460"/>
      <c r="J176" s="460"/>
      <c r="N176" s="1"/>
      <c r="Q176" s="1"/>
    </row>
    <row r="177">
      <c r="H177" s="460"/>
      <c r="I177" s="460"/>
      <c r="J177" s="460"/>
      <c r="N177" s="1"/>
      <c r="Q177" s="1"/>
    </row>
    <row r="178">
      <c r="H178" s="460"/>
      <c r="I178" s="460"/>
      <c r="J178" s="460"/>
      <c r="N178" s="1"/>
      <c r="Q178" s="1"/>
    </row>
    <row r="179">
      <c r="H179" s="460"/>
      <c r="I179" s="460"/>
      <c r="J179" s="460"/>
      <c r="N179" s="1"/>
      <c r="Q179" s="1"/>
    </row>
    <row r="180">
      <c r="H180" s="460"/>
      <c r="I180" s="460"/>
      <c r="J180" s="460"/>
      <c r="N180" s="1"/>
      <c r="Q180" s="1"/>
    </row>
    <row r="181">
      <c r="H181" s="460"/>
      <c r="I181" s="460"/>
      <c r="J181" s="460"/>
      <c r="N181" s="1"/>
      <c r="Q181" s="1"/>
    </row>
    <row r="182">
      <c r="H182" s="460"/>
      <c r="I182" s="460"/>
      <c r="J182" s="460"/>
      <c r="N182" s="1"/>
      <c r="Q182" s="1"/>
    </row>
    <row r="183">
      <c r="H183" s="460"/>
      <c r="I183" s="460"/>
      <c r="J183" s="460"/>
      <c r="N183" s="1"/>
      <c r="Q183" s="1"/>
    </row>
    <row r="184">
      <c r="H184" s="460"/>
      <c r="I184" s="460"/>
      <c r="J184" s="460"/>
      <c r="N184" s="1"/>
      <c r="Q184" s="1"/>
    </row>
    <row r="185">
      <c r="H185" s="460"/>
      <c r="I185" s="460"/>
      <c r="J185" s="460"/>
      <c r="N185" s="1"/>
      <c r="Q185" s="1"/>
    </row>
    <row r="186">
      <c r="H186" s="460"/>
      <c r="I186" s="460"/>
      <c r="J186" s="460"/>
      <c r="N186" s="1"/>
      <c r="Q186" s="1"/>
    </row>
    <row r="187">
      <c r="H187" s="460"/>
      <c r="I187" s="460"/>
      <c r="J187" s="460"/>
      <c r="N187" s="1"/>
      <c r="Q187" s="1"/>
    </row>
    <row r="188">
      <c r="H188" s="460"/>
      <c r="I188" s="460"/>
      <c r="J188" s="460"/>
      <c r="N188" s="1"/>
      <c r="Q188" s="1"/>
    </row>
    <row r="189">
      <c r="H189" s="460"/>
      <c r="I189" s="460"/>
      <c r="J189" s="460"/>
      <c r="N189" s="1"/>
      <c r="Q189" s="1"/>
    </row>
    <row r="190">
      <c r="H190" s="460"/>
      <c r="I190" s="460"/>
      <c r="J190" s="460"/>
      <c r="N190" s="1"/>
      <c r="Q190" s="1"/>
    </row>
    <row r="191">
      <c r="H191" s="460"/>
      <c r="I191" s="460"/>
      <c r="J191" s="460"/>
      <c r="N191" s="1"/>
      <c r="Q191" s="1"/>
    </row>
    <row r="192">
      <c r="H192" s="460"/>
      <c r="I192" s="460"/>
      <c r="J192" s="460"/>
      <c r="N192" s="1"/>
      <c r="Q192" s="1"/>
    </row>
    <row r="193">
      <c r="H193" s="460"/>
      <c r="I193" s="460"/>
      <c r="J193" s="460"/>
      <c r="N193" s="1"/>
      <c r="Q193" s="1"/>
    </row>
    <row r="194">
      <c r="H194" s="460"/>
      <c r="I194" s="460"/>
      <c r="J194" s="460"/>
      <c r="N194" s="1"/>
      <c r="Q194" s="1"/>
    </row>
    <row r="195">
      <c r="H195" s="460"/>
      <c r="I195" s="460"/>
      <c r="J195" s="460"/>
      <c r="N195" s="1"/>
      <c r="Q195" s="1"/>
    </row>
    <row r="196">
      <c r="H196" s="460"/>
      <c r="I196" s="460"/>
      <c r="J196" s="460"/>
      <c r="N196" s="1"/>
      <c r="Q196" s="1"/>
    </row>
    <row r="197">
      <c r="H197" s="460"/>
      <c r="I197" s="460"/>
      <c r="J197" s="460"/>
      <c r="N197" s="1"/>
      <c r="Q197" s="1"/>
    </row>
    <row r="198">
      <c r="H198" s="460"/>
      <c r="I198" s="460"/>
      <c r="J198" s="460"/>
      <c r="N198" s="1"/>
      <c r="Q198" s="1"/>
    </row>
    <row r="199">
      <c r="H199" s="460"/>
      <c r="I199" s="460"/>
      <c r="J199" s="460"/>
      <c r="N199" s="1"/>
      <c r="Q199" s="1"/>
    </row>
    <row r="200">
      <c r="H200" s="460"/>
      <c r="I200" s="460"/>
      <c r="J200" s="460"/>
      <c r="N200" s="1"/>
      <c r="Q200" s="1"/>
    </row>
    <row r="201">
      <c r="H201" s="460"/>
      <c r="I201" s="460"/>
      <c r="J201" s="460"/>
      <c r="N201" s="1"/>
      <c r="Q201" s="1"/>
    </row>
    <row r="202">
      <c r="H202" s="460"/>
      <c r="I202" s="460"/>
      <c r="J202" s="460"/>
      <c r="N202" s="1"/>
      <c r="Q202" s="1"/>
    </row>
    <row r="203">
      <c r="H203" s="460"/>
      <c r="I203" s="460"/>
      <c r="J203" s="460"/>
      <c r="N203" s="1"/>
      <c r="Q203" s="1"/>
    </row>
    <row r="204">
      <c r="H204" s="460"/>
      <c r="I204" s="460"/>
      <c r="J204" s="460"/>
      <c r="N204" s="1"/>
      <c r="Q204" s="1"/>
    </row>
    <row r="205">
      <c r="H205" s="460"/>
      <c r="I205" s="460"/>
      <c r="J205" s="460"/>
      <c r="N205" s="1"/>
      <c r="Q205" s="1"/>
    </row>
    <row r="206">
      <c r="H206" s="460"/>
      <c r="I206" s="460"/>
      <c r="J206" s="460"/>
      <c r="N206" s="1"/>
      <c r="Q206" s="1"/>
    </row>
    <row r="207">
      <c r="H207" s="460"/>
      <c r="I207" s="460"/>
      <c r="J207" s="460"/>
      <c r="N207" s="1"/>
      <c r="Q207" s="1"/>
    </row>
    <row r="208">
      <c r="H208" s="460"/>
      <c r="I208" s="460"/>
      <c r="J208" s="460"/>
      <c r="N208" s="1"/>
      <c r="Q208" s="1"/>
    </row>
    <row r="209">
      <c r="H209" s="460"/>
      <c r="I209" s="460"/>
      <c r="J209" s="460"/>
      <c r="N209" s="1"/>
      <c r="Q209" s="1"/>
    </row>
    <row r="210">
      <c r="H210" s="460"/>
      <c r="I210" s="460"/>
      <c r="J210" s="460"/>
      <c r="N210" s="1"/>
      <c r="Q210" s="1"/>
    </row>
    <row r="211">
      <c r="H211" s="460"/>
      <c r="I211" s="460"/>
      <c r="J211" s="460"/>
      <c r="N211" s="1"/>
      <c r="Q211" s="1"/>
    </row>
    <row r="212">
      <c r="H212" s="460"/>
      <c r="I212" s="460"/>
      <c r="J212" s="460"/>
      <c r="N212" s="1"/>
      <c r="Q212" s="1"/>
    </row>
    <row r="213">
      <c r="H213" s="460"/>
      <c r="I213" s="460"/>
      <c r="J213" s="460"/>
      <c r="N213" s="1"/>
      <c r="Q213" s="1"/>
    </row>
    <row r="214">
      <c r="H214" s="460"/>
      <c r="I214" s="460"/>
      <c r="J214" s="460"/>
      <c r="N214" s="1"/>
      <c r="Q214" s="1"/>
    </row>
    <row r="215">
      <c r="H215" s="460"/>
      <c r="I215" s="460"/>
      <c r="J215" s="460"/>
      <c r="N215" s="1"/>
      <c r="Q215" s="1"/>
    </row>
    <row r="216">
      <c r="H216" s="460"/>
      <c r="I216" s="460"/>
      <c r="J216" s="460"/>
      <c r="N216" s="1"/>
      <c r="Q216" s="1"/>
    </row>
    <row r="217">
      <c r="H217" s="460"/>
      <c r="I217" s="460"/>
      <c r="J217" s="460"/>
      <c r="N217" s="1"/>
      <c r="Q217" s="1"/>
    </row>
    <row r="218">
      <c r="H218" s="460"/>
      <c r="I218" s="460"/>
      <c r="J218" s="460"/>
      <c r="N218" s="1"/>
      <c r="Q218" s="1"/>
    </row>
    <row r="219">
      <c r="H219" s="460"/>
      <c r="I219" s="460"/>
      <c r="J219" s="460"/>
      <c r="N219" s="1"/>
      <c r="Q219" s="1"/>
    </row>
    <row r="220">
      <c r="H220" s="460"/>
      <c r="I220" s="460"/>
      <c r="J220" s="460"/>
      <c r="N220" s="1"/>
      <c r="Q220" s="1"/>
    </row>
    <row r="221">
      <c r="H221" s="460"/>
      <c r="I221" s="460"/>
      <c r="J221" s="460"/>
      <c r="N221" s="1"/>
      <c r="Q221" s="1"/>
    </row>
    <row r="222">
      <c r="H222" s="460"/>
      <c r="I222" s="460"/>
      <c r="J222" s="460"/>
      <c r="N222" s="1"/>
      <c r="Q222" s="1"/>
    </row>
    <row r="223">
      <c r="H223" s="460"/>
      <c r="I223" s="460"/>
      <c r="J223" s="460"/>
      <c r="N223" s="1"/>
      <c r="Q223" s="1"/>
    </row>
    <row r="224">
      <c r="H224" s="460"/>
      <c r="I224" s="460"/>
      <c r="J224" s="460"/>
      <c r="N224" s="1"/>
      <c r="Q224" s="1"/>
    </row>
    <row r="225">
      <c r="H225" s="460"/>
      <c r="I225" s="460"/>
      <c r="J225" s="460"/>
      <c r="N225" s="1"/>
      <c r="Q225" s="1"/>
    </row>
    <row r="226">
      <c r="H226" s="460"/>
      <c r="I226" s="460"/>
      <c r="J226" s="460"/>
      <c r="N226" s="1"/>
      <c r="Q226" s="1"/>
    </row>
    <row r="227">
      <c r="H227" s="460"/>
      <c r="I227" s="460"/>
      <c r="J227" s="460"/>
      <c r="N227" s="1"/>
      <c r="Q227" s="1"/>
    </row>
    <row r="228">
      <c r="H228" s="460"/>
      <c r="I228" s="460"/>
      <c r="J228" s="460"/>
      <c r="N228" s="1"/>
      <c r="Q228" s="1"/>
    </row>
    <row r="229">
      <c r="H229" s="460"/>
      <c r="I229" s="460"/>
      <c r="J229" s="460"/>
      <c r="N229" s="1"/>
      <c r="Q229" s="1"/>
    </row>
    <row r="230">
      <c r="H230" s="460"/>
      <c r="I230" s="460"/>
      <c r="J230" s="460"/>
      <c r="N230" s="1"/>
      <c r="Q230" s="1"/>
    </row>
    <row r="231">
      <c r="H231" s="460"/>
      <c r="I231" s="460"/>
      <c r="J231" s="460"/>
      <c r="N231" s="1"/>
      <c r="Q231" s="1"/>
    </row>
    <row r="232">
      <c r="H232" s="460"/>
      <c r="I232" s="460"/>
      <c r="J232" s="460"/>
      <c r="N232" s="1"/>
      <c r="Q232" s="1"/>
    </row>
    <row r="233">
      <c r="H233" s="460"/>
      <c r="I233" s="460"/>
      <c r="J233" s="460"/>
      <c r="N233" s="1"/>
      <c r="Q233" s="1"/>
    </row>
    <row r="234">
      <c r="H234" s="460"/>
      <c r="I234" s="460"/>
      <c r="J234" s="460"/>
      <c r="N234" s="1"/>
      <c r="Q234" s="1"/>
    </row>
    <row r="235">
      <c r="H235" s="460"/>
      <c r="I235" s="460"/>
      <c r="J235" s="460"/>
      <c r="N235" s="1"/>
      <c r="Q235" s="1"/>
    </row>
    <row r="236">
      <c r="H236" s="460"/>
      <c r="I236" s="460"/>
      <c r="J236" s="460"/>
      <c r="N236" s="1"/>
      <c r="Q236" s="1"/>
    </row>
    <row r="237">
      <c r="H237" s="460"/>
      <c r="I237" s="460"/>
      <c r="J237" s="460"/>
      <c r="N237" s="1"/>
      <c r="Q237" s="1"/>
    </row>
    <row r="238">
      <c r="H238" s="460"/>
      <c r="I238" s="460"/>
      <c r="J238" s="460"/>
      <c r="N238" s="1"/>
      <c r="Q238" s="1"/>
    </row>
    <row r="239">
      <c r="H239" s="460"/>
      <c r="I239" s="460"/>
      <c r="J239" s="460"/>
      <c r="N239" s="1"/>
      <c r="Q239" s="1"/>
    </row>
    <row r="240">
      <c r="H240" s="460"/>
      <c r="I240" s="460"/>
      <c r="J240" s="460"/>
      <c r="N240" s="1"/>
      <c r="Q240" s="1"/>
    </row>
    <row r="241">
      <c r="H241" s="460"/>
      <c r="I241" s="460"/>
      <c r="J241" s="460"/>
      <c r="N241" s="1"/>
      <c r="Q241" s="1"/>
    </row>
    <row r="242">
      <c r="H242" s="460"/>
      <c r="I242" s="460"/>
      <c r="J242" s="460"/>
      <c r="N242" s="1"/>
      <c r="Q242" s="1"/>
    </row>
    <row r="243">
      <c r="H243" s="460"/>
      <c r="I243" s="460"/>
      <c r="J243" s="460"/>
      <c r="N243" s="1"/>
      <c r="Q243" s="1"/>
    </row>
    <row r="244">
      <c r="H244" s="460"/>
      <c r="I244" s="460"/>
      <c r="J244" s="460"/>
      <c r="N244" s="1"/>
      <c r="Q244" s="1"/>
    </row>
    <row r="245">
      <c r="H245" s="460"/>
      <c r="I245" s="460"/>
      <c r="J245" s="460"/>
      <c r="N245" s="1"/>
      <c r="Q245" s="1"/>
    </row>
    <row r="246">
      <c r="H246" s="460"/>
      <c r="I246" s="460"/>
      <c r="J246" s="460"/>
      <c r="N246" s="1"/>
      <c r="Q246" s="1"/>
    </row>
    <row r="247">
      <c r="H247" s="460"/>
      <c r="I247" s="460"/>
      <c r="J247" s="460"/>
      <c r="N247" s="1"/>
      <c r="Q247" s="1"/>
    </row>
    <row r="248">
      <c r="H248" s="460"/>
      <c r="I248" s="460"/>
      <c r="J248" s="460"/>
      <c r="N248" s="1"/>
      <c r="Q248" s="1"/>
    </row>
    <row r="249">
      <c r="H249" s="460"/>
      <c r="I249" s="460"/>
      <c r="J249" s="460"/>
      <c r="N249" s="1"/>
      <c r="Q249" s="1"/>
    </row>
    <row r="250">
      <c r="H250" s="460"/>
      <c r="I250" s="460"/>
      <c r="J250" s="460"/>
      <c r="N250" s="1"/>
      <c r="Q250" s="1"/>
    </row>
    <row r="251">
      <c r="H251" s="460"/>
      <c r="I251" s="460"/>
      <c r="J251" s="460"/>
      <c r="N251" s="1"/>
      <c r="Q251" s="1"/>
    </row>
    <row r="252">
      <c r="H252" s="460"/>
      <c r="I252" s="460"/>
      <c r="J252" s="460"/>
      <c r="N252" s="1"/>
      <c r="Q252" s="1"/>
    </row>
    <row r="253">
      <c r="H253" s="460"/>
      <c r="I253" s="460"/>
      <c r="J253" s="460"/>
      <c r="N253" s="1"/>
      <c r="Q253" s="1"/>
    </row>
    <row r="254">
      <c r="H254" s="460"/>
      <c r="I254" s="460"/>
      <c r="J254" s="460"/>
      <c r="N254" s="1"/>
      <c r="Q254" s="1"/>
    </row>
    <row r="255">
      <c r="H255" s="460"/>
      <c r="I255" s="460"/>
      <c r="J255" s="460"/>
      <c r="N255" s="1"/>
      <c r="Q255" s="1"/>
    </row>
    <row r="256">
      <c r="H256" s="460"/>
      <c r="I256" s="460"/>
      <c r="J256" s="460"/>
      <c r="N256" s="1"/>
      <c r="Q256" s="1"/>
    </row>
    <row r="257">
      <c r="H257" s="460"/>
      <c r="I257" s="460"/>
      <c r="J257" s="460"/>
      <c r="N257" s="1"/>
      <c r="Q257" s="1"/>
    </row>
    <row r="258">
      <c r="H258" s="460"/>
      <c r="I258" s="460"/>
      <c r="J258" s="460"/>
      <c r="N258" s="1"/>
      <c r="Q258" s="1"/>
    </row>
    <row r="259">
      <c r="H259" s="460"/>
      <c r="I259" s="460"/>
      <c r="J259" s="460"/>
      <c r="N259" s="1"/>
      <c r="Q259" s="1"/>
    </row>
    <row r="260">
      <c r="H260" s="460"/>
      <c r="I260" s="460"/>
      <c r="J260" s="460"/>
      <c r="N260" s="1"/>
      <c r="Q260" s="1"/>
    </row>
    <row r="261">
      <c r="H261" s="460"/>
      <c r="I261" s="460"/>
      <c r="J261" s="460"/>
      <c r="N261" s="1"/>
      <c r="Q261" s="1"/>
    </row>
    <row r="262">
      <c r="H262" s="460"/>
      <c r="I262" s="460"/>
      <c r="J262" s="460"/>
      <c r="N262" s="1"/>
      <c r="Q262" s="1"/>
    </row>
    <row r="263">
      <c r="H263" s="460"/>
      <c r="I263" s="460"/>
      <c r="J263" s="460"/>
      <c r="N263" s="1"/>
      <c r="Q263" s="1"/>
    </row>
    <row r="264">
      <c r="H264" s="460"/>
      <c r="I264" s="460"/>
      <c r="J264" s="460"/>
      <c r="N264" s="1"/>
      <c r="Q264" s="1"/>
    </row>
    <row r="265">
      <c r="H265" s="460"/>
      <c r="I265" s="460"/>
      <c r="J265" s="460"/>
      <c r="N265" s="1"/>
      <c r="Q265" s="1"/>
    </row>
    <row r="266">
      <c r="H266" s="460"/>
      <c r="I266" s="460"/>
      <c r="J266" s="460"/>
      <c r="N266" s="1"/>
      <c r="Q266" s="1"/>
    </row>
    <row r="267">
      <c r="H267" s="460"/>
      <c r="I267" s="460"/>
      <c r="J267" s="460"/>
      <c r="N267" s="1"/>
      <c r="Q267" s="1"/>
    </row>
    <row r="268">
      <c r="H268" s="460"/>
      <c r="I268" s="460"/>
      <c r="J268" s="460"/>
      <c r="N268" s="1"/>
      <c r="Q268" s="1"/>
    </row>
    <row r="269">
      <c r="H269" s="460"/>
      <c r="I269" s="460"/>
      <c r="J269" s="460"/>
      <c r="N269" s="1"/>
      <c r="Q269" s="1"/>
    </row>
    <row r="270">
      <c r="H270" s="460"/>
      <c r="I270" s="460"/>
      <c r="J270" s="460"/>
      <c r="N270" s="1"/>
      <c r="Q270" s="1"/>
    </row>
    <row r="271">
      <c r="H271" s="460"/>
      <c r="I271" s="460"/>
      <c r="J271" s="460"/>
      <c r="N271" s="1"/>
      <c r="Q271" s="1"/>
    </row>
    <row r="272">
      <c r="H272" s="460"/>
      <c r="I272" s="460"/>
      <c r="J272" s="460"/>
      <c r="N272" s="1"/>
      <c r="Q272" s="1"/>
    </row>
    <row r="273">
      <c r="H273" s="460"/>
      <c r="I273" s="460"/>
      <c r="J273" s="460"/>
      <c r="N273" s="1"/>
      <c r="Q273" s="1"/>
    </row>
    <row r="274">
      <c r="H274" s="460"/>
      <c r="I274" s="460"/>
      <c r="J274" s="460"/>
      <c r="N274" s="1"/>
      <c r="Q274" s="1"/>
    </row>
    <row r="275">
      <c r="H275" s="460"/>
      <c r="I275" s="460"/>
      <c r="J275" s="460"/>
      <c r="N275" s="1"/>
      <c r="Q275" s="1"/>
    </row>
    <row r="276">
      <c r="H276" s="460"/>
      <c r="I276" s="460"/>
      <c r="J276" s="460"/>
      <c r="N276" s="1"/>
      <c r="Q276" s="1"/>
    </row>
    <row r="277">
      <c r="H277" s="460"/>
      <c r="I277" s="460"/>
      <c r="J277" s="460"/>
      <c r="N277" s="1"/>
      <c r="Q277" s="1"/>
    </row>
    <row r="278">
      <c r="H278" s="460"/>
      <c r="I278" s="460"/>
      <c r="J278" s="460"/>
      <c r="N278" s="1"/>
      <c r="Q278" s="1"/>
    </row>
    <row r="279">
      <c r="H279" s="460"/>
      <c r="I279" s="460"/>
      <c r="J279" s="460"/>
      <c r="N279" s="1"/>
      <c r="Q279" s="1"/>
    </row>
    <row r="280">
      <c r="H280" s="460"/>
      <c r="I280" s="460"/>
      <c r="J280" s="460"/>
      <c r="N280" s="1"/>
      <c r="Q280" s="1"/>
    </row>
    <row r="281">
      <c r="H281" s="460"/>
      <c r="I281" s="460"/>
      <c r="J281" s="460"/>
      <c r="N281" s="1"/>
      <c r="Q281" s="1"/>
    </row>
    <row r="282">
      <c r="H282" s="460"/>
      <c r="I282" s="460"/>
      <c r="J282" s="460"/>
      <c r="N282" s="1"/>
      <c r="Q282" s="1"/>
    </row>
    <row r="283">
      <c r="H283" s="460"/>
      <c r="I283" s="460"/>
      <c r="J283" s="460"/>
      <c r="N283" s="1"/>
      <c r="Q283" s="1"/>
    </row>
    <row r="284">
      <c r="H284" s="460"/>
      <c r="I284" s="460"/>
      <c r="J284" s="460"/>
      <c r="N284" s="1"/>
      <c r="Q284" s="1"/>
    </row>
    <row r="285">
      <c r="H285" s="460"/>
      <c r="I285" s="460"/>
      <c r="J285" s="460"/>
      <c r="N285" s="1"/>
      <c r="Q285" s="1"/>
    </row>
    <row r="286">
      <c r="H286" s="460"/>
      <c r="I286" s="460"/>
      <c r="J286" s="460"/>
      <c r="N286" s="1"/>
      <c r="Q286" s="1"/>
    </row>
    <row r="287">
      <c r="H287" s="460"/>
      <c r="I287" s="460"/>
      <c r="J287" s="460"/>
      <c r="N287" s="1"/>
      <c r="Q287" s="1"/>
    </row>
    <row r="288">
      <c r="H288" s="460"/>
      <c r="I288" s="460"/>
      <c r="J288" s="460"/>
      <c r="N288" s="1"/>
      <c r="Q288" s="1"/>
    </row>
    <row r="289">
      <c r="H289" s="460"/>
      <c r="I289" s="460"/>
      <c r="J289" s="460"/>
      <c r="N289" s="1"/>
      <c r="Q289" s="1"/>
    </row>
    <row r="290">
      <c r="H290" s="460"/>
      <c r="I290" s="460"/>
      <c r="J290" s="460"/>
      <c r="N290" s="1"/>
      <c r="Q290" s="1"/>
    </row>
    <row r="291">
      <c r="H291" s="460"/>
      <c r="I291" s="460"/>
      <c r="J291" s="460"/>
      <c r="N291" s="1"/>
      <c r="Q291" s="1"/>
    </row>
    <row r="292">
      <c r="H292" s="460"/>
      <c r="I292" s="460"/>
      <c r="J292" s="460"/>
      <c r="N292" s="1"/>
      <c r="Q292" s="1"/>
    </row>
    <row r="293">
      <c r="H293" s="460"/>
      <c r="I293" s="460"/>
      <c r="J293" s="460"/>
      <c r="N293" s="1"/>
      <c r="Q293" s="1"/>
    </row>
    <row r="294">
      <c r="H294" s="460"/>
      <c r="I294" s="460"/>
      <c r="J294" s="460"/>
      <c r="N294" s="1"/>
      <c r="Q294" s="1"/>
    </row>
    <row r="295">
      <c r="H295" s="460"/>
      <c r="I295" s="460"/>
      <c r="J295" s="460"/>
      <c r="N295" s="1"/>
      <c r="Q295" s="1"/>
    </row>
    <row r="296">
      <c r="H296" s="460"/>
      <c r="I296" s="460"/>
      <c r="J296" s="460"/>
      <c r="N296" s="1"/>
      <c r="Q296" s="1"/>
    </row>
    <row r="297">
      <c r="H297" s="460"/>
      <c r="I297" s="460"/>
      <c r="J297" s="460"/>
      <c r="N297" s="1"/>
      <c r="Q297" s="1"/>
    </row>
    <row r="298">
      <c r="H298" s="460"/>
      <c r="I298" s="460"/>
      <c r="J298" s="460"/>
      <c r="N298" s="1"/>
      <c r="Q298" s="1"/>
    </row>
    <row r="299">
      <c r="H299" s="460"/>
      <c r="I299" s="460"/>
      <c r="J299" s="460"/>
      <c r="N299" s="1"/>
      <c r="Q299" s="1"/>
    </row>
    <row r="300">
      <c r="H300" s="460"/>
      <c r="I300" s="460"/>
      <c r="J300" s="460"/>
      <c r="N300" s="1"/>
      <c r="Q300" s="1"/>
    </row>
    <row r="301">
      <c r="H301" s="460"/>
      <c r="I301" s="460"/>
      <c r="J301" s="460"/>
      <c r="N301" s="1"/>
      <c r="Q301" s="1"/>
    </row>
    <row r="302">
      <c r="H302" s="460"/>
      <c r="I302" s="460"/>
      <c r="J302" s="460"/>
      <c r="N302" s="1"/>
      <c r="Q302" s="1"/>
    </row>
    <row r="303">
      <c r="H303" s="460"/>
      <c r="I303" s="460"/>
      <c r="J303" s="460"/>
      <c r="N303" s="1"/>
      <c r="Q303" s="1"/>
    </row>
    <row r="304">
      <c r="H304" s="460"/>
      <c r="I304" s="460"/>
      <c r="J304" s="460"/>
      <c r="N304" s="1"/>
      <c r="Q304" s="1"/>
    </row>
    <row r="305">
      <c r="H305" s="460"/>
      <c r="I305" s="460"/>
      <c r="J305" s="460"/>
      <c r="N305" s="1"/>
      <c r="Q305" s="1"/>
    </row>
    <row r="306">
      <c r="H306" s="460"/>
      <c r="I306" s="460"/>
      <c r="J306" s="460"/>
      <c r="N306" s="1"/>
      <c r="Q306" s="1"/>
    </row>
    <row r="307">
      <c r="H307" s="460"/>
      <c r="I307" s="460"/>
      <c r="J307" s="460"/>
      <c r="N307" s="1"/>
      <c r="Q307" s="1"/>
    </row>
    <row r="308">
      <c r="H308" s="460"/>
      <c r="I308" s="460"/>
      <c r="J308" s="460"/>
      <c r="N308" s="1"/>
      <c r="Q308" s="1"/>
    </row>
    <row r="309">
      <c r="H309" s="460"/>
      <c r="I309" s="460"/>
      <c r="J309" s="460"/>
      <c r="N309" s="1"/>
      <c r="Q309" s="1"/>
    </row>
    <row r="310">
      <c r="H310" s="460"/>
      <c r="I310" s="460"/>
      <c r="J310" s="460"/>
      <c r="N310" s="1"/>
      <c r="Q310" s="1"/>
    </row>
    <row r="311">
      <c r="H311" s="460"/>
      <c r="I311" s="460"/>
      <c r="J311" s="460"/>
      <c r="N311" s="1"/>
      <c r="Q311" s="1"/>
    </row>
    <row r="312">
      <c r="H312" s="460"/>
      <c r="I312" s="460"/>
      <c r="J312" s="460"/>
      <c r="N312" s="1"/>
      <c r="Q312" s="1"/>
    </row>
    <row r="313">
      <c r="H313" s="460"/>
      <c r="I313" s="460"/>
      <c r="J313" s="460"/>
      <c r="N313" s="1"/>
      <c r="Q313" s="1"/>
    </row>
    <row r="314">
      <c r="H314" s="460"/>
      <c r="I314" s="460"/>
      <c r="J314" s="460"/>
      <c r="N314" s="1"/>
      <c r="Q314" s="1"/>
    </row>
    <row r="315">
      <c r="H315" s="460"/>
      <c r="I315" s="460"/>
      <c r="J315" s="460"/>
      <c r="N315" s="1"/>
      <c r="Q315" s="1"/>
    </row>
    <row r="316">
      <c r="H316" s="460"/>
      <c r="I316" s="460"/>
      <c r="J316" s="460"/>
      <c r="N316" s="1"/>
      <c r="Q316" s="1"/>
    </row>
    <row r="317">
      <c r="H317" s="460"/>
      <c r="I317" s="460"/>
      <c r="J317" s="460"/>
      <c r="N317" s="1"/>
      <c r="Q317" s="1"/>
    </row>
    <row r="318">
      <c r="H318" s="460"/>
      <c r="I318" s="460"/>
      <c r="J318" s="460"/>
      <c r="N318" s="1"/>
      <c r="Q318" s="1"/>
    </row>
    <row r="319">
      <c r="H319" s="460"/>
      <c r="I319" s="460"/>
      <c r="J319" s="460"/>
      <c r="N319" s="1"/>
      <c r="Q319" s="1"/>
    </row>
    <row r="320">
      <c r="H320" s="460"/>
      <c r="I320" s="460"/>
      <c r="J320" s="460"/>
      <c r="N320" s="1"/>
      <c r="Q320" s="1"/>
    </row>
    <row r="321">
      <c r="H321" s="460"/>
      <c r="I321" s="460"/>
      <c r="J321" s="460"/>
      <c r="N321" s="1"/>
      <c r="Q321" s="1"/>
    </row>
    <row r="322">
      <c r="H322" s="460"/>
      <c r="I322" s="460"/>
      <c r="J322" s="460"/>
      <c r="N322" s="1"/>
      <c r="Q322" s="1"/>
    </row>
    <row r="323">
      <c r="H323" s="460"/>
      <c r="I323" s="460"/>
      <c r="J323" s="460"/>
      <c r="N323" s="1"/>
      <c r="Q323" s="1"/>
    </row>
    <row r="324">
      <c r="H324" s="460"/>
      <c r="I324" s="460"/>
      <c r="J324" s="460"/>
      <c r="N324" s="1"/>
      <c r="Q324" s="1"/>
    </row>
    <row r="325">
      <c r="H325" s="460"/>
      <c r="I325" s="460"/>
      <c r="J325" s="460"/>
      <c r="N325" s="1"/>
      <c r="Q325" s="1"/>
    </row>
    <row r="326">
      <c r="H326" s="460"/>
      <c r="I326" s="460"/>
      <c r="J326" s="460"/>
      <c r="N326" s="1"/>
      <c r="Q326" s="1"/>
    </row>
    <row r="327">
      <c r="H327" s="460"/>
      <c r="I327" s="460"/>
      <c r="J327" s="460"/>
      <c r="N327" s="1"/>
      <c r="Q327" s="1"/>
    </row>
    <row r="328">
      <c r="H328" s="460"/>
      <c r="I328" s="460"/>
      <c r="J328" s="460"/>
      <c r="N328" s="1"/>
      <c r="Q328" s="1"/>
    </row>
    <row r="329">
      <c r="H329" s="460"/>
      <c r="I329" s="460"/>
      <c r="J329" s="460"/>
      <c r="N329" s="1"/>
      <c r="Q329" s="1"/>
    </row>
    <row r="330">
      <c r="H330" s="460"/>
      <c r="I330" s="460"/>
      <c r="J330" s="460"/>
      <c r="N330" s="1"/>
      <c r="Q330" s="1"/>
    </row>
    <row r="331">
      <c r="H331" s="460"/>
      <c r="I331" s="460"/>
      <c r="J331" s="460"/>
      <c r="N331" s="1"/>
      <c r="Q331" s="1"/>
    </row>
    <row r="332">
      <c r="H332" s="460"/>
      <c r="I332" s="460"/>
      <c r="J332" s="460"/>
      <c r="N332" s="1"/>
      <c r="Q332" s="1"/>
    </row>
    <row r="333">
      <c r="H333" s="460"/>
      <c r="I333" s="460"/>
      <c r="J333" s="460"/>
      <c r="N333" s="1"/>
      <c r="Q333" s="1"/>
    </row>
    <row r="334">
      <c r="H334" s="460"/>
      <c r="I334" s="460"/>
      <c r="J334" s="460"/>
      <c r="N334" s="1"/>
      <c r="Q334" s="1"/>
    </row>
    <row r="335">
      <c r="H335" s="460"/>
      <c r="I335" s="460"/>
      <c r="J335" s="460"/>
      <c r="N335" s="1"/>
      <c r="Q335" s="1"/>
    </row>
    <row r="336">
      <c r="H336" s="460"/>
      <c r="I336" s="460"/>
      <c r="J336" s="460"/>
      <c r="N336" s="1"/>
      <c r="Q336" s="1"/>
    </row>
    <row r="337">
      <c r="H337" s="460"/>
      <c r="I337" s="460"/>
      <c r="J337" s="460"/>
      <c r="N337" s="1"/>
      <c r="Q337" s="1"/>
    </row>
    <row r="338">
      <c r="H338" s="460"/>
      <c r="I338" s="460"/>
      <c r="J338" s="460"/>
      <c r="N338" s="1"/>
      <c r="Q338" s="1"/>
    </row>
    <row r="339">
      <c r="H339" s="460"/>
      <c r="I339" s="460"/>
      <c r="J339" s="460"/>
      <c r="N339" s="1"/>
      <c r="Q339" s="1"/>
    </row>
    <row r="340">
      <c r="H340" s="460"/>
      <c r="I340" s="460"/>
      <c r="J340" s="460"/>
      <c r="N340" s="1"/>
      <c r="Q340" s="1"/>
    </row>
    <row r="341">
      <c r="H341" s="460"/>
      <c r="I341" s="460"/>
      <c r="J341" s="460"/>
      <c r="N341" s="1"/>
      <c r="Q341" s="1"/>
    </row>
    <row r="342">
      <c r="H342" s="460"/>
      <c r="I342" s="460"/>
      <c r="J342" s="460"/>
      <c r="N342" s="1"/>
      <c r="Q342" s="1"/>
    </row>
    <row r="343">
      <c r="H343" s="460"/>
      <c r="I343" s="460"/>
      <c r="J343" s="460"/>
      <c r="N343" s="1"/>
      <c r="Q343" s="1"/>
    </row>
    <row r="344">
      <c r="H344" s="460"/>
      <c r="I344" s="460"/>
      <c r="J344" s="460"/>
      <c r="N344" s="1"/>
      <c r="Q344" s="1"/>
    </row>
    <row r="345">
      <c r="H345" s="460"/>
      <c r="I345" s="460"/>
      <c r="J345" s="460"/>
      <c r="N345" s="1"/>
      <c r="Q345" s="1"/>
    </row>
    <row r="346">
      <c r="H346" s="460"/>
      <c r="I346" s="460"/>
      <c r="J346" s="460"/>
      <c r="N346" s="1"/>
      <c r="Q346" s="1"/>
    </row>
    <row r="347">
      <c r="H347" s="460"/>
      <c r="I347" s="460"/>
      <c r="J347" s="460"/>
      <c r="N347" s="1"/>
      <c r="Q347" s="1"/>
    </row>
    <row r="348">
      <c r="H348" s="460"/>
      <c r="I348" s="460"/>
      <c r="J348" s="460"/>
      <c r="N348" s="1"/>
      <c r="Q348" s="1"/>
    </row>
    <row r="349">
      <c r="H349" s="460"/>
      <c r="I349" s="460"/>
      <c r="J349" s="460"/>
      <c r="N349" s="1"/>
      <c r="Q349" s="1"/>
    </row>
    <row r="350">
      <c r="H350" s="460"/>
      <c r="I350" s="460"/>
      <c r="J350" s="460"/>
      <c r="N350" s="1"/>
      <c r="Q350" s="1"/>
    </row>
    <row r="351">
      <c r="H351" s="460"/>
      <c r="I351" s="460"/>
      <c r="J351" s="460"/>
      <c r="N351" s="1"/>
      <c r="Q351" s="1"/>
    </row>
    <row r="352">
      <c r="H352" s="460"/>
      <c r="I352" s="460"/>
      <c r="J352" s="460"/>
      <c r="N352" s="1"/>
      <c r="Q352" s="1"/>
    </row>
    <row r="353">
      <c r="H353" s="460"/>
      <c r="I353" s="460"/>
      <c r="J353" s="460"/>
      <c r="N353" s="1"/>
      <c r="Q353" s="1"/>
    </row>
    <row r="354">
      <c r="H354" s="460"/>
      <c r="I354" s="460"/>
      <c r="J354" s="460"/>
      <c r="N354" s="1"/>
      <c r="Q354" s="1"/>
    </row>
    <row r="355">
      <c r="H355" s="460"/>
      <c r="I355" s="460"/>
      <c r="J355" s="460"/>
      <c r="N355" s="1"/>
      <c r="Q355" s="1"/>
    </row>
    <row r="356">
      <c r="H356" s="460"/>
      <c r="I356" s="460"/>
      <c r="J356" s="460"/>
      <c r="N356" s="1"/>
      <c r="Q356" s="1"/>
    </row>
    <row r="357">
      <c r="H357" s="460"/>
      <c r="I357" s="460"/>
      <c r="J357" s="460"/>
      <c r="N357" s="1"/>
      <c r="Q357" s="1"/>
    </row>
    <row r="358">
      <c r="H358" s="460"/>
      <c r="I358" s="460"/>
      <c r="J358" s="460"/>
      <c r="N358" s="1"/>
      <c r="Q358" s="1"/>
    </row>
    <row r="359">
      <c r="H359" s="460"/>
      <c r="I359" s="460"/>
      <c r="J359" s="460"/>
      <c r="N359" s="1"/>
      <c r="Q359" s="1"/>
    </row>
    <row r="360">
      <c r="H360" s="460"/>
      <c r="I360" s="460"/>
      <c r="J360" s="460"/>
      <c r="N360" s="1"/>
      <c r="Q360" s="1"/>
    </row>
    <row r="361">
      <c r="H361" s="460"/>
      <c r="I361" s="460"/>
      <c r="J361" s="460"/>
      <c r="N361" s="1"/>
      <c r="Q361" s="1"/>
    </row>
    <row r="362">
      <c r="H362" s="460"/>
      <c r="I362" s="460"/>
      <c r="J362" s="460"/>
      <c r="N362" s="1"/>
      <c r="Q362" s="1"/>
    </row>
    <row r="363">
      <c r="H363" s="460"/>
      <c r="I363" s="460"/>
      <c r="J363" s="460"/>
      <c r="N363" s="1"/>
      <c r="Q363" s="1"/>
    </row>
    <row r="364">
      <c r="H364" s="460"/>
      <c r="I364" s="460"/>
      <c r="J364" s="460"/>
      <c r="N364" s="1"/>
      <c r="Q364" s="1"/>
    </row>
    <row r="365">
      <c r="H365" s="460"/>
      <c r="I365" s="460"/>
      <c r="J365" s="460"/>
      <c r="N365" s="1"/>
      <c r="Q365" s="1"/>
    </row>
    <row r="366">
      <c r="H366" s="460"/>
      <c r="I366" s="460"/>
      <c r="J366" s="460"/>
      <c r="N366" s="1"/>
      <c r="Q366" s="1"/>
    </row>
    <row r="367">
      <c r="H367" s="460"/>
      <c r="I367" s="460"/>
      <c r="J367" s="460"/>
      <c r="N367" s="1"/>
      <c r="Q367" s="1"/>
    </row>
    <row r="368">
      <c r="H368" s="460"/>
      <c r="I368" s="460"/>
      <c r="J368" s="460"/>
      <c r="N368" s="1"/>
      <c r="Q368" s="1"/>
    </row>
    <row r="369">
      <c r="H369" s="460"/>
      <c r="I369" s="460"/>
      <c r="J369" s="460"/>
      <c r="N369" s="1"/>
      <c r="Q369" s="1"/>
    </row>
    <row r="370">
      <c r="H370" s="460"/>
      <c r="I370" s="460"/>
      <c r="J370" s="460"/>
      <c r="N370" s="1"/>
      <c r="Q370" s="1"/>
    </row>
    <row r="371">
      <c r="H371" s="460"/>
      <c r="I371" s="460"/>
      <c r="J371" s="460"/>
      <c r="N371" s="1"/>
      <c r="Q371" s="1"/>
    </row>
    <row r="372">
      <c r="H372" s="460"/>
      <c r="I372" s="460"/>
      <c r="J372" s="460"/>
      <c r="N372" s="1"/>
      <c r="Q372" s="1"/>
    </row>
    <row r="373">
      <c r="H373" s="460"/>
      <c r="I373" s="460"/>
      <c r="J373" s="460"/>
      <c r="N373" s="1"/>
      <c r="Q373" s="1"/>
    </row>
    <row r="374">
      <c r="H374" s="460"/>
      <c r="I374" s="460"/>
      <c r="J374" s="460"/>
      <c r="N374" s="1"/>
      <c r="Q374" s="1"/>
    </row>
    <row r="375">
      <c r="H375" s="460"/>
      <c r="I375" s="460"/>
      <c r="J375" s="460"/>
      <c r="N375" s="1"/>
      <c r="Q375" s="1"/>
    </row>
    <row r="376">
      <c r="H376" s="460"/>
      <c r="I376" s="460"/>
      <c r="J376" s="460"/>
      <c r="N376" s="1"/>
      <c r="Q376" s="1"/>
    </row>
    <row r="377">
      <c r="H377" s="460"/>
      <c r="I377" s="460"/>
      <c r="J377" s="460"/>
      <c r="N377" s="1"/>
      <c r="Q377" s="1"/>
    </row>
    <row r="378">
      <c r="H378" s="460"/>
      <c r="I378" s="460"/>
      <c r="J378" s="460"/>
      <c r="N378" s="1"/>
      <c r="Q378" s="1"/>
    </row>
    <row r="379">
      <c r="H379" s="460"/>
      <c r="I379" s="460"/>
      <c r="J379" s="460"/>
      <c r="N379" s="1"/>
      <c r="Q379" s="1"/>
    </row>
    <row r="380">
      <c r="H380" s="460"/>
      <c r="I380" s="460"/>
      <c r="J380" s="460"/>
      <c r="N380" s="1"/>
      <c r="Q380" s="1"/>
    </row>
    <row r="381">
      <c r="H381" s="460"/>
      <c r="I381" s="460"/>
      <c r="J381" s="460"/>
      <c r="N381" s="1"/>
      <c r="Q381" s="1"/>
    </row>
    <row r="382">
      <c r="H382" s="460"/>
      <c r="I382" s="460"/>
      <c r="J382" s="460"/>
      <c r="N382" s="1"/>
      <c r="Q382" s="1"/>
    </row>
    <row r="383">
      <c r="H383" s="460"/>
      <c r="I383" s="460"/>
      <c r="J383" s="460"/>
      <c r="N383" s="1"/>
      <c r="Q383" s="1"/>
    </row>
    <row r="384">
      <c r="H384" s="460"/>
      <c r="I384" s="460"/>
      <c r="J384" s="460"/>
      <c r="N384" s="1"/>
      <c r="Q384" s="1"/>
    </row>
    <row r="385">
      <c r="H385" s="460"/>
      <c r="I385" s="460"/>
      <c r="J385" s="460"/>
      <c r="N385" s="1"/>
      <c r="Q385" s="1"/>
    </row>
    <row r="386">
      <c r="H386" s="460"/>
      <c r="I386" s="460"/>
      <c r="J386" s="460"/>
      <c r="N386" s="1"/>
      <c r="Q386" s="1"/>
    </row>
    <row r="387">
      <c r="H387" s="460"/>
      <c r="I387" s="460"/>
      <c r="J387" s="460"/>
      <c r="N387" s="1"/>
      <c r="Q387" s="1"/>
    </row>
    <row r="388">
      <c r="H388" s="460"/>
      <c r="I388" s="460"/>
      <c r="J388" s="460"/>
      <c r="N388" s="1"/>
      <c r="Q388" s="1"/>
    </row>
    <row r="389">
      <c r="H389" s="460"/>
      <c r="I389" s="460"/>
      <c r="J389" s="460"/>
      <c r="N389" s="1"/>
      <c r="Q389" s="1"/>
    </row>
    <row r="390">
      <c r="H390" s="460"/>
      <c r="I390" s="460"/>
      <c r="J390" s="460"/>
      <c r="N390" s="1"/>
      <c r="Q390" s="1"/>
    </row>
    <row r="391">
      <c r="H391" s="460"/>
      <c r="I391" s="460"/>
      <c r="J391" s="460"/>
      <c r="N391" s="1"/>
      <c r="Q391" s="1"/>
    </row>
    <row r="392">
      <c r="H392" s="460"/>
      <c r="I392" s="460"/>
      <c r="J392" s="460"/>
      <c r="N392" s="1"/>
      <c r="Q392" s="1"/>
    </row>
    <row r="393">
      <c r="H393" s="460"/>
      <c r="I393" s="460"/>
      <c r="J393" s="460"/>
      <c r="N393" s="1"/>
      <c r="Q393" s="1"/>
    </row>
    <row r="394">
      <c r="H394" s="460"/>
      <c r="I394" s="460"/>
      <c r="J394" s="460"/>
      <c r="N394" s="1"/>
      <c r="Q394" s="1"/>
    </row>
    <row r="395">
      <c r="H395" s="460"/>
      <c r="I395" s="460"/>
      <c r="J395" s="460"/>
      <c r="N395" s="1"/>
      <c r="Q395" s="1"/>
    </row>
    <row r="396">
      <c r="H396" s="460"/>
      <c r="I396" s="460"/>
      <c r="J396" s="460"/>
      <c r="N396" s="1"/>
      <c r="Q396" s="1"/>
    </row>
    <row r="397">
      <c r="H397" s="460"/>
      <c r="I397" s="460"/>
      <c r="J397" s="460"/>
      <c r="N397" s="1"/>
      <c r="Q397" s="1"/>
    </row>
    <row r="398">
      <c r="H398" s="460"/>
      <c r="I398" s="460"/>
      <c r="J398" s="460"/>
      <c r="N398" s="1"/>
      <c r="Q398" s="1"/>
    </row>
    <row r="399">
      <c r="H399" s="460"/>
      <c r="I399" s="460"/>
      <c r="J399" s="460"/>
      <c r="N399" s="1"/>
      <c r="Q399" s="1"/>
    </row>
    <row r="400">
      <c r="H400" s="460"/>
      <c r="I400" s="460"/>
      <c r="J400" s="460"/>
      <c r="N400" s="1"/>
      <c r="Q400" s="1"/>
    </row>
    <row r="401">
      <c r="H401" s="460"/>
      <c r="I401" s="460"/>
      <c r="J401" s="460"/>
      <c r="N401" s="1"/>
      <c r="Q401" s="1"/>
    </row>
    <row r="402">
      <c r="H402" s="460"/>
      <c r="I402" s="460"/>
      <c r="J402" s="460"/>
      <c r="N402" s="1"/>
      <c r="Q402" s="1"/>
    </row>
    <row r="403">
      <c r="H403" s="460"/>
      <c r="I403" s="460"/>
      <c r="J403" s="460"/>
      <c r="N403" s="1"/>
      <c r="Q403" s="1"/>
    </row>
    <row r="404">
      <c r="H404" s="460"/>
      <c r="I404" s="460"/>
      <c r="J404" s="460"/>
      <c r="N404" s="1"/>
      <c r="Q404" s="1"/>
    </row>
    <row r="405">
      <c r="H405" s="460"/>
      <c r="I405" s="460"/>
      <c r="J405" s="460"/>
      <c r="N405" s="1"/>
      <c r="Q405" s="1"/>
    </row>
    <row r="406">
      <c r="H406" s="460"/>
      <c r="I406" s="460"/>
      <c r="J406" s="460"/>
      <c r="N406" s="1"/>
      <c r="Q406" s="1"/>
    </row>
    <row r="407">
      <c r="H407" s="460"/>
      <c r="I407" s="460"/>
      <c r="J407" s="460"/>
      <c r="N407" s="1"/>
      <c r="Q407" s="1"/>
    </row>
    <row r="408">
      <c r="H408" s="460"/>
      <c r="I408" s="460"/>
      <c r="J408" s="460"/>
      <c r="N408" s="1"/>
      <c r="Q408" s="1"/>
    </row>
    <row r="409">
      <c r="H409" s="460"/>
      <c r="I409" s="460"/>
      <c r="J409" s="460"/>
      <c r="N409" s="1"/>
      <c r="Q409" s="1"/>
    </row>
    <row r="410">
      <c r="H410" s="460"/>
      <c r="I410" s="460"/>
      <c r="J410" s="460"/>
      <c r="N410" s="1"/>
      <c r="Q410" s="1"/>
    </row>
    <row r="411">
      <c r="H411" s="460"/>
      <c r="I411" s="460"/>
      <c r="J411" s="460"/>
      <c r="N411" s="1"/>
      <c r="Q411" s="1"/>
    </row>
    <row r="412">
      <c r="H412" s="460"/>
      <c r="I412" s="460"/>
      <c r="J412" s="460"/>
      <c r="N412" s="1"/>
      <c r="Q412" s="1"/>
    </row>
    <row r="413">
      <c r="H413" s="460"/>
      <c r="I413" s="460"/>
      <c r="J413" s="460"/>
      <c r="N413" s="1"/>
      <c r="Q413" s="1"/>
    </row>
    <row r="414">
      <c r="H414" s="460"/>
      <c r="I414" s="460"/>
      <c r="J414" s="460"/>
      <c r="N414" s="1"/>
      <c r="Q414" s="1"/>
    </row>
    <row r="415">
      <c r="H415" s="460"/>
      <c r="I415" s="460"/>
      <c r="J415" s="460"/>
      <c r="N415" s="1"/>
      <c r="Q415" s="1"/>
    </row>
    <row r="416">
      <c r="H416" s="460"/>
      <c r="I416" s="460"/>
      <c r="J416" s="460"/>
      <c r="N416" s="1"/>
      <c r="Q416" s="1"/>
    </row>
    <row r="417">
      <c r="H417" s="460"/>
      <c r="I417" s="460"/>
      <c r="J417" s="460"/>
      <c r="N417" s="1"/>
      <c r="Q417" s="1"/>
    </row>
    <row r="418">
      <c r="H418" s="460"/>
      <c r="I418" s="460"/>
      <c r="J418" s="460"/>
      <c r="N418" s="1"/>
      <c r="Q418" s="1"/>
    </row>
    <row r="419">
      <c r="H419" s="460"/>
      <c r="I419" s="460"/>
      <c r="J419" s="460"/>
      <c r="N419" s="1"/>
      <c r="Q419" s="1"/>
    </row>
    <row r="420">
      <c r="H420" s="460"/>
      <c r="I420" s="460"/>
      <c r="J420" s="460"/>
      <c r="N420" s="1"/>
      <c r="Q420" s="1"/>
    </row>
    <row r="421">
      <c r="H421" s="460"/>
      <c r="I421" s="460"/>
      <c r="J421" s="460"/>
      <c r="N421" s="1"/>
      <c r="Q421" s="1"/>
    </row>
    <row r="422">
      <c r="H422" s="460"/>
      <c r="I422" s="460"/>
      <c r="J422" s="460"/>
      <c r="N422" s="1"/>
      <c r="Q422" s="1"/>
    </row>
    <row r="423">
      <c r="H423" s="460"/>
      <c r="I423" s="460"/>
      <c r="J423" s="460"/>
      <c r="N423" s="1"/>
      <c r="Q423" s="1"/>
    </row>
    <row r="424">
      <c r="H424" s="460"/>
      <c r="I424" s="460"/>
      <c r="J424" s="460"/>
      <c r="N424" s="1"/>
      <c r="Q424" s="1"/>
    </row>
    <row r="425">
      <c r="H425" s="460"/>
      <c r="I425" s="460"/>
      <c r="J425" s="460"/>
      <c r="N425" s="1"/>
      <c r="Q425" s="1"/>
    </row>
    <row r="426">
      <c r="H426" s="460"/>
      <c r="I426" s="460"/>
      <c r="J426" s="460"/>
      <c r="N426" s="1"/>
      <c r="Q426" s="1"/>
    </row>
    <row r="427">
      <c r="H427" s="460"/>
      <c r="I427" s="460"/>
      <c r="J427" s="460"/>
      <c r="N427" s="1"/>
      <c r="Q427" s="1"/>
    </row>
    <row r="428">
      <c r="H428" s="460"/>
      <c r="I428" s="460"/>
      <c r="J428" s="460"/>
      <c r="N428" s="1"/>
      <c r="Q428" s="1"/>
    </row>
    <row r="429">
      <c r="H429" s="460"/>
      <c r="I429" s="460"/>
      <c r="J429" s="460"/>
      <c r="N429" s="1"/>
      <c r="Q429" s="1"/>
    </row>
    <row r="430">
      <c r="H430" s="460"/>
      <c r="I430" s="460"/>
      <c r="J430" s="460"/>
      <c r="N430" s="1"/>
      <c r="Q430" s="1"/>
    </row>
    <row r="431">
      <c r="H431" s="460"/>
      <c r="I431" s="460"/>
      <c r="J431" s="460"/>
      <c r="N431" s="1"/>
      <c r="Q431" s="1"/>
    </row>
    <row r="432">
      <c r="H432" s="460"/>
      <c r="I432" s="460"/>
      <c r="J432" s="460"/>
      <c r="N432" s="1"/>
      <c r="Q432" s="1"/>
    </row>
    <row r="433">
      <c r="H433" s="460"/>
      <c r="I433" s="460"/>
      <c r="J433" s="460"/>
      <c r="N433" s="1"/>
      <c r="Q433" s="1"/>
    </row>
    <row r="434">
      <c r="H434" s="460"/>
      <c r="I434" s="460"/>
      <c r="J434" s="460"/>
      <c r="N434" s="1"/>
      <c r="Q434" s="1"/>
    </row>
    <row r="435">
      <c r="H435" s="460"/>
      <c r="I435" s="460"/>
      <c r="J435" s="460"/>
      <c r="N435" s="1"/>
      <c r="Q435" s="1"/>
    </row>
    <row r="436">
      <c r="H436" s="460"/>
      <c r="I436" s="460"/>
      <c r="J436" s="460"/>
      <c r="N436" s="1"/>
      <c r="Q436" s="1"/>
    </row>
    <row r="437">
      <c r="H437" s="460"/>
      <c r="I437" s="460"/>
      <c r="J437" s="460"/>
      <c r="N437" s="1"/>
      <c r="Q437" s="1"/>
    </row>
    <row r="438">
      <c r="H438" s="460"/>
      <c r="I438" s="460"/>
      <c r="J438" s="460"/>
      <c r="N438" s="1"/>
      <c r="Q438" s="1"/>
    </row>
    <row r="439">
      <c r="H439" s="460"/>
      <c r="I439" s="460"/>
      <c r="J439" s="460"/>
      <c r="N439" s="1"/>
      <c r="Q439" s="1"/>
    </row>
    <row r="440">
      <c r="H440" s="460"/>
      <c r="I440" s="460"/>
      <c r="J440" s="460"/>
      <c r="N440" s="1"/>
      <c r="Q440" s="1"/>
    </row>
    <row r="441">
      <c r="H441" s="460"/>
      <c r="I441" s="460"/>
      <c r="J441" s="460"/>
      <c r="N441" s="1"/>
      <c r="Q441" s="1"/>
    </row>
    <row r="442">
      <c r="H442" s="460"/>
      <c r="I442" s="460"/>
      <c r="J442" s="460"/>
      <c r="N442" s="1"/>
      <c r="Q442" s="1"/>
    </row>
    <row r="443">
      <c r="H443" s="460"/>
      <c r="I443" s="460"/>
      <c r="J443" s="460"/>
      <c r="N443" s="1"/>
      <c r="Q443" s="1"/>
    </row>
    <row r="444">
      <c r="H444" s="460"/>
      <c r="I444" s="460"/>
      <c r="J444" s="460"/>
      <c r="N444" s="1"/>
      <c r="Q444" s="1"/>
    </row>
    <row r="445">
      <c r="H445" s="460"/>
      <c r="I445" s="460"/>
      <c r="J445" s="460"/>
      <c r="N445" s="1"/>
      <c r="Q445" s="1"/>
    </row>
    <row r="446">
      <c r="H446" s="460"/>
      <c r="I446" s="460"/>
      <c r="J446" s="460"/>
      <c r="N446" s="1"/>
      <c r="Q446" s="1"/>
    </row>
    <row r="447">
      <c r="H447" s="460"/>
      <c r="I447" s="460"/>
      <c r="J447" s="460"/>
      <c r="N447" s="1"/>
      <c r="Q447" s="1"/>
    </row>
    <row r="448">
      <c r="H448" s="460"/>
      <c r="I448" s="460"/>
      <c r="J448" s="460"/>
      <c r="N448" s="1"/>
      <c r="Q448" s="1"/>
    </row>
    <row r="449">
      <c r="H449" s="460"/>
      <c r="I449" s="460"/>
      <c r="J449" s="460"/>
      <c r="N449" s="1"/>
      <c r="Q449" s="1"/>
    </row>
    <row r="450">
      <c r="H450" s="460"/>
      <c r="I450" s="460"/>
      <c r="J450" s="460"/>
      <c r="N450" s="1"/>
      <c r="Q450" s="1"/>
    </row>
    <row r="451">
      <c r="H451" s="460"/>
      <c r="I451" s="460"/>
      <c r="J451" s="460"/>
      <c r="N451" s="1"/>
      <c r="Q451" s="1"/>
    </row>
    <row r="452">
      <c r="H452" s="460"/>
      <c r="I452" s="460"/>
      <c r="J452" s="460"/>
      <c r="N452" s="1"/>
      <c r="Q452" s="1"/>
    </row>
    <row r="453">
      <c r="H453" s="460"/>
      <c r="I453" s="460"/>
      <c r="J453" s="460"/>
      <c r="N453" s="1"/>
      <c r="Q453" s="1"/>
    </row>
    <row r="454">
      <c r="H454" s="460"/>
      <c r="I454" s="460"/>
      <c r="J454" s="460"/>
      <c r="N454" s="1"/>
      <c r="Q454" s="1"/>
    </row>
    <row r="455">
      <c r="H455" s="460"/>
      <c r="I455" s="460"/>
      <c r="J455" s="460"/>
      <c r="N455" s="1"/>
      <c r="Q455" s="1"/>
    </row>
    <row r="456">
      <c r="H456" s="460"/>
      <c r="I456" s="460"/>
      <c r="J456" s="460"/>
      <c r="N456" s="1"/>
      <c r="Q456" s="1"/>
    </row>
    <row r="457">
      <c r="H457" s="460"/>
      <c r="I457" s="460"/>
      <c r="J457" s="460"/>
      <c r="N457" s="1"/>
      <c r="Q457" s="1"/>
    </row>
    <row r="458">
      <c r="H458" s="460"/>
      <c r="I458" s="460"/>
      <c r="J458" s="460"/>
      <c r="N458" s="1"/>
      <c r="Q458" s="1"/>
    </row>
    <row r="459">
      <c r="H459" s="460"/>
      <c r="I459" s="460"/>
      <c r="J459" s="460"/>
      <c r="N459" s="1"/>
      <c r="Q459" s="1"/>
    </row>
    <row r="460">
      <c r="H460" s="460"/>
      <c r="I460" s="460"/>
      <c r="J460" s="460"/>
      <c r="N460" s="1"/>
      <c r="Q460" s="1"/>
    </row>
    <row r="461">
      <c r="H461" s="460"/>
      <c r="I461" s="460"/>
      <c r="J461" s="460"/>
      <c r="N461" s="1"/>
      <c r="Q461" s="1"/>
    </row>
    <row r="462">
      <c r="H462" s="460"/>
      <c r="I462" s="460"/>
      <c r="J462" s="460"/>
      <c r="N462" s="1"/>
      <c r="Q462" s="1"/>
    </row>
    <row r="463">
      <c r="H463" s="460"/>
      <c r="I463" s="460"/>
      <c r="J463" s="460"/>
      <c r="N463" s="1"/>
      <c r="Q463" s="1"/>
    </row>
    <row r="464">
      <c r="H464" s="460"/>
      <c r="I464" s="460"/>
      <c r="J464" s="460"/>
      <c r="N464" s="1"/>
      <c r="Q464" s="1"/>
    </row>
    <row r="465">
      <c r="H465" s="460"/>
      <c r="I465" s="460"/>
      <c r="J465" s="460"/>
      <c r="N465" s="1"/>
      <c r="Q465" s="1"/>
    </row>
    <row r="466">
      <c r="H466" s="460"/>
      <c r="I466" s="460"/>
      <c r="J466" s="460"/>
      <c r="N466" s="1"/>
      <c r="Q466" s="1"/>
    </row>
    <row r="467">
      <c r="H467" s="460"/>
      <c r="I467" s="460"/>
      <c r="J467" s="460"/>
      <c r="N467" s="1"/>
      <c r="Q467" s="1"/>
    </row>
    <row r="468">
      <c r="H468" s="460"/>
      <c r="I468" s="460"/>
      <c r="J468" s="460"/>
      <c r="N468" s="1"/>
      <c r="Q468" s="1"/>
    </row>
    <row r="469">
      <c r="H469" s="460"/>
      <c r="I469" s="460"/>
      <c r="J469" s="460"/>
      <c r="N469" s="1"/>
      <c r="Q469" s="1"/>
    </row>
    <row r="470">
      <c r="H470" s="460"/>
      <c r="I470" s="460"/>
      <c r="J470" s="460"/>
      <c r="N470" s="1"/>
      <c r="Q470" s="1"/>
    </row>
    <row r="471">
      <c r="H471" s="460"/>
      <c r="I471" s="460"/>
      <c r="J471" s="460"/>
      <c r="N471" s="1"/>
      <c r="Q471" s="1"/>
    </row>
    <row r="472">
      <c r="H472" s="460"/>
      <c r="I472" s="460"/>
      <c r="J472" s="460"/>
      <c r="N472" s="1"/>
      <c r="Q472" s="1"/>
    </row>
    <row r="473">
      <c r="H473" s="460"/>
      <c r="I473" s="460"/>
      <c r="J473" s="460"/>
      <c r="N473" s="1"/>
      <c r="Q473" s="1"/>
    </row>
    <row r="474">
      <c r="H474" s="460"/>
      <c r="I474" s="460"/>
      <c r="J474" s="460"/>
      <c r="N474" s="1"/>
      <c r="Q474" s="1"/>
    </row>
    <row r="475">
      <c r="H475" s="460"/>
      <c r="I475" s="460"/>
      <c r="J475" s="460"/>
      <c r="N475" s="1"/>
      <c r="Q475" s="1"/>
    </row>
    <row r="476">
      <c r="H476" s="460"/>
      <c r="I476" s="460"/>
      <c r="J476" s="460"/>
      <c r="N476" s="1"/>
      <c r="Q476" s="1"/>
    </row>
    <row r="477">
      <c r="H477" s="460"/>
      <c r="I477" s="460"/>
      <c r="J477" s="460"/>
      <c r="N477" s="1"/>
      <c r="Q477" s="1"/>
    </row>
    <row r="478">
      <c r="H478" s="460"/>
      <c r="I478" s="460"/>
      <c r="J478" s="460"/>
      <c r="N478" s="1"/>
      <c r="Q478" s="1"/>
    </row>
    <row r="479">
      <c r="H479" s="460"/>
      <c r="I479" s="460"/>
      <c r="J479" s="460"/>
      <c r="N479" s="1"/>
      <c r="Q479" s="1"/>
    </row>
    <row r="480">
      <c r="H480" s="460"/>
      <c r="I480" s="460"/>
      <c r="J480" s="460"/>
      <c r="N480" s="1"/>
      <c r="Q480" s="1"/>
    </row>
    <row r="481">
      <c r="H481" s="460"/>
      <c r="I481" s="460"/>
      <c r="J481" s="460"/>
      <c r="N481" s="1"/>
      <c r="Q481" s="1"/>
    </row>
    <row r="482">
      <c r="H482" s="460"/>
      <c r="I482" s="460"/>
      <c r="J482" s="460"/>
      <c r="N482" s="1"/>
      <c r="Q482" s="1"/>
    </row>
    <row r="483">
      <c r="H483" s="460"/>
      <c r="I483" s="460"/>
      <c r="J483" s="460"/>
      <c r="N483" s="1"/>
      <c r="Q483" s="1"/>
    </row>
    <row r="484">
      <c r="H484" s="460"/>
      <c r="I484" s="460"/>
      <c r="J484" s="460"/>
      <c r="N484" s="1"/>
      <c r="Q484" s="1"/>
    </row>
    <row r="485">
      <c r="H485" s="460"/>
      <c r="I485" s="460"/>
      <c r="J485" s="460"/>
      <c r="N485" s="1"/>
      <c r="Q485" s="1"/>
    </row>
    <row r="486">
      <c r="H486" s="460"/>
      <c r="I486" s="460"/>
      <c r="J486" s="460"/>
      <c r="N486" s="1"/>
      <c r="Q486" s="1"/>
    </row>
    <row r="487">
      <c r="H487" s="460"/>
      <c r="I487" s="460"/>
      <c r="J487" s="460"/>
      <c r="N487" s="1"/>
      <c r="Q487" s="1"/>
    </row>
    <row r="488">
      <c r="H488" s="460"/>
      <c r="I488" s="460"/>
      <c r="J488" s="460"/>
      <c r="N488" s="1"/>
      <c r="Q488" s="1"/>
    </row>
    <row r="489">
      <c r="H489" s="460"/>
      <c r="I489" s="460"/>
      <c r="J489" s="460"/>
      <c r="N489" s="1"/>
      <c r="Q489" s="1"/>
    </row>
    <row r="490">
      <c r="H490" s="460"/>
      <c r="I490" s="460"/>
      <c r="J490" s="460"/>
      <c r="N490" s="1"/>
      <c r="Q490" s="1"/>
    </row>
    <row r="491">
      <c r="H491" s="460"/>
      <c r="I491" s="460"/>
      <c r="J491" s="460"/>
      <c r="N491" s="1"/>
      <c r="Q491" s="1"/>
    </row>
    <row r="492">
      <c r="H492" s="460"/>
      <c r="I492" s="460"/>
      <c r="J492" s="460"/>
      <c r="N492" s="1"/>
      <c r="Q492" s="1"/>
    </row>
    <row r="493">
      <c r="H493" s="460"/>
      <c r="I493" s="460"/>
      <c r="J493" s="460"/>
      <c r="N493" s="1"/>
      <c r="Q493" s="1"/>
    </row>
    <row r="494">
      <c r="H494" s="460"/>
      <c r="I494" s="460"/>
      <c r="J494" s="460"/>
      <c r="N494" s="1"/>
      <c r="Q494" s="1"/>
    </row>
    <row r="495">
      <c r="H495" s="460"/>
      <c r="I495" s="460"/>
      <c r="J495" s="460"/>
      <c r="N495" s="1"/>
      <c r="Q495" s="1"/>
    </row>
    <row r="496">
      <c r="H496" s="460"/>
      <c r="I496" s="460"/>
      <c r="J496" s="460"/>
      <c r="N496" s="1"/>
      <c r="Q496" s="1"/>
    </row>
    <row r="497">
      <c r="H497" s="460"/>
      <c r="I497" s="460"/>
      <c r="J497" s="460"/>
      <c r="N497" s="1"/>
      <c r="Q497" s="1"/>
    </row>
    <row r="498">
      <c r="H498" s="460"/>
      <c r="I498" s="460"/>
      <c r="J498" s="460"/>
      <c r="N498" s="1"/>
      <c r="Q498" s="1"/>
    </row>
    <row r="499">
      <c r="H499" s="460"/>
      <c r="I499" s="460"/>
      <c r="J499" s="460"/>
      <c r="N499" s="1"/>
      <c r="Q499" s="1"/>
    </row>
    <row r="500">
      <c r="H500" s="460"/>
      <c r="I500" s="460"/>
      <c r="J500" s="460"/>
      <c r="N500" s="1"/>
      <c r="Q500" s="1"/>
    </row>
    <row r="501">
      <c r="H501" s="460"/>
      <c r="I501" s="460"/>
      <c r="J501" s="460"/>
      <c r="N501" s="1"/>
      <c r="Q501" s="1"/>
    </row>
    <row r="502">
      <c r="H502" s="460"/>
      <c r="I502" s="460"/>
      <c r="J502" s="460"/>
      <c r="N502" s="1"/>
      <c r="Q502" s="1"/>
    </row>
    <row r="503">
      <c r="H503" s="460"/>
      <c r="I503" s="460"/>
      <c r="J503" s="460"/>
      <c r="N503" s="1"/>
      <c r="Q503" s="1"/>
    </row>
    <row r="504">
      <c r="H504" s="460"/>
      <c r="I504" s="460"/>
      <c r="J504" s="460"/>
      <c r="N504" s="1"/>
      <c r="Q504" s="1"/>
    </row>
    <row r="505">
      <c r="H505" s="460"/>
      <c r="I505" s="460"/>
      <c r="J505" s="460"/>
      <c r="N505" s="1"/>
      <c r="Q505" s="1"/>
    </row>
    <row r="506">
      <c r="H506" s="460"/>
      <c r="I506" s="460"/>
      <c r="J506" s="460"/>
      <c r="N506" s="1"/>
      <c r="Q506" s="1"/>
    </row>
    <row r="507">
      <c r="H507" s="460"/>
      <c r="I507" s="460"/>
      <c r="J507" s="460"/>
      <c r="N507" s="1"/>
      <c r="Q507" s="1"/>
    </row>
    <row r="508">
      <c r="H508" s="460"/>
      <c r="I508" s="460"/>
      <c r="J508" s="460"/>
      <c r="N508" s="1"/>
      <c r="Q508" s="1"/>
    </row>
    <row r="509">
      <c r="H509" s="460"/>
      <c r="I509" s="460"/>
      <c r="J509" s="460"/>
      <c r="N509" s="1"/>
      <c r="Q509" s="1"/>
    </row>
    <row r="510">
      <c r="H510" s="460"/>
      <c r="I510" s="460"/>
      <c r="J510" s="460"/>
      <c r="N510" s="1"/>
      <c r="Q510" s="1"/>
    </row>
    <row r="511">
      <c r="H511" s="460"/>
      <c r="I511" s="460"/>
      <c r="J511" s="460"/>
      <c r="N511" s="1"/>
      <c r="Q511" s="1"/>
    </row>
    <row r="512">
      <c r="H512" s="460"/>
      <c r="I512" s="460"/>
      <c r="J512" s="460"/>
      <c r="N512" s="1"/>
      <c r="Q512" s="1"/>
    </row>
    <row r="513">
      <c r="H513" s="460"/>
      <c r="I513" s="460"/>
      <c r="J513" s="460"/>
      <c r="N513" s="1"/>
      <c r="Q513" s="1"/>
    </row>
    <row r="514">
      <c r="H514" s="460"/>
      <c r="I514" s="460"/>
      <c r="J514" s="460"/>
      <c r="N514" s="1"/>
      <c r="Q514" s="1"/>
    </row>
    <row r="515">
      <c r="H515" s="460"/>
      <c r="I515" s="460"/>
      <c r="J515" s="460"/>
      <c r="N515" s="1"/>
      <c r="Q515" s="1"/>
    </row>
    <row r="516">
      <c r="H516" s="460"/>
      <c r="I516" s="460"/>
      <c r="J516" s="460"/>
      <c r="N516" s="1"/>
      <c r="Q516" s="1"/>
    </row>
    <row r="517">
      <c r="H517" s="460"/>
      <c r="I517" s="460"/>
      <c r="J517" s="460"/>
      <c r="N517" s="1"/>
      <c r="Q517" s="1"/>
    </row>
    <row r="518">
      <c r="H518" s="460"/>
      <c r="I518" s="460"/>
      <c r="J518" s="460"/>
      <c r="N518" s="1"/>
      <c r="Q518" s="1"/>
    </row>
    <row r="519">
      <c r="H519" s="460"/>
      <c r="I519" s="460"/>
      <c r="J519" s="460"/>
      <c r="N519" s="1"/>
      <c r="Q519" s="1"/>
    </row>
    <row r="520">
      <c r="H520" s="460"/>
      <c r="I520" s="460"/>
      <c r="J520" s="460"/>
      <c r="N520" s="1"/>
      <c r="Q520" s="1"/>
    </row>
    <row r="521">
      <c r="H521" s="460"/>
      <c r="I521" s="460"/>
      <c r="J521" s="460"/>
      <c r="N521" s="1"/>
      <c r="Q521" s="1"/>
    </row>
    <row r="522">
      <c r="H522" s="460"/>
      <c r="I522" s="460"/>
      <c r="J522" s="460"/>
      <c r="N522" s="1"/>
      <c r="Q522" s="1"/>
    </row>
    <row r="523">
      <c r="H523" s="460"/>
      <c r="I523" s="460"/>
      <c r="J523" s="460"/>
      <c r="N523" s="1"/>
      <c r="Q523" s="1"/>
    </row>
    <row r="524">
      <c r="H524" s="460"/>
      <c r="I524" s="460"/>
      <c r="J524" s="460"/>
      <c r="N524" s="1"/>
      <c r="Q524" s="1"/>
    </row>
    <row r="525">
      <c r="H525" s="460"/>
      <c r="I525" s="460"/>
      <c r="J525" s="460"/>
      <c r="N525" s="1"/>
      <c r="Q525" s="1"/>
    </row>
    <row r="526">
      <c r="H526" s="460"/>
      <c r="I526" s="460"/>
      <c r="J526" s="460"/>
      <c r="N526" s="1"/>
      <c r="Q526" s="1"/>
    </row>
    <row r="527">
      <c r="H527" s="460"/>
      <c r="I527" s="460"/>
      <c r="J527" s="460"/>
      <c r="N527" s="1"/>
      <c r="Q527" s="1"/>
    </row>
    <row r="528">
      <c r="H528" s="460"/>
      <c r="I528" s="460"/>
      <c r="J528" s="460"/>
      <c r="N528" s="1"/>
      <c r="Q528" s="1"/>
    </row>
    <row r="529">
      <c r="H529" s="460"/>
      <c r="I529" s="460"/>
      <c r="J529" s="460"/>
      <c r="N529" s="1"/>
      <c r="Q529" s="1"/>
    </row>
    <row r="530">
      <c r="H530" s="460"/>
      <c r="I530" s="460"/>
      <c r="J530" s="460"/>
      <c r="N530" s="1"/>
      <c r="Q530" s="1"/>
    </row>
    <row r="531">
      <c r="H531" s="460"/>
      <c r="I531" s="460"/>
      <c r="J531" s="460"/>
      <c r="N531" s="1"/>
      <c r="Q531" s="1"/>
    </row>
    <row r="532">
      <c r="H532" s="460"/>
      <c r="I532" s="460"/>
      <c r="J532" s="460"/>
      <c r="N532" s="1"/>
      <c r="Q532" s="1"/>
    </row>
    <row r="533">
      <c r="H533" s="460"/>
      <c r="I533" s="460"/>
      <c r="J533" s="460"/>
      <c r="N533" s="1"/>
      <c r="Q533" s="1"/>
    </row>
    <row r="534">
      <c r="H534" s="460"/>
      <c r="I534" s="460"/>
      <c r="J534" s="460"/>
      <c r="N534" s="1"/>
      <c r="Q534" s="1"/>
    </row>
    <row r="535">
      <c r="H535" s="460"/>
      <c r="I535" s="460"/>
      <c r="J535" s="460"/>
      <c r="N535" s="1"/>
      <c r="Q535" s="1"/>
    </row>
    <row r="536">
      <c r="H536" s="460"/>
      <c r="I536" s="460"/>
      <c r="J536" s="460"/>
      <c r="N536" s="1"/>
      <c r="Q536" s="1"/>
    </row>
    <row r="537">
      <c r="H537" s="460"/>
      <c r="I537" s="460"/>
      <c r="J537" s="460"/>
      <c r="N537" s="1"/>
      <c r="Q537" s="1"/>
    </row>
    <row r="538">
      <c r="H538" s="460"/>
      <c r="I538" s="460"/>
      <c r="J538" s="460"/>
      <c r="N538" s="1"/>
      <c r="Q538" s="1"/>
    </row>
    <row r="539">
      <c r="H539" s="460"/>
      <c r="I539" s="460"/>
      <c r="J539" s="460"/>
      <c r="N539" s="1"/>
      <c r="Q539" s="1"/>
    </row>
    <row r="540">
      <c r="H540" s="460"/>
      <c r="I540" s="460"/>
      <c r="J540" s="460"/>
      <c r="N540" s="1"/>
      <c r="Q540" s="1"/>
    </row>
    <row r="541">
      <c r="H541" s="460"/>
      <c r="I541" s="460"/>
      <c r="J541" s="460"/>
      <c r="N541" s="1"/>
      <c r="Q541" s="1"/>
    </row>
    <row r="542">
      <c r="H542" s="460"/>
      <c r="I542" s="460"/>
      <c r="J542" s="460"/>
      <c r="N542" s="1"/>
      <c r="Q542" s="1"/>
    </row>
    <row r="543">
      <c r="H543" s="460"/>
      <c r="I543" s="460"/>
      <c r="J543" s="460"/>
      <c r="N543" s="1"/>
      <c r="Q543" s="1"/>
    </row>
    <row r="544">
      <c r="H544" s="460"/>
      <c r="I544" s="460"/>
      <c r="J544" s="460"/>
      <c r="N544" s="1"/>
      <c r="Q544" s="1"/>
    </row>
    <row r="545">
      <c r="H545" s="460"/>
      <c r="I545" s="460"/>
      <c r="J545" s="460"/>
      <c r="N545" s="1"/>
      <c r="Q545" s="1"/>
    </row>
    <row r="546">
      <c r="H546" s="460"/>
      <c r="I546" s="460"/>
      <c r="J546" s="460"/>
      <c r="N546" s="1"/>
      <c r="Q546" s="1"/>
    </row>
    <row r="547">
      <c r="H547" s="460"/>
      <c r="I547" s="460"/>
      <c r="J547" s="460"/>
      <c r="N547" s="1"/>
      <c r="Q547" s="1"/>
    </row>
    <row r="548">
      <c r="H548" s="460"/>
      <c r="I548" s="460"/>
      <c r="J548" s="460"/>
      <c r="N548" s="1"/>
      <c r="Q548" s="1"/>
    </row>
    <row r="549">
      <c r="H549" s="460"/>
      <c r="I549" s="460"/>
      <c r="J549" s="460"/>
      <c r="N549" s="1"/>
      <c r="Q549" s="1"/>
    </row>
    <row r="550">
      <c r="H550" s="460"/>
      <c r="I550" s="460"/>
      <c r="J550" s="460"/>
      <c r="N550" s="1"/>
      <c r="Q550" s="1"/>
    </row>
    <row r="551">
      <c r="H551" s="460"/>
      <c r="I551" s="460"/>
      <c r="J551" s="460"/>
      <c r="N551" s="1"/>
      <c r="Q551" s="1"/>
    </row>
    <row r="552">
      <c r="H552" s="460"/>
      <c r="I552" s="460"/>
      <c r="J552" s="460"/>
      <c r="N552" s="1"/>
      <c r="Q552" s="1"/>
    </row>
    <row r="553">
      <c r="H553" s="460"/>
      <c r="I553" s="460"/>
      <c r="J553" s="460"/>
      <c r="N553" s="1"/>
      <c r="Q553" s="1"/>
    </row>
    <row r="554">
      <c r="H554" s="460"/>
      <c r="I554" s="460"/>
      <c r="J554" s="460"/>
      <c r="N554" s="1"/>
      <c r="Q554" s="1"/>
    </row>
    <row r="555">
      <c r="H555" s="460"/>
      <c r="I555" s="460"/>
      <c r="J555" s="460"/>
      <c r="N555" s="1"/>
      <c r="Q555" s="1"/>
    </row>
    <row r="556">
      <c r="H556" s="460"/>
      <c r="I556" s="460"/>
      <c r="J556" s="460"/>
      <c r="N556" s="1"/>
      <c r="Q556" s="1"/>
    </row>
    <row r="557">
      <c r="H557" s="460"/>
      <c r="I557" s="460"/>
      <c r="J557" s="460"/>
      <c r="N557" s="1"/>
      <c r="Q557" s="1"/>
    </row>
    <row r="558">
      <c r="H558" s="460"/>
      <c r="I558" s="460"/>
      <c r="J558" s="460"/>
      <c r="N558" s="1"/>
      <c r="Q558" s="1"/>
    </row>
    <row r="559">
      <c r="H559" s="460"/>
      <c r="I559" s="460"/>
      <c r="J559" s="460"/>
      <c r="N559" s="1"/>
      <c r="Q559" s="1"/>
    </row>
    <row r="560">
      <c r="H560" s="460"/>
      <c r="I560" s="460"/>
      <c r="J560" s="460"/>
      <c r="N560" s="1"/>
      <c r="Q560" s="1"/>
    </row>
    <row r="561">
      <c r="H561" s="460"/>
      <c r="I561" s="460"/>
      <c r="J561" s="460"/>
      <c r="N561" s="1"/>
      <c r="Q561" s="1"/>
    </row>
    <row r="562">
      <c r="H562" s="460"/>
      <c r="I562" s="460"/>
      <c r="J562" s="460"/>
      <c r="N562" s="1"/>
      <c r="Q562" s="1"/>
    </row>
    <row r="563">
      <c r="H563" s="460"/>
      <c r="I563" s="460"/>
      <c r="J563" s="460"/>
      <c r="N563" s="1"/>
      <c r="Q563" s="1"/>
    </row>
    <row r="564">
      <c r="H564" s="460"/>
      <c r="I564" s="460"/>
      <c r="J564" s="460"/>
      <c r="N564" s="1"/>
      <c r="Q564" s="1"/>
    </row>
    <row r="565">
      <c r="H565" s="460"/>
      <c r="I565" s="460"/>
      <c r="J565" s="460"/>
      <c r="N565" s="1"/>
      <c r="Q565" s="1"/>
    </row>
    <row r="566">
      <c r="H566" s="460"/>
      <c r="I566" s="460"/>
      <c r="J566" s="460"/>
      <c r="N566" s="1"/>
      <c r="Q566" s="1"/>
    </row>
    <row r="567">
      <c r="H567" s="460"/>
      <c r="I567" s="460"/>
      <c r="J567" s="460"/>
      <c r="N567" s="1"/>
      <c r="Q567" s="1"/>
    </row>
    <row r="568">
      <c r="H568" s="460"/>
      <c r="I568" s="460"/>
      <c r="J568" s="460"/>
      <c r="N568" s="1"/>
      <c r="Q568" s="1"/>
    </row>
    <row r="569">
      <c r="H569" s="460"/>
      <c r="I569" s="460"/>
      <c r="J569" s="460"/>
      <c r="N569" s="1"/>
      <c r="Q569" s="1"/>
    </row>
    <row r="570">
      <c r="H570" s="460"/>
      <c r="I570" s="460"/>
      <c r="J570" s="460"/>
      <c r="N570" s="1"/>
      <c r="Q570" s="1"/>
    </row>
    <row r="571">
      <c r="H571" s="460"/>
      <c r="I571" s="460"/>
      <c r="J571" s="460"/>
      <c r="N571" s="1"/>
      <c r="Q571" s="1"/>
    </row>
    <row r="572">
      <c r="H572" s="460"/>
      <c r="I572" s="460"/>
      <c r="J572" s="460"/>
      <c r="N572" s="1"/>
      <c r="Q572" s="1"/>
    </row>
    <row r="573">
      <c r="H573" s="460"/>
      <c r="I573" s="460"/>
      <c r="J573" s="460"/>
      <c r="N573" s="1"/>
      <c r="Q573" s="1"/>
    </row>
    <row r="574">
      <c r="H574" s="460"/>
      <c r="I574" s="460"/>
      <c r="J574" s="460"/>
      <c r="N574" s="1"/>
      <c r="Q574" s="1"/>
    </row>
    <row r="575">
      <c r="H575" s="460"/>
      <c r="I575" s="460"/>
      <c r="J575" s="460"/>
      <c r="N575" s="1"/>
      <c r="Q575" s="1"/>
    </row>
    <row r="576">
      <c r="H576" s="460"/>
      <c r="I576" s="460"/>
      <c r="J576" s="460"/>
      <c r="N576" s="1"/>
      <c r="Q576" s="1"/>
    </row>
    <row r="577">
      <c r="H577" s="460"/>
      <c r="I577" s="460"/>
      <c r="J577" s="460"/>
      <c r="N577" s="1"/>
      <c r="Q577" s="1"/>
    </row>
    <row r="578">
      <c r="H578" s="460"/>
      <c r="I578" s="460"/>
      <c r="J578" s="460"/>
      <c r="N578" s="1"/>
      <c r="Q578" s="1"/>
    </row>
    <row r="579">
      <c r="H579" s="460"/>
      <c r="I579" s="460"/>
      <c r="J579" s="460"/>
      <c r="N579" s="1"/>
      <c r="Q579" s="1"/>
    </row>
    <row r="580">
      <c r="H580" s="460"/>
      <c r="I580" s="460"/>
      <c r="J580" s="460"/>
      <c r="N580" s="1"/>
      <c r="Q580" s="1"/>
    </row>
    <row r="581">
      <c r="H581" s="460"/>
      <c r="I581" s="460"/>
      <c r="J581" s="460"/>
      <c r="N581" s="1"/>
      <c r="Q581" s="1"/>
    </row>
    <row r="582">
      <c r="H582" s="460"/>
      <c r="I582" s="460"/>
      <c r="J582" s="460"/>
      <c r="N582" s="1"/>
      <c r="Q582" s="1"/>
    </row>
    <row r="583">
      <c r="H583" s="460"/>
      <c r="I583" s="460"/>
      <c r="J583" s="460"/>
      <c r="N583" s="1"/>
      <c r="Q583" s="1"/>
    </row>
    <row r="584">
      <c r="H584" s="460"/>
      <c r="I584" s="460"/>
      <c r="J584" s="460"/>
      <c r="N584" s="1"/>
      <c r="Q584" s="1"/>
    </row>
    <row r="585">
      <c r="H585" s="460"/>
      <c r="I585" s="460"/>
      <c r="J585" s="460"/>
      <c r="N585" s="1"/>
      <c r="Q585" s="1"/>
    </row>
    <row r="586">
      <c r="H586" s="460"/>
      <c r="I586" s="460"/>
      <c r="J586" s="460"/>
      <c r="N586" s="1"/>
      <c r="Q586" s="1"/>
    </row>
    <row r="587">
      <c r="H587" s="460"/>
      <c r="I587" s="460"/>
      <c r="J587" s="460"/>
      <c r="N587" s="1"/>
      <c r="Q587" s="1"/>
    </row>
    <row r="588">
      <c r="H588" s="460"/>
      <c r="I588" s="460"/>
      <c r="J588" s="460"/>
      <c r="N588" s="1"/>
      <c r="Q588" s="1"/>
    </row>
    <row r="589">
      <c r="H589" s="460"/>
      <c r="I589" s="460"/>
      <c r="J589" s="460"/>
      <c r="N589" s="1"/>
      <c r="Q589" s="1"/>
    </row>
    <row r="590">
      <c r="H590" s="460"/>
      <c r="I590" s="460"/>
      <c r="J590" s="460"/>
      <c r="N590" s="1"/>
      <c r="Q590" s="1"/>
    </row>
    <row r="591">
      <c r="H591" s="460"/>
      <c r="I591" s="460"/>
      <c r="J591" s="460"/>
      <c r="N591" s="1"/>
      <c r="Q591" s="1"/>
    </row>
    <row r="592">
      <c r="H592" s="460"/>
      <c r="I592" s="460"/>
      <c r="J592" s="460"/>
      <c r="N592" s="1"/>
      <c r="Q592" s="1"/>
    </row>
    <row r="593">
      <c r="H593" s="460"/>
      <c r="I593" s="460"/>
      <c r="J593" s="460"/>
      <c r="N593" s="1"/>
      <c r="Q593" s="1"/>
    </row>
    <row r="594">
      <c r="H594" s="460"/>
      <c r="I594" s="460"/>
      <c r="J594" s="460"/>
      <c r="N594" s="1"/>
      <c r="Q594" s="1"/>
    </row>
    <row r="595">
      <c r="H595" s="460"/>
      <c r="I595" s="460"/>
      <c r="J595" s="460"/>
      <c r="N595" s="1"/>
      <c r="Q595" s="1"/>
    </row>
    <row r="596">
      <c r="H596" s="460"/>
      <c r="I596" s="460"/>
      <c r="J596" s="460"/>
      <c r="N596" s="1"/>
      <c r="Q596" s="1"/>
    </row>
    <row r="597">
      <c r="H597" s="460"/>
      <c r="I597" s="460"/>
      <c r="J597" s="460"/>
      <c r="N597" s="1"/>
      <c r="Q597" s="1"/>
    </row>
    <row r="598">
      <c r="H598" s="460"/>
      <c r="I598" s="460"/>
      <c r="J598" s="460"/>
      <c r="N598" s="1"/>
      <c r="Q598" s="1"/>
    </row>
    <row r="599">
      <c r="H599" s="460"/>
      <c r="I599" s="460"/>
      <c r="J599" s="460"/>
      <c r="N599" s="1"/>
      <c r="Q599" s="1"/>
    </row>
    <row r="600">
      <c r="H600" s="460"/>
      <c r="I600" s="460"/>
      <c r="J600" s="460"/>
      <c r="N600" s="1"/>
      <c r="Q600" s="1"/>
    </row>
    <row r="601">
      <c r="H601" s="460"/>
      <c r="I601" s="460"/>
      <c r="J601" s="460"/>
      <c r="N601" s="1"/>
      <c r="Q601" s="1"/>
    </row>
    <row r="602">
      <c r="H602" s="460"/>
      <c r="I602" s="460"/>
      <c r="J602" s="460"/>
      <c r="N602" s="1"/>
      <c r="Q602" s="1"/>
    </row>
    <row r="603">
      <c r="H603" s="460"/>
      <c r="I603" s="460"/>
      <c r="J603" s="460"/>
      <c r="N603" s="1"/>
      <c r="Q603" s="1"/>
    </row>
    <row r="604">
      <c r="H604" s="460"/>
      <c r="I604" s="460"/>
      <c r="J604" s="460"/>
      <c r="N604" s="1"/>
      <c r="Q604" s="1"/>
    </row>
    <row r="605">
      <c r="H605" s="460"/>
      <c r="I605" s="460"/>
      <c r="J605" s="460"/>
      <c r="N605" s="1"/>
      <c r="Q605" s="1"/>
    </row>
    <row r="606">
      <c r="H606" s="460"/>
      <c r="I606" s="460"/>
      <c r="J606" s="460"/>
      <c r="N606" s="1"/>
      <c r="Q606" s="1"/>
    </row>
    <row r="607">
      <c r="H607" s="460"/>
      <c r="I607" s="460"/>
      <c r="J607" s="460"/>
      <c r="N607" s="1"/>
      <c r="Q607" s="1"/>
    </row>
    <row r="608">
      <c r="H608" s="460"/>
      <c r="I608" s="460"/>
      <c r="J608" s="460"/>
      <c r="N608" s="1"/>
      <c r="Q608" s="1"/>
    </row>
    <row r="609">
      <c r="H609" s="460"/>
      <c r="I609" s="460"/>
      <c r="J609" s="460"/>
      <c r="N609" s="1"/>
      <c r="Q609" s="1"/>
    </row>
    <row r="610">
      <c r="H610" s="460"/>
      <c r="I610" s="460"/>
      <c r="J610" s="460"/>
      <c r="N610" s="1"/>
      <c r="Q610" s="1"/>
    </row>
    <row r="611">
      <c r="H611" s="460"/>
      <c r="I611" s="460"/>
      <c r="J611" s="460"/>
      <c r="N611" s="1"/>
      <c r="Q611" s="1"/>
    </row>
    <row r="612">
      <c r="H612" s="460"/>
      <c r="I612" s="460"/>
      <c r="J612" s="460"/>
      <c r="N612" s="1"/>
      <c r="Q612" s="1"/>
    </row>
    <row r="613">
      <c r="H613" s="460"/>
      <c r="I613" s="460"/>
      <c r="J613" s="460"/>
      <c r="N613" s="1"/>
      <c r="Q613" s="1"/>
    </row>
    <row r="614">
      <c r="H614" s="460"/>
      <c r="I614" s="460"/>
      <c r="J614" s="460"/>
      <c r="N614" s="1"/>
      <c r="Q614" s="1"/>
    </row>
    <row r="615">
      <c r="H615" s="460"/>
      <c r="I615" s="460"/>
      <c r="J615" s="460"/>
      <c r="N615" s="1"/>
      <c r="Q615" s="1"/>
    </row>
    <row r="616">
      <c r="H616" s="460"/>
      <c r="I616" s="460"/>
      <c r="J616" s="460"/>
      <c r="N616" s="1"/>
      <c r="Q616" s="1"/>
    </row>
    <row r="617">
      <c r="H617" s="460"/>
      <c r="I617" s="460"/>
      <c r="J617" s="460"/>
      <c r="N617" s="1"/>
      <c r="Q617" s="1"/>
    </row>
    <row r="618">
      <c r="H618" s="460"/>
      <c r="I618" s="460"/>
      <c r="J618" s="460"/>
      <c r="N618" s="1"/>
      <c r="Q618" s="1"/>
    </row>
    <row r="619">
      <c r="H619" s="460"/>
      <c r="I619" s="460"/>
      <c r="J619" s="460"/>
      <c r="N619" s="1"/>
      <c r="Q619" s="1"/>
    </row>
    <row r="620">
      <c r="H620" s="460"/>
      <c r="I620" s="460"/>
      <c r="J620" s="460"/>
      <c r="N620" s="1"/>
      <c r="Q620" s="1"/>
    </row>
    <row r="621">
      <c r="H621" s="460"/>
      <c r="I621" s="460"/>
      <c r="J621" s="460"/>
      <c r="N621" s="1"/>
      <c r="Q621" s="1"/>
    </row>
    <row r="622">
      <c r="H622" s="460"/>
      <c r="I622" s="460"/>
      <c r="J622" s="460"/>
      <c r="N622" s="1"/>
      <c r="Q622" s="1"/>
    </row>
    <row r="623">
      <c r="H623" s="460"/>
      <c r="I623" s="460"/>
      <c r="J623" s="460"/>
      <c r="N623" s="1"/>
      <c r="Q623" s="1"/>
    </row>
    <row r="624">
      <c r="H624" s="460"/>
      <c r="I624" s="460"/>
      <c r="J624" s="460"/>
      <c r="N624" s="1"/>
      <c r="Q624" s="1"/>
    </row>
    <row r="625">
      <c r="H625" s="460"/>
      <c r="I625" s="460"/>
      <c r="J625" s="460"/>
      <c r="N625" s="1"/>
      <c r="Q625" s="1"/>
    </row>
    <row r="626">
      <c r="H626" s="460"/>
      <c r="I626" s="460"/>
      <c r="J626" s="460"/>
      <c r="N626" s="1"/>
      <c r="Q626" s="1"/>
    </row>
    <row r="627">
      <c r="H627" s="460"/>
      <c r="I627" s="460"/>
      <c r="J627" s="460"/>
      <c r="N627" s="1"/>
      <c r="Q627" s="1"/>
    </row>
    <row r="628">
      <c r="H628" s="460"/>
      <c r="I628" s="460"/>
      <c r="J628" s="460"/>
      <c r="N628" s="1"/>
      <c r="Q628" s="1"/>
    </row>
    <row r="629">
      <c r="H629" s="460"/>
      <c r="I629" s="460"/>
      <c r="J629" s="460"/>
      <c r="N629" s="1"/>
      <c r="Q629" s="1"/>
    </row>
    <row r="630">
      <c r="H630" s="460"/>
      <c r="I630" s="460"/>
      <c r="J630" s="460"/>
      <c r="N630" s="1"/>
      <c r="Q630" s="1"/>
    </row>
    <row r="631">
      <c r="H631" s="460"/>
      <c r="I631" s="460"/>
      <c r="J631" s="460"/>
      <c r="N631" s="1"/>
      <c r="Q631" s="1"/>
    </row>
    <row r="632">
      <c r="H632" s="460"/>
      <c r="I632" s="460"/>
      <c r="J632" s="460"/>
      <c r="N632" s="1"/>
      <c r="Q632" s="1"/>
    </row>
    <row r="633">
      <c r="H633" s="460"/>
      <c r="I633" s="460"/>
      <c r="J633" s="460"/>
      <c r="N633" s="1"/>
      <c r="Q633" s="1"/>
    </row>
    <row r="634">
      <c r="H634" s="460"/>
      <c r="I634" s="460"/>
      <c r="J634" s="460"/>
      <c r="N634" s="1"/>
      <c r="Q634" s="1"/>
    </row>
    <row r="635">
      <c r="H635" s="460"/>
      <c r="I635" s="460"/>
      <c r="J635" s="460"/>
      <c r="N635" s="1"/>
      <c r="Q635" s="1"/>
    </row>
    <row r="636">
      <c r="H636" s="460"/>
      <c r="I636" s="460"/>
      <c r="J636" s="460"/>
      <c r="N636" s="1"/>
      <c r="Q636" s="1"/>
    </row>
    <row r="637">
      <c r="H637" s="460"/>
      <c r="I637" s="460"/>
      <c r="J637" s="460"/>
      <c r="N637" s="1"/>
      <c r="Q637" s="1"/>
    </row>
    <row r="638">
      <c r="H638" s="460"/>
      <c r="I638" s="460"/>
      <c r="J638" s="460"/>
      <c r="N638" s="1"/>
      <c r="Q638" s="1"/>
    </row>
    <row r="639">
      <c r="H639" s="460"/>
      <c r="I639" s="460"/>
      <c r="J639" s="460"/>
      <c r="N639" s="1"/>
      <c r="Q639" s="1"/>
    </row>
    <row r="640">
      <c r="H640" s="460"/>
      <c r="I640" s="460"/>
      <c r="J640" s="460"/>
      <c r="N640" s="1"/>
      <c r="Q640" s="1"/>
    </row>
    <row r="641">
      <c r="H641" s="460"/>
      <c r="I641" s="460"/>
      <c r="J641" s="460"/>
      <c r="N641" s="1"/>
      <c r="Q641" s="1"/>
    </row>
    <row r="642">
      <c r="H642" s="460"/>
      <c r="I642" s="460"/>
      <c r="J642" s="460"/>
      <c r="N642" s="1"/>
      <c r="Q642" s="1"/>
    </row>
    <row r="643">
      <c r="H643" s="460"/>
      <c r="I643" s="460"/>
      <c r="J643" s="460"/>
      <c r="N643" s="1"/>
      <c r="Q643" s="1"/>
    </row>
    <row r="644">
      <c r="H644" s="460"/>
      <c r="I644" s="460"/>
      <c r="J644" s="460"/>
      <c r="N644" s="1"/>
      <c r="Q644" s="1"/>
    </row>
    <row r="645">
      <c r="H645" s="460"/>
      <c r="I645" s="460"/>
      <c r="J645" s="460"/>
      <c r="N645" s="1"/>
      <c r="Q645" s="1"/>
    </row>
    <row r="646">
      <c r="H646" s="460"/>
      <c r="I646" s="460"/>
      <c r="J646" s="460"/>
      <c r="N646" s="1"/>
      <c r="Q646" s="1"/>
    </row>
    <row r="647">
      <c r="H647" s="460"/>
      <c r="I647" s="460"/>
      <c r="J647" s="460"/>
      <c r="N647" s="1"/>
      <c r="Q647" s="1"/>
    </row>
    <row r="648">
      <c r="H648" s="460"/>
      <c r="I648" s="460"/>
      <c r="J648" s="460"/>
      <c r="N648" s="1"/>
      <c r="Q648" s="1"/>
    </row>
    <row r="649">
      <c r="H649" s="460"/>
      <c r="I649" s="460"/>
      <c r="J649" s="460"/>
      <c r="N649" s="1"/>
      <c r="Q649" s="1"/>
    </row>
    <row r="650">
      <c r="H650" s="460"/>
      <c r="I650" s="460"/>
      <c r="J650" s="460"/>
      <c r="N650" s="1"/>
      <c r="Q650" s="1"/>
    </row>
    <row r="651">
      <c r="H651" s="460"/>
      <c r="I651" s="460"/>
      <c r="J651" s="460"/>
      <c r="N651" s="1"/>
      <c r="Q651" s="1"/>
    </row>
    <row r="652">
      <c r="H652" s="460"/>
      <c r="I652" s="460"/>
      <c r="J652" s="460"/>
      <c r="N652" s="1"/>
      <c r="Q652" s="1"/>
    </row>
    <row r="653">
      <c r="H653" s="460"/>
      <c r="I653" s="460"/>
      <c r="J653" s="460"/>
      <c r="N653" s="1"/>
      <c r="Q653" s="1"/>
    </row>
    <row r="654">
      <c r="H654" s="460"/>
      <c r="I654" s="460"/>
      <c r="J654" s="460"/>
      <c r="N654" s="1"/>
      <c r="Q654" s="1"/>
    </row>
    <row r="655">
      <c r="H655" s="460"/>
      <c r="I655" s="460"/>
      <c r="J655" s="460"/>
      <c r="N655" s="1"/>
      <c r="Q655" s="1"/>
    </row>
    <row r="656">
      <c r="H656" s="460"/>
      <c r="I656" s="460"/>
      <c r="J656" s="460"/>
      <c r="N656" s="1"/>
      <c r="Q656" s="1"/>
    </row>
    <row r="657">
      <c r="H657" s="460"/>
      <c r="I657" s="460"/>
      <c r="J657" s="460"/>
      <c r="N657" s="1"/>
      <c r="Q657" s="1"/>
    </row>
    <row r="658">
      <c r="H658" s="460"/>
      <c r="I658" s="460"/>
      <c r="J658" s="460"/>
      <c r="N658" s="1"/>
      <c r="Q658" s="1"/>
    </row>
    <row r="659">
      <c r="H659" s="460"/>
      <c r="I659" s="460"/>
      <c r="J659" s="460"/>
      <c r="N659" s="1"/>
      <c r="Q659" s="1"/>
    </row>
    <row r="660">
      <c r="H660" s="460"/>
      <c r="I660" s="460"/>
      <c r="J660" s="460"/>
      <c r="N660" s="1"/>
      <c r="Q660" s="1"/>
    </row>
    <row r="661">
      <c r="H661" s="460"/>
      <c r="I661" s="460"/>
      <c r="J661" s="460"/>
      <c r="N661" s="1"/>
      <c r="Q661" s="1"/>
    </row>
    <row r="662">
      <c r="H662" s="460"/>
      <c r="I662" s="460"/>
      <c r="J662" s="460"/>
      <c r="N662" s="1"/>
      <c r="Q662" s="1"/>
    </row>
    <row r="663">
      <c r="H663" s="460"/>
      <c r="I663" s="460"/>
      <c r="J663" s="460"/>
      <c r="N663" s="1"/>
      <c r="Q663" s="1"/>
    </row>
    <row r="664">
      <c r="H664" s="460"/>
      <c r="I664" s="460"/>
      <c r="J664" s="460"/>
      <c r="N664" s="1"/>
      <c r="Q664" s="1"/>
    </row>
    <row r="665">
      <c r="H665" s="460"/>
      <c r="I665" s="460"/>
      <c r="J665" s="460"/>
      <c r="N665" s="1"/>
      <c r="Q665" s="1"/>
    </row>
    <row r="666">
      <c r="H666" s="460"/>
      <c r="I666" s="460"/>
      <c r="J666" s="460"/>
      <c r="N666" s="1"/>
      <c r="Q666" s="1"/>
    </row>
    <row r="667">
      <c r="H667" s="460"/>
      <c r="I667" s="460"/>
      <c r="J667" s="460"/>
      <c r="N667" s="1"/>
      <c r="Q667" s="1"/>
    </row>
    <row r="668">
      <c r="H668" s="460"/>
      <c r="I668" s="460"/>
      <c r="J668" s="460"/>
      <c r="N668" s="1"/>
      <c r="Q668" s="1"/>
    </row>
    <row r="669">
      <c r="H669" s="460"/>
      <c r="I669" s="460"/>
      <c r="J669" s="460"/>
      <c r="N669" s="1"/>
      <c r="Q669" s="1"/>
    </row>
    <row r="670">
      <c r="H670" s="460"/>
      <c r="I670" s="460"/>
      <c r="J670" s="460"/>
      <c r="N670" s="1"/>
      <c r="Q670" s="1"/>
    </row>
    <row r="671">
      <c r="H671" s="460"/>
      <c r="I671" s="460"/>
      <c r="J671" s="460"/>
      <c r="N671" s="1"/>
      <c r="Q671" s="1"/>
    </row>
    <row r="672">
      <c r="H672" s="460"/>
      <c r="I672" s="460"/>
      <c r="J672" s="460"/>
      <c r="N672" s="1"/>
      <c r="Q672" s="1"/>
    </row>
    <row r="673">
      <c r="H673" s="460"/>
      <c r="I673" s="460"/>
      <c r="J673" s="460"/>
      <c r="N673" s="1"/>
      <c r="Q673" s="1"/>
    </row>
    <row r="674">
      <c r="H674" s="460"/>
      <c r="I674" s="460"/>
      <c r="J674" s="460"/>
      <c r="N674" s="1"/>
      <c r="Q674" s="1"/>
    </row>
    <row r="675">
      <c r="H675" s="460"/>
      <c r="I675" s="460"/>
      <c r="J675" s="460"/>
      <c r="N675" s="1"/>
      <c r="Q675" s="1"/>
    </row>
    <row r="676">
      <c r="H676" s="460"/>
      <c r="I676" s="460"/>
      <c r="J676" s="460"/>
      <c r="N676" s="1"/>
      <c r="Q676" s="1"/>
    </row>
    <row r="677">
      <c r="H677" s="460"/>
      <c r="I677" s="460"/>
      <c r="J677" s="460"/>
      <c r="N677" s="1"/>
      <c r="Q677" s="1"/>
    </row>
    <row r="678">
      <c r="H678" s="460"/>
      <c r="I678" s="460"/>
      <c r="J678" s="460"/>
      <c r="N678" s="1"/>
      <c r="Q678" s="1"/>
    </row>
    <row r="679">
      <c r="H679" s="460"/>
      <c r="I679" s="460"/>
      <c r="J679" s="460"/>
      <c r="N679" s="1"/>
      <c r="Q679" s="1"/>
    </row>
    <row r="680">
      <c r="H680" s="460"/>
      <c r="I680" s="460"/>
      <c r="J680" s="460"/>
      <c r="N680" s="1"/>
      <c r="Q680" s="1"/>
    </row>
    <row r="681">
      <c r="H681" s="460"/>
      <c r="I681" s="460"/>
      <c r="J681" s="460"/>
      <c r="N681" s="1"/>
      <c r="Q681" s="1"/>
    </row>
    <row r="682">
      <c r="H682" s="460"/>
      <c r="I682" s="460"/>
      <c r="J682" s="460"/>
      <c r="N682" s="1"/>
      <c r="Q682" s="1"/>
    </row>
    <row r="683">
      <c r="H683" s="460"/>
      <c r="I683" s="460"/>
      <c r="J683" s="460"/>
      <c r="N683" s="1"/>
      <c r="Q683" s="1"/>
    </row>
    <row r="684">
      <c r="H684" s="460"/>
      <c r="I684" s="460"/>
      <c r="J684" s="460"/>
      <c r="N684" s="1"/>
      <c r="Q684" s="1"/>
    </row>
    <row r="685">
      <c r="H685" s="460"/>
      <c r="I685" s="460"/>
      <c r="J685" s="460"/>
      <c r="N685" s="1"/>
      <c r="Q685" s="1"/>
    </row>
    <row r="686">
      <c r="H686" s="460"/>
      <c r="I686" s="460"/>
      <c r="J686" s="460"/>
      <c r="N686" s="1"/>
      <c r="Q686" s="1"/>
    </row>
    <row r="687">
      <c r="H687" s="460"/>
      <c r="I687" s="460"/>
      <c r="J687" s="460"/>
      <c r="N687" s="1"/>
      <c r="Q687" s="1"/>
    </row>
    <row r="688">
      <c r="H688" s="460"/>
      <c r="I688" s="460"/>
      <c r="J688" s="460"/>
      <c r="N688" s="1"/>
      <c r="Q688" s="1"/>
    </row>
    <row r="689">
      <c r="H689" s="460"/>
      <c r="I689" s="460"/>
      <c r="J689" s="460"/>
      <c r="N689" s="1"/>
      <c r="Q689" s="1"/>
    </row>
    <row r="690">
      <c r="H690" s="460"/>
      <c r="I690" s="460"/>
      <c r="J690" s="460"/>
      <c r="N690" s="1"/>
      <c r="Q690" s="1"/>
    </row>
    <row r="691">
      <c r="H691" s="460"/>
      <c r="I691" s="460"/>
      <c r="J691" s="460"/>
      <c r="N691" s="1"/>
      <c r="Q691" s="1"/>
    </row>
    <row r="692">
      <c r="H692" s="460"/>
      <c r="I692" s="460"/>
      <c r="J692" s="460"/>
      <c r="N692" s="1"/>
      <c r="Q692" s="1"/>
    </row>
    <row r="693">
      <c r="H693" s="460"/>
      <c r="I693" s="460"/>
      <c r="J693" s="460"/>
      <c r="N693" s="1"/>
      <c r="Q693" s="1"/>
    </row>
    <row r="694">
      <c r="H694" s="460"/>
      <c r="I694" s="460"/>
      <c r="J694" s="460"/>
      <c r="N694" s="1"/>
      <c r="Q694" s="1"/>
    </row>
    <row r="695">
      <c r="H695" s="460"/>
      <c r="I695" s="460"/>
      <c r="J695" s="460"/>
      <c r="N695" s="1"/>
      <c r="Q695" s="1"/>
    </row>
    <row r="696">
      <c r="H696" s="460"/>
      <c r="I696" s="460"/>
      <c r="J696" s="460"/>
      <c r="N696" s="1"/>
      <c r="Q696" s="1"/>
    </row>
    <row r="697">
      <c r="H697" s="460"/>
      <c r="I697" s="460"/>
      <c r="J697" s="460"/>
      <c r="N697" s="1"/>
      <c r="Q697" s="1"/>
    </row>
    <row r="698">
      <c r="H698" s="460"/>
      <c r="I698" s="460"/>
      <c r="J698" s="460"/>
      <c r="N698" s="1"/>
      <c r="Q698" s="1"/>
    </row>
    <row r="699">
      <c r="H699" s="460"/>
      <c r="I699" s="460"/>
      <c r="J699" s="460"/>
      <c r="N699" s="1"/>
      <c r="Q699" s="1"/>
    </row>
    <row r="700">
      <c r="H700" s="460"/>
      <c r="I700" s="460"/>
      <c r="J700" s="460"/>
      <c r="N700" s="1"/>
      <c r="Q700" s="1"/>
    </row>
    <row r="701">
      <c r="H701" s="460"/>
      <c r="I701" s="460"/>
      <c r="J701" s="460"/>
      <c r="N701" s="1"/>
      <c r="Q701" s="1"/>
    </row>
    <row r="702">
      <c r="H702" s="460"/>
      <c r="I702" s="460"/>
      <c r="J702" s="460"/>
      <c r="N702" s="1"/>
      <c r="Q702" s="1"/>
    </row>
    <row r="703">
      <c r="H703" s="460"/>
      <c r="I703" s="460"/>
      <c r="J703" s="460"/>
      <c r="N703" s="1"/>
      <c r="Q703" s="1"/>
    </row>
    <row r="704">
      <c r="H704" s="460"/>
      <c r="I704" s="460"/>
      <c r="J704" s="460"/>
      <c r="N704" s="1"/>
      <c r="Q704" s="1"/>
    </row>
    <row r="705">
      <c r="H705" s="460"/>
      <c r="I705" s="460"/>
      <c r="J705" s="460"/>
      <c r="N705" s="1"/>
      <c r="Q705" s="1"/>
    </row>
    <row r="706">
      <c r="H706" s="460"/>
      <c r="I706" s="460"/>
      <c r="J706" s="460"/>
      <c r="N706" s="1"/>
      <c r="Q706" s="1"/>
    </row>
    <row r="707">
      <c r="H707" s="460"/>
      <c r="I707" s="460"/>
      <c r="J707" s="460"/>
      <c r="N707" s="1"/>
      <c r="Q707" s="1"/>
    </row>
    <row r="708">
      <c r="H708" s="460"/>
      <c r="I708" s="460"/>
      <c r="J708" s="460"/>
      <c r="N708" s="1"/>
      <c r="Q708" s="1"/>
    </row>
    <row r="709">
      <c r="H709" s="460"/>
      <c r="I709" s="460"/>
      <c r="J709" s="460"/>
      <c r="N709" s="1"/>
      <c r="Q709" s="1"/>
    </row>
    <row r="710">
      <c r="H710" s="460"/>
      <c r="I710" s="460"/>
      <c r="J710" s="460"/>
      <c r="N710" s="1"/>
      <c r="Q710" s="1"/>
    </row>
    <row r="711">
      <c r="H711" s="460"/>
      <c r="I711" s="460"/>
      <c r="J711" s="460"/>
      <c r="N711" s="1"/>
      <c r="Q711" s="1"/>
    </row>
    <row r="712">
      <c r="H712" s="460"/>
      <c r="I712" s="460"/>
      <c r="J712" s="460"/>
      <c r="N712" s="1"/>
      <c r="Q712" s="1"/>
    </row>
    <row r="713">
      <c r="H713" s="460"/>
      <c r="I713" s="460"/>
      <c r="J713" s="460"/>
      <c r="N713" s="1"/>
      <c r="Q713" s="1"/>
    </row>
    <row r="714">
      <c r="H714" s="460"/>
      <c r="I714" s="460"/>
      <c r="J714" s="460"/>
      <c r="N714" s="1"/>
      <c r="Q714" s="1"/>
    </row>
    <row r="715">
      <c r="H715" s="460"/>
      <c r="I715" s="460"/>
      <c r="J715" s="460"/>
      <c r="N715" s="1"/>
      <c r="Q715" s="1"/>
    </row>
    <row r="716">
      <c r="H716" s="460"/>
      <c r="I716" s="460"/>
      <c r="J716" s="460"/>
      <c r="N716" s="1"/>
      <c r="Q716" s="1"/>
    </row>
    <row r="717">
      <c r="H717" s="460"/>
      <c r="I717" s="460"/>
      <c r="J717" s="460"/>
      <c r="N717" s="1"/>
      <c r="Q717" s="1"/>
    </row>
    <row r="718">
      <c r="H718" s="460"/>
      <c r="I718" s="460"/>
      <c r="J718" s="460"/>
      <c r="N718" s="1"/>
      <c r="Q718" s="1"/>
    </row>
    <row r="719">
      <c r="H719" s="460"/>
      <c r="I719" s="460"/>
      <c r="J719" s="460"/>
      <c r="N719" s="1"/>
      <c r="Q719" s="1"/>
    </row>
    <row r="720">
      <c r="H720" s="460"/>
      <c r="I720" s="460"/>
      <c r="J720" s="460"/>
      <c r="N720" s="1"/>
      <c r="Q720" s="1"/>
    </row>
    <row r="721">
      <c r="H721" s="460"/>
      <c r="I721" s="460"/>
      <c r="J721" s="460"/>
      <c r="N721" s="1"/>
      <c r="Q721" s="1"/>
    </row>
    <row r="722">
      <c r="H722" s="460"/>
      <c r="I722" s="460"/>
      <c r="J722" s="460"/>
      <c r="N722" s="1"/>
      <c r="Q722" s="1"/>
    </row>
    <row r="723">
      <c r="H723" s="460"/>
      <c r="I723" s="460"/>
      <c r="J723" s="460"/>
      <c r="N723" s="1"/>
      <c r="Q723" s="1"/>
    </row>
    <row r="724">
      <c r="H724" s="460"/>
      <c r="I724" s="460"/>
      <c r="J724" s="460"/>
      <c r="N724" s="1"/>
      <c r="Q724" s="1"/>
    </row>
    <row r="725">
      <c r="H725" s="460"/>
      <c r="I725" s="460"/>
      <c r="J725" s="460"/>
      <c r="N725" s="1"/>
      <c r="Q725" s="1"/>
    </row>
    <row r="726">
      <c r="H726" s="460"/>
      <c r="I726" s="460"/>
      <c r="J726" s="460"/>
      <c r="N726" s="1"/>
      <c r="Q726" s="1"/>
    </row>
    <row r="727">
      <c r="H727" s="460"/>
      <c r="I727" s="460"/>
      <c r="J727" s="460"/>
      <c r="N727" s="1"/>
      <c r="Q727" s="1"/>
    </row>
    <row r="728">
      <c r="H728" s="460"/>
      <c r="I728" s="460"/>
      <c r="J728" s="460"/>
      <c r="N728" s="1"/>
      <c r="Q728" s="1"/>
    </row>
    <row r="729">
      <c r="H729" s="460"/>
      <c r="I729" s="460"/>
      <c r="J729" s="460"/>
      <c r="N729" s="1"/>
      <c r="Q729" s="1"/>
    </row>
    <row r="730">
      <c r="H730" s="460"/>
      <c r="I730" s="460"/>
      <c r="J730" s="460"/>
      <c r="N730" s="1"/>
      <c r="Q730" s="1"/>
    </row>
    <row r="731">
      <c r="H731" s="460"/>
      <c r="I731" s="460"/>
      <c r="J731" s="460"/>
      <c r="N731" s="1"/>
      <c r="Q731" s="1"/>
    </row>
    <row r="732">
      <c r="H732" s="460"/>
      <c r="I732" s="460"/>
      <c r="J732" s="460"/>
      <c r="N732" s="1"/>
      <c r="Q732" s="1"/>
    </row>
    <row r="733">
      <c r="H733" s="460"/>
      <c r="I733" s="460"/>
      <c r="J733" s="460"/>
      <c r="N733" s="1"/>
      <c r="Q733" s="1"/>
    </row>
    <row r="734">
      <c r="H734" s="460"/>
      <c r="I734" s="460"/>
      <c r="J734" s="460"/>
      <c r="N734" s="1"/>
      <c r="Q734" s="1"/>
    </row>
    <row r="735">
      <c r="H735" s="460"/>
      <c r="I735" s="460"/>
      <c r="J735" s="460"/>
      <c r="N735" s="1"/>
      <c r="Q735" s="1"/>
    </row>
    <row r="736">
      <c r="H736" s="460"/>
      <c r="I736" s="460"/>
      <c r="J736" s="460"/>
      <c r="N736" s="1"/>
      <c r="Q736" s="1"/>
    </row>
    <row r="737">
      <c r="H737" s="460"/>
      <c r="I737" s="460"/>
      <c r="J737" s="460"/>
      <c r="N737" s="1"/>
      <c r="Q737" s="1"/>
    </row>
    <row r="738">
      <c r="H738" s="460"/>
      <c r="I738" s="460"/>
      <c r="J738" s="460"/>
      <c r="N738" s="1"/>
      <c r="Q738" s="1"/>
    </row>
    <row r="739">
      <c r="H739" s="460"/>
      <c r="I739" s="460"/>
      <c r="J739" s="460"/>
      <c r="N739" s="1"/>
      <c r="Q739" s="1"/>
    </row>
    <row r="740">
      <c r="H740" s="460"/>
      <c r="I740" s="460"/>
      <c r="J740" s="460"/>
      <c r="N740" s="1"/>
      <c r="Q740" s="1"/>
    </row>
    <row r="741">
      <c r="H741" s="460"/>
      <c r="I741" s="460"/>
      <c r="J741" s="460"/>
      <c r="N741" s="1"/>
      <c r="Q741" s="1"/>
    </row>
    <row r="742">
      <c r="H742" s="460"/>
      <c r="I742" s="460"/>
      <c r="J742" s="460"/>
      <c r="N742" s="1"/>
      <c r="Q742" s="1"/>
    </row>
    <row r="743">
      <c r="H743" s="460"/>
      <c r="I743" s="460"/>
      <c r="J743" s="460"/>
      <c r="N743" s="1"/>
      <c r="Q743" s="1"/>
    </row>
    <row r="744">
      <c r="H744" s="460"/>
      <c r="I744" s="460"/>
      <c r="J744" s="460"/>
      <c r="N744" s="1"/>
      <c r="Q744" s="1"/>
    </row>
    <row r="745">
      <c r="H745" s="460"/>
      <c r="I745" s="460"/>
      <c r="J745" s="460"/>
      <c r="N745" s="1"/>
      <c r="Q745" s="1"/>
    </row>
    <row r="746">
      <c r="H746" s="460"/>
      <c r="I746" s="460"/>
      <c r="J746" s="460"/>
      <c r="N746" s="1"/>
      <c r="Q746" s="1"/>
    </row>
    <row r="747">
      <c r="H747" s="460"/>
      <c r="I747" s="460"/>
      <c r="J747" s="460"/>
      <c r="N747" s="1"/>
      <c r="Q747" s="1"/>
    </row>
    <row r="748">
      <c r="H748" s="460"/>
      <c r="I748" s="460"/>
      <c r="J748" s="460"/>
      <c r="N748" s="1"/>
      <c r="Q748" s="1"/>
    </row>
    <row r="749">
      <c r="H749" s="460"/>
      <c r="I749" s="460"/>
      <c r="J749" s="460"/>
      <c r="N749" s="1"/>
      <c r="Q749" s="1"/>
    </row>
    <row r="750">
      <c r="H750" s="460"/>
      <c r="I750" s="460"/>
      <c r="J750" s="460"/>
      <c r="N750" s="1"/>
      <c r="Q750" s="1"/>
    </row>
    <row r="751">
      <c r="H751" s="460"/>
      <c r="I751" s="460"/>
      <c r="J751" s="460"/>
      <c r="N751" s="1"/>
      <c r="Q751" s="1"/>
    </row>
    <row r="752">
      <c r="H752" s="460"/>
      <c r="I752" s="460"/>
      <c r="J752" s="460"/>
      <c r="N752" s="1"/>
      <c r="Q752" s="1"/>
    </row>
    <row r="753">
      <c r="H753" s="460"/>
      <c r="I753" s="460"/>
      <c r="J753" s="460"/>
      <c r="N753" s="1"/>
      <c r="Q753" s="1"/>
    </row>
    <row r="754">
      <c r="H754" s="460"/>
      <c r="I754" s="460"/>
      <c r="J754" s="460"/>
      <c r="N754" s="1"/>
      <c r="Q754" s="1"/>
    </row>
    <row r="755">
      <c r="H755" s="460"/>
      <c r="I755" s="460"/>
      <c r="J755" s="460"/>
      <c r="N755" s="1"/>
      <c r="Q755" s="1"/>
    </row>
    <row r="756">
      <c r="H756" s="460"/>
      <c r="I756" s="460"/>
      <c r="J756" s="460"/>
      <c r="N756" s="1"/>
      <c r="Q756" s="1"/>
    </row>
    <row r="757">
      <c r="H757" s="460"/>
      <c r="I757" s="460"/>
      <c r="J757" s="460"/>
      <c r="N757" s="1"/>
      <c r="Q757" s="1"/>
    </row>
    <row r="758">
      <c r="H758" s="460"/>
      <c r="I758" s="460"/>
      <c r="J758" s="460"/>
      <c r="N758" s="1"/>
      <c r="Q758" s="1"/>
    </row>
    <row r="759">
      <c r="H759" s="460"/>
      <c r="I759" s="460"/>
      <c r="J759" s="460"/>
      <c r="N759" s="1"/>
      <c r="Q759" s="1"/>
    </row>
    <row r="760">
      <c r="H760" s="460"/>
      <c r="I760" s="460"/>
      <c r="J760" s="460"/>
      <c r="N760" s="1"/>
      <c r="Q760" s="1"/>
    </row>
    <row r="761">
      <c r="H761" s="460"/>
      <c r="I761" s="460"/>
      <c r="J761" s="460"/>
      <c r="N761" s="1"/>
      <c r="Q761" s="1"/>
    </row>
    <row r="762">
      <c r="H762" s="460"/>
      <c r="I762" s="460"/>
      <c r="J762" s="460"/>
      <c r="N762" s="1"/>
      <c r="Q762" s="1"/>
    </row>
    <row r="763">
      <c r="H763" s="460"/>
      <c r="I763" s="460"/>
      <c r="J763" s="460"/>
      <c r="N763" s="1"/>
      <c r="Q763" s="1"/>
    </row>
    <row r="764">
      <c r="H764" s="460"/>
      <c r="I764" s="460"/>
      <c r="J764" s="460"/>
      <c r="N764" s="1"/>
      <c r="Q764" s="1"/>
    </row>
    <row r="765">
      <c r="H765" s="460"/>
      <c r="I765" s="460"/>
      <c r="J765" s="460"/>
      <c r="N765" s="1"/>
      <c r="Q765" s="1"/>
    </row>
    <row r="766">
      <c r="H766" s="460"/>
      <c r="I766" s="460"/>
      <c r="J766" s="460"/>
      <c r="N766" s="1"/>
      <c r="Q766" s="1"/>
    </row>
    <row r="767">
      <c r="H767" s="460"/>
      <c r="I767" s="460"/>
      <c r="J767" s="460"/>
      <c r="N767" s="1"/>
      <c r="Q767" s="1"/>
    </row>
    <row r="768">
      <c r="H768" s="460"/>
      <c r="I768" s="460"/>
      <c r="J768" s="460"/>
      <c r="N768" s="1"/>
      <c r="Q768" s="1"/>
    </row>
    <row r="769">
      <c r="H769" s="460"/>
      <c r="I769" s="460"/>
      <c r="J769" s="460"/>
      <c r="N769" s="1"/>
      <c r="Q769" s="1"/>
    </row>
    <row r="770">
      <c r="H770" s="460"/>
      <c r="I770" s="460"/>
      <c r="J770" s="460"/>
      <c r="N770" s="1"/>
      <c r="Q770" s="1"/>
    </row>
    <row r="771">
      <c r="H771" s="460"/>
      <c r="I771" s="460"/>
      <c r="J771" s="460"/>
      <c r="N771" s="1"/>
      <c r="Q771" s="1"/>
    </row>
    <row r="772">
      <c r="H772" s="460"/>
      <c r="I772" s="460"/>
      <c r="J772" s="460"/>
      <c r="N772" s="1"/>
      <c r="Q772" s="1"/>
    </row>
    <row r="773">
      <c r="H773" s="460"/>
      <c r="I773" s="460"/>
      <c r="J773" s="460"/>
      <c r="N773" s="1"/>
      <c r="Q773" s="1"/>
    </row>
    <row r="774">
      <c r="H774" s="460"/>
      <c r="I774" s="460"/>
      <c r="J774" s="460"/>
      <c r="N774" s="1"/>
      <c r="Q774" s="1"/>
    </row>
    <row r="775">
      <c r="H775" s="460"/>
      <c r="I775" s="460"/>
      <c r="J775" s="460"/>
      <c r="N775" s="1"/>
      <c r="Q775" s="1"/>
    </row>
    <row r="776">
      <c r="H776" s="460"/>
      <c r="I776" s="460"/>
      <c r="J776" s="460"/>
      <c r="N776" s="1"/>
      <c r="Q776" s="1"/>
    </row>
    <row r="777">
      <c r="H777" s="460"/>
      <c r="I777" s="460"/>
      <c r="J777" s="460"/>
      <c r="N777" s="1"/>
      <c r="Q777" s="1"/>
    </row>
    <row r="778">
      <c r="H778" s="460"/>
      <c r="I778" s="460"/>
      <c r="J778" s="460"/>
      <c r="N778" s="1"/>
      <c r="Q778" s="1"/>
    </row>
    <row r="779">
      <c r="H779" s="460"/>
      <c r="I779" s="460"/>
      <c r="J779" s="460"/>
      <c r="N779" s="1"/>
      <c r="Q779" s="1"/>
    </row>
    <row r="780">
      <c r="H780" s="460"/>
      <c r="I780" s="460"/>
      <c r="J780" s="460"/>
      <c r="N780" s="1"/>
      <c r="Q780" s="1"/>
    </row>
    <row r="781">
      <c r="H781" s="460"/>
      <c r="I781" s="460"/>
      <c r="J781" s="460"/>
      <c r="N781" s="1"/>
      <c r="Q781" s="1"/>
    </row>
    <row r="782">
      <c r="H782" s="460"/>
      <c r="I782" s="460"/>
      <c r="J782" s="460"/>
      <c r="N782" s="1"/>
      <c r="Q782" s="1"/>
    </row>
    <row r="783">
      <c r="H783" s="460"/>
      <c r="I783" s="460"/>
      <c r="J783" s="460"/>
      <c r="N783" s="1"/>
      <c r="Q783" s="1"/>
    </row>
    <row r="784">
      <c r="H784" s="460"/>
      <c r="I784" s="460"/>
      <c r="J784" s="460"/>
      <c r="N784" s="1"/>
      <c r="Q784" s="1"/>
    </row>
    <row r="785">
      <c r="H785" s="460"/>
      <c r="I785" s="460"/>
      <c r="J785" s="460"/>
      <c r="N785" s="1"/>
      <c r="Q785" s="1"/>
    </row>
    <row r="786">
      <c r="H786" s="460"/>
      <c r="I786" s="460"/>
      <c r="J786" s="460"/>
      <c r="N786" s="1"/>
      <c r="Q786" s="1"/>
    </row>
    <row r="787">
      <c r="H787" s="460"/>
      <c r="I787" s="460"/>
      <c r="J787" s="460"/>
      <c r="N787" s="1"/>
      <c r="Q787" s="1"/>
    </row>
    <row r="788">
      <c r="H788" s="460"/>
      <c r="I788" s="460"/>
      <c r="J788" s="460"/>
      <c r="N788" s="1"/>
      <c r="Q788" s="1"/>
    </row>
    <row r="789">
      <c r="H789" s="460"/>
      <c r="I789" s="460"/>
      <c r="J789" s="460"/>
      <c r="N789" s="1"/>
      <c r="Q789" s="1"/>
    </row>
    <row r="790">
      <c r="H790" s="460"/>
      <c r="I790" s="460"/>
      <c r="J790" s="460"/>
      <c r="N790" s="1"/>
      <c r="Q790" s="1"/>
    </row>
    <row r="791">
      <c r="H791" s="460"/>
      <c r="I791" s="460"/>
      <c r="J791" s="460"/>
      <c r="N791" s="1"/>
      <c r="Q791" s="1"/>
    </row>
    <row r="792">
      <c r="H792" s="460"/>
      <c r="I792" s="460"/>
      <c r="J792" s="460"/>
      <c r="N792" s="1"/>
      <c r="Q792" s="1"/>
    </row>
    <row r="793">
      <c r="H793" s="460"/>
      <c r="I793" s="460"/>
      <c r="J793" s="460"/>
      <c r="N793" s="1"/>
      <c r="Q793" s="1"/>
    </row>
    <row r="794">
      <c r="H794" s="460"/>
      <c r="I794" s="460"/>
      <c r="J794" s="460"/>
      <c r="N794" s="1"/>
      <c r="Q794" s="1"/>
    </row>
    <row r="795">
      <c r="H795" s="460"/>
      <c r="I795" s="460"/>
      <c r="J795" s="460"/>
      <c r="N795" s="1"/>
      <c r="Q795" s="1"/>
    </row>
    <row r="796">
      <c r="H796" s="460"/>
      <c r="I796" s="460"/>
      <c r="J796" s="460"/>
      <c r="N796" s="1"/>
      <c r="Q796" s="1"/>
    </row>
    <row r="797">
      <c r="H797" s="460"/>
      <c r="I797" s="460"/>
      <c r="J797" s="460"/>
      <c r="N797" s="1"/>
      <c r="Q797" s="1"/>
    </row>
    <row r="798">
      <c r="H798" s="460"/>
      <c r="I798" s="460"/>
      <c r="J798" s="460"/>
      <c r="N798" s="1"/>
      <c r="Q798" s="1"/>
    </row>
    <row r="799">
      <c r="H799" s="460"/>
      <c r="I799" s="460"/>
      <c r="J799" s="460"/>
      <c r="N799" s="1"/>
      <c r="Q799" s="1"/>
    </row>
    <row r="800">
      <c r="H800" s="460"/>
      <c r="I800" s="460"/>
      <c r="J800" s="460"/>
      <c r="N800" s="1"/>
      <c r="Q800" s="1"/>
    </row>
    <row r="801">
      <c r="H801" s="460"/>
      <c r="I801" s="460"/>
      <c r="J801" s="460"/>
      <c r="N801" s="1"/>
      <c r="Q801" s="1"/>
    </row>
    <row r="802">
      <c r="H802" s="460"/>
      <c r="I802" s="460"/>
      <c r="J802" s="460"/>
      <c r="N802" s="1"/>
      <c r="Q802" s="1"/>
    </row>
    <row r="803">
      <c r="H803" s="460"/>
      <c r="I803" s="460"/>
      <c r="J803" s="460"/>
      <c r="N803" s="1"/>
      <c r="Q803" s="1"/>
    </row>
    <row r="804">
      <c r="H804" s="460"/>
      <c r="I804" s="460"/>
      <c r="J804" s="460"/>
      <c r="N804" s="1"/>
      <c r="Q804" s="1"/>
    </row>
    <row r="805">
      <c r="H805" s="460"/>
      <c r="I805" s="460"/>
      <c r="J805" s="460"/>
      <c r="N805" s="1"/>
      <c r="Q805" s="1"/>
    </row>
    <row r="806">
      <c r="H806" s="460"/>
      <c r="I806" s="460"/>
      <c r="J806" s="460"/>
      <c r="N806" s="1"/>
      <c r="Q806" s="1"/>
    </row>
    <row r="807">
      <c r="H807" s="460"/>
      <c r="I807" s="460"/>
      <c r="J807" s="460"/>
      <c r="N807" s="1"/>
      <c r="Q807" s="1"/>
    </row>
    <row r="808">
      <c r="H808" s="460"/>
      <c r="I808" s="460"/>
      <c r="J808" s="460"/>
      <c r="N808" s="1"/>
      <c r="Q808" s="1"/>
    </row>
    <row r="809">
      <c r="H809" s="460"/>
      <c r="I809" s="460"/>
      <c r="J809" s="460"/>
      <c r="N809" s="1"/>
      <c r="Q809" s="1"/>
    </row>
    <row r="810">
      <c r="H810" s="460"/>
      <c r="I810" s="460"/>
      <c r="J810" s="460"/>
      <c r="N810" s="1"/>
      <c r="Q810" s="1"/>
    </row>
    <row r="811">
      <c r="H811" s="460"/>
      <c r="I811" s="460"/>
      <c r="J811" s="460"/>
      <c r="N811" s="1"/>
      <c r="Q811" s="1"/>
    </row>
    <row r="812">
      <c r="H812" s="460"/>
      <c r="I812" s="460"/>
      <c r="J812" s="460"/>
      <c r="N812" s="1"/>
      <c r="Q812" s="1"/>
    </row>
    <row r="813">
      <c r="H813" s="460"/>
      <c r="I813" s="460"/>
      <c r="J813" s="460"/>
      <c r="N813" s="1"/>
      <c r="Q813" s="1"/>
    </row>
    <row r="814">
      <c r="H814" s="460"/>
      <c r="I814" s="460"/>
      <c r="J814" s="460"/>
      <c r="N814" s="1"/>
      <c r="Q814" s="1"/>
    </row>
    <row r="815">
      <c r="H815" s="460"/>
      <c r="I815" s="460"/>
      <c r="J815" s="460"/>
      <c r="N815" s="1"/>
      <c r="Q815" s="1"/>
    </row>
    <row r="816">
      <c r="H816" s="460"/>
      <c r="I816" s="460"/>
      <c r="J816" s="460"/>
      <c r="N816" s="1"/>
      <c r="Q816" s="1"/>
    </row>
    <row r="817">
      <c r="H817" s="460"/>
      <c r="I817" s="460"/>
      <c r="J817" s="460"/>
      <c r="N817" s="1"/>
      <c r="Q817" s="1"/>
    </row>
    <row r="818">
      <c r="H818" s="460"/>
      <c r="I818" s="460"/>
      <c r="J818" s="460"/>
      <c r="N818" s="1"/>
      <c r="Q818" s="1"/>
    </row>
    <row r="819">
      <c r="H819" s="460"/>
      <c r="I819" s="460"/>
      <c r="J819" s="460"/>
      <c r="N819" s="1"/>
      <c r="Q819" s="1"/>
    </row>
    <row r="820">
      <c r="H820" s="460"/>
      <c r="I820" s="460"/>
      <c r="J820" s="460"/>
      <c r="N820" s="1"/>
      <c r="Q820" s="1"/>
    </row>
    <row r="821">
      <c r="H821" s="460"/>
      <c r="I821" s="460"/>
      <c r="J821" s="460"/>
      <c r="N821" s="1"/>
      <c r="Q821" s="1"/>
    </row>
    <row r="822">
      <c r="H822" s="460"/>
      <c r="I822" s="460"/>
      <c r="J822" s="460"/>
      <c r="N822" s="1"/>
      <c r="Q822" s="1"/>
    </row>
    <row r="823">
      <c r="H823" s="460"/>
      <c r="I823" s="460"/>
      <c r="J823" s="460"/>
      <c r="N823" s="1"/>
      <c r="Q823" s="1"/>
    </row>
    <row r="824">
      <c r="H824" s="460"/>
      <c r="I824" s="460"/>
      <c r="J824" s="460"/>
      <c r="N824" s="1"/>
      <c r="Q824" s="1"/>
    </row>
    <row r="825">
      <c r="H825" s="460"/>
      <c r="I825" s="460"/>
      <c r="J825" s="460"/>
      <c r="N825" s="1"/>
      <c r="Q825" s="1"/>
    </row>
    <row r="826">
      <c r="H826" s="460"/>
      <c r="I826" s="460"/>
      <c r="J826" s="460"/>
      <c r="N826" s="1"/>
      <c r="Q826" s="1"/>
    </row>
    <row r="827">
      <c r="H827" s="460"/>
      <c r="I827" s="460"/>
      <c r="J827" s="460"/>
      <c r="N827" s="1"/>
      <c r="Q827" s="1"/>
    </row>
    <row r="828">
      <c r="H828" s="460"/>
      <c r="I828" s="460"/>
      <c r="J828" s="460"/>
      <c r="N828" s="1"/>
      <c r="Q828" s="1"/>
    </row>
    <row r="829">
      <c r="H829" s="460"/>
      <c r="I829" s="460"/>
      <c r="J829" s="460"/>
      <c r="N829" s="1"/>
      <c r="Q829" s="1"/>
    </row>
    <row r="830">
      <c r="H830" s="460"/>
      <c r="I830" s="460"/>
      <c r="J830" s="460"/>
      <c r="N830" s="1"/>
      <c r="Q830" s="1"/>
    </row>
    <row r="831">
      <c r="H831" s="460"/>
      <c r="I831" s="460"/>
      <c r="J831" s="460"/>
      <c r="N831" s="1"/>
      <c r="Q831" s="1"/>
    </row>
    <row r="832">
      <c r="H832" s="460"/>
      <c r="I832" s="460"/>
      <c r="J832" s="460"/>
      <c r="N832" s="1"/>
      <c r="Q832" s="1"/>
    </row>
    <row r="833">
      <c r="H833" s="460"/>
      <c r="I833" s="460"/>
      <c r="J833" s="460"/>
      <c r="N833" s="1"/>
      <c r="Q833" s="1"/>
    </row>
    <row r="834">
      <c r="H834" s="460"/>
      <c r="I834" s="460"/>
      <c r="J834" s="460"/>
      <c r="N834" s="1"/>
      <c r="Q834" s="1"/>
    </row>
    <row r="835">
      <c r="H835" s="460"/>
      <c r="I835" s="460"/>
      <c r="J835" s="460"/>
      <c r="N835" s="1"/>
      <c r="Q835" s="1"/>
    </row>
    <row r="836">
      <c r="H836" s="460"/>
      <c r="I836" s="460"/>
      <c r="J836" s="460"/>
      <c r="N836" s="1"/>
      <c r="Q836" s="1"/>
    </row>
    <row r="837">
      <c r="H837" s="460"/>
      <c r="I837" s="460"/>
      <c r="J837" s="460"/>
      <c r="N837" s="1"/>
      <c r="Q837" s="1"/>
    </row>
    <row r="838">
      <c r="H838" s="460"/>
      <c r="I838" s="460"/>
      <c r="J838" s="460"/>
      <c r="N838" s="1"/>
      <c r="Q838" s="1"/>
    </row>
    <row r="839">
      <c r="H839" s="460"/>
      <c r="I839" s="460"/>
      <c r="J839" s="460"/>
      <c r="N839" s="1"/>
      <c r="Q839" s="1"/>
    </row>
    <row r="840">
      <c r="H840" s="460"/>
      <c r="I840" s="460"/>
      <c r="J840" s="460"/>
      <c r="N840" s="1"/>
      <c r="Q840" s="1"/>
    </row>
    <row r="841">
      <c r="H841" s="460"/>
      <c r="I841" s="460"/>
      <c r="J841" s="460"/>
      <c r="N841" s="1"/>
      <c r="Q841" s="1"/>
    </row>
    <row r="842">
      <c r="H842" s="460"/>
      <c r="I842" s="460"/>
      <c r="J842" s="460"/>
      <c r="N842" s="1"/>
      <c r="Q842" s="1"/>
    </row>
    <row r="843">
      <c r="H843" s="460"/>
      <c r="I843" s="460"/>
      <c r="J843" s="460"/>
      <c r="N843" s="1"/>
      <c r="Q843" s="1"/>
    </row>
    <row r="844">
      <c r="H844" s="460"/>
      <c r="I844" s="460"/>
      <c r="J844" s="460"/>
      <c r="N844" s="1"/>
      <c r="Q844" s="1"/>
    </row>
    <row r="845">
      <c r="H845" s="460"/>
      <c r="I845" s="460"/>
      <c r="J845" s="460"/>
      <c r="N845" s="1"/>
      <c r="Q845" s="1"/>
    </row>
    <row r="846">
      <c r="H846" s="460"/>
      <c r="I846" s="460"/>
      <c r="J846" s="460"/>
      <c r="N846" s="1"/>
      <c r="Q846" s="1"/>
    </row>
    <row r="847">
      <c r="H847" s="460"/>
      <c r="I847" s="460"/>
      <c r="J847" s="460"/>
      <c r="N847" s="1"/>
      <c r="Q847" s="1"/>
    </row>
    <row r="848">
      <c r="H848" s="460"/>
      <c r="I848" s="460"/>
      <c r="J848" s="460"/>
      <c r="N848" s="1"/>
      <c r="Q848" s="1"/>
    </row>
    <row r="849">
      <c r="H849" s="460"/>
      <c r="I849" s="460"/>
      <c r="J849" s="460"/>
      <c r="N849" s="1"/>
      <c r="Q849" s="1"/>
    </row>
    <row r="850">
      <c r="H850" s="460"/>
      <c r="I850" s="460"/>
      <c r="J850" s="460"/>
      <c r="N850" s="1"/>
      <c r="Q850" s="1"/>
    </row>
    <row r="851">
      <c r="H851" s="460"/>
      <c r="I851" s="460"/>
      <c r="J851" s="460"/>
      <c r="N851" s="1"/>
      <c r="Q851" s="1"/>
    </row>
    <row r="852">
      <c r="H852" s="460"/>
      <c r="I852" s="460"/>
      <c r="J852" s="460"/>
      <c r="N852" s="1"/>
      <c r="Q852" s="1"/>
    </row>
    <row r="853">
      <c r="H853" s="460"/>
      <c r="I853" s="460"/>
      <c r="J853" s="460"/>
      <c r="N853" s="1"/>
      <c r="Q853" s="1"/>
    </row>
    <row r="854">
      <c r="H854" s="460"/>
      <c r="I854" s="460"/>
      <c r="J854" s="460"/>
      <c r="N854" s="1"/>
      <c r="Q854" s="1"/>
    </row>
    <row r="855">
      <c r="H855" s="460"/>
      <c r="I855" s="460"/>
      <c r="J855" s="460"/>
      <c r="N855" s="1"/>
      <c r="Q855" s="1"/>
    </row>
    <row r="856">
      <c r="H856" s="460"/>
      <c r="I856" s="460"/>
      <c r="J856" s="460"/>
      <c r="N856" s="1"/>
      <c r="Q856" s="1"/>
    </row>
    <row r="857">
      <c r="H857" s="460"/>
      <c r="I857" s="460"/>
      <c r="J857" s="460"/>
      <c r="N857" s="1"/>
      <c r="Q857" s="1"/>
    </row>
    <row r="858">
      <c r="H858" s="460"/>
      <c r="I858" s="460"/>
      <c r="J858" s="460"/>
      <c r="N858" s="1"/>
      <c r="Q858" s="1"/>
    </row>
    <row r="859">
      <c r="H859" s="460"/>
      <c r="I859" s="460"/>
      <c r="J859" s="460"/>
      <c r="N859" s="1"/>
      <c r="Q859" s="1"/>
    </row>
    <row r="860">
      <c r="H860" s="460"/>
      <c r="I860" s="460"/>
      <c r="J860" s="460"/>
      <c r="N860" s="1"/>
      <c r="Q860" s="1"/>
    </row>
    <row r="861">
      <c r="H861" s="460"/>
      <c r="I861" s="460"/>
      <c r="J861" s="460"/>
      <c r="N861" s="1"/>
      <c r="Q861" s="1"/>
    </row>
    <row r="862">
      <c r="H862" s="460"/>
      <c r="I862" s="460"/>
      <c r="J862" s="460"/>
      <c r="N862" s="1"/>
      <c r="Q862" s="1"/>
    </row>
    <row r="863">
      <c r="H863" s="460"/>
      <c r="I863" s="460"/>
      <c r="J863" s="460"/>
      <c r="N863" s="1"/>
      <c r="Q863" s="1"/>
    </row>
    <row r="864">
      <c r="H864" s="460"/>
      <c r="I864" s="460"/>
      <c r="J864" s="460"/>
      <c r="N864" s="1"/>
      <c r="Q864" s="1"/>
    </row>
    <row r="865">
      <c r="H865" s="460"/>
      <c r="I865" s="460"/>
      <c r="J865" s="460"/>
      <c r="N865" s="1"/>
      <c r="Q865" s="1"/>
    </row>
    <row r="866">
      <c r="H866" s="460"/>
      <c r="I866" s="460"/>
      <c r="J866" s="460"/>
      <c r="N866" s="1"/>
      <c r="Q866" s="1"/>
    </row>
    <row r="867">
      <c r="H867" s="460"/>
      <c r="I867" s="460"/>
      <c r="J867" s="460"/>
      <c r="N867" s="1"/>
      <c r="Q867" s="1"/>
    </row>
    <row r="868">
      <c r="H868" s="460"/>
      <c r="I868" s="460"/>
      <c r="J868" s="460"/>
      <c r="N868" s="1"/>
      <c r="Q868" s="1"/>
    </row>
    <row r="869">
      <c r="H869" s="460"/>
      <c r="I869" s="460"/>
      <c r="J869" s="460"/>
      <c r="N869" s="1"/>
      <c r="Q869" s="1"/>
    </row>
    <row r="870">
      <c r="H870" s="460"/>
      <c r="I870" s="460"/>
      <c r="J870" s="460"/>
      <c r="N870" s="1"/>
      <c r="Q870" s="1"/>
    </row>
    <row r="871">
      <c r="H871" s="460"/>
      <c r="I871" s="460"/>
      <c r="J871" s="460"/>
      <c r="N871" s="1"/>
      <c r="Q871" s="1"/>
    </row>
    <row r="872">
      <c r="H872" s="460"/>
      <c r="I872" s="460"/>
      <c r="J872" s="460"/>
      <c r="N872" s="1"/>
      <c r="Q872" s="1"/>
    </row>
    <row r="873">
      <c r="H873" s="460"/>
      <c r="I873" s="460"/>
      <c r="J873" s="460"/>
      <c r="N873" s="1"/>
      <c r="Q873" s="1"/>
    </row>
    <row r="874">
      <c r="H874" s="460"/>
      <c r="I874" s="460"/>
      <c r="J874" s="460"/>
      <c r="N874" s="1"/>
      <c r="Q874" s="1"/>
    </row>
    <row r="875">
      <c r="H875" s="460"/>
      <c r="I875" s="460"/>
      <c r="J875" s="460"/>
      <c r="N875" s="1"/>
      <c r="Q875" s="1"/>
    </row>
    <row r="876">
      <c r="H876" s="460"/>
      <c r="I876" s="460"/>
      <c r="J876" s="460"/>
      <c r="N876" s="1"/>
      <c r="Q876" s="1"/>
    </row>
    <row r="877">
      <c r="H877" s="460"/>
      <c r="I877" s="460"/>
      <c r="J877" s="460"/>
      <c r="N877" s="1"/>
      <c r="Q877" s="1"/>
    </row>
    <row r="878">
      <c r="H878" s="460"/>
      <c r="I878" s="460"/>
      <c r="J878" s="460"/>
      <c r="N878" s="1"/>
      <c r="Q878" s="1"/>
    </row>
    <row r="879">
      <c r="H879" s="460"/>
      <c r="I879" s="460"/>
      <c r="J879" s="460"/>
      <c r="N879" s="1"/>
      <c r="Q879" s="1"/>
    </row>
    <row r="880">
      <c r="H880" s="460"/>
      <c r="I880" s="460"/>
      <c r="J880" s="460"/>
      <c r="N880" s="1"/>
      <c r="Q880" s="1"/>
    </row>
    <row r="881">
      <c r="H881" s="460"/>
      <c r="I881" s="460"/>
      <c r="J881" s="460"/>
      <c r="N881" s="1"/>
      <c r="Q881" s="1"/>
    </row>
    <row r="882">
      <c r="H882" s="460"/>
      <c r="I882" s="460"/>
      <c r="J882" s="460"/>
      <c r="N882" s="1"/>
      <c r="Q882" s="1"/>
    </row>
    <row r="883">
      <c r="H883" s="460"/>
      <c r="I883" s="460"/>
      <c r="J883" s="460"/>
      <c r="N883" s="1"/>
      <c r="Q883" s="1"/>
    </row>
    <row r="884">
      <c r="H884" s="460"/>
      <c r="I884" s="460"/>
      <c r="J884" s="460"/>
      <c r="N884" s="1"/>
      <c r="Q884" s="1"/>
    </row>
    <row r="885">
      <c r="H885" s="460"/>
      <c r="I885" s="460"/>
      <c r="J885" s="460"/>
      <c r="N885" s="1"/>
      <c r="Q885" s="1"/>
    </row>
    <row r="886">
      <c r="H886" s="460"/>
      <c r="I886" s="460"/>
      <c r="J886" s="460"/>
      <c r="N886" s="1"/>
      <c r="Q886" s="1"/>
    </row>
    <row r="887">
      <c r="H887" s="460"/>
      <c r="I887" s="460"/>
      <c r="J887" s="460"/>
      <c r="N887" s="1"/>
      <c r="Q887" s="1"/>
    </row>
    <row r="888">
      <c r="H888" s="460"/>
      <c r="I888" s="460"/>
      <c r="J888" s="460"/>
      <c r="N888" s="1"/>
      <c r="Q888" s="1"/>
    </row>
    <row r="889">
      <c r="H889" s="460"/>
      <c r="I889" s="460"/>
      <c r="J889" s="460"/>
      <c r="N889" s="1"/>
      <c r="Q889" s="1"/>
    </row>
    <row r="890">
      <c r="H890" s="460"/>
      <c r="I890" s="460"/>
      <c r="J890" s="460"/>
      <c r="N890" s="1"/>
      <c r="Q890" s="1"/>
    </row>
    <row r="891">
      <c r="H891" s="460"/>
      <c r="I891" s="460"/>
      <c r="J891" s="460"/>
      <c r="N891" s="1"/>
      <c r="Q891" s="1"/>
    </row>
    <row r="892">
      <c r="H892" s="460"/>
      <c r="I892" s="460"/>
      <c r="J892" s="460"/>
      <c r="N892" s="1"/>
      <c r="Q892" s="1"/>
    </row>
    <row r="893">
      <c r="H893" s="460"/>
      <c r="I893" s="460"/>
      <c r="J893" s="460"/>
      <c r="N893" s="1"/>
      <c r="Q893" s="1"/>
    </row>
    <row r="894">
      <c r="H894" s="460"/>
      <c r="I894" s="460"/>
      <c r="J894" s="460"/>
      <c r="N894" s="1"/>
      <c r="Q894" s="1"/>
    </row>
    <row r="895">
      <c r="H895" s="460"/>
      <c r="I895" s="460"/>
      <c r="J895" s="460"/>
      <c r="N895" s="1"/>
      <c r="Q895" s="1"/>
    </row>
    <row r="896">
      <c r="H896" s="460"/>
      <c r="I896" s="460"/>
      <c r="J896" s="460"/>
      <c r="N896" s="1"/>
      <c r="Q896" s="1"/>
    </row>
    <row r="897">
      <c r="H897" s="460"/>
      <c r="I897" s="460"/>
      <c r="J897" s="460"/>
      <c r="N897" s="1"/>
      <c r="Q897" s="1"/>
    </row>
    <row r="898">
      <c r="H898" s="460"/>
      <c r="I898" s="460"/>
      <c r="J898" s="460"/>
      <c r="N898" s="1"/>
      <c r="Q898" s="1"/>
    </row>
    <row r="899">
      <c r="H899" s="460"/>
      <c r="I899" s="460"/>
      <c r="J899" s="460"/>
      <c r="N899" s="1"/>
      <c r="Q899" s="1"/>
    </row>
    <row r="900">
      <c r="H900" s="460"/>
      <c r="I900" s="460"/>
      <c r="J900" s="460"/>
      <c r="N900" s="1"/>
      <c r="Q900" s="1"/>
    </row>
    <row r="901">
      <c r="H901" s="460"/>
      <c r="I901" s="460"/>
      <c r="J901" s="460"/>
      <c r="N901" s="1"/>
      <c r="Q901" s="1"/>
    </row>
    <row r="902">
      <c r="H902" s="460"/>
      <c r="I902" s="460"/>
      <c r="J902" s="460"/>
      <c r="N902" s="1"/>
      <c r="Q902" s="1"/>
    </row>
    <row r="903">
      <c r="H903" s="460"/>
      <c r="I903" s="460"/>
      <c r="J903" s="460"/>
      <c r="N903" s="1"/>
      <c r="Q903" s="1"/>
    </row>
    <row r="904">
      <c r="H904" s="460"/>
      <c r="I904" s="460"/>
      <c r="J904" s="460"/>
      <c r="N904" s="1"/>
      <c r="Q904" s="1"/>
    </row>
    <row r="905">
      <c r="H905" s="460"/>
      <c r="I905" s="460"/>
      <c r="J905" s="460"/>
      <c r="N905" s="1"/>
      <c r="Q905" s="1"/>
    </row>
    <row r="906">
      <c r="H906" s="460"/>
      <c r="I906" s="460"/>
      <c r="J906" s="460"/>
      <c r="N906" s="1"/>
      <c r="Q906" s="1"/>
    </row>
    <row r="907">
      <c r="H907" s="460"/>
      <c r="I907" s="460"/>
      <c r="J907" s="460"/>
      <c r="N907" s="1"/>
      <c r="Q907" s="1"/>
    </row>
    <row r="908">
      <c r="H908" s="460"/>
      <c r="I908" s="460"/>
      <c r="J908" s="460"/>
      <c r="N908" s="1"/>
      <c r="Q908" s="1"/>
    </row>
    <row r="909">
      <c r="H909" s="460"/>
      <c r="I909" s="460"/>
      <c r="J909" s="460"/>
      <c r="N909" s="1"/>
      <c r="Q909" s="1"/>
    </row>
    <row r="910">
      <c r="H910" s="460"/>
      <c r="I910" s="460"/>
      <c r="J910" s="460"/>
      <c r="N910" s="1"/>
      <c r="Q910" s="1"/>
    </row>
    <row r="911">
      <c r="H911" s="460"/>
      <c r="I911" s="460"/>
      <c r="J911" s="460"/>
      <c r="N911" s="1"/>
      <c r="Q911" s="1"/>
    </row>
    <row r="912">
      <c r="H912" s="460"/>
      <c r="I912" s="460"/>
      <c r="J912" s="460"/>
      <c r="N912" s="1"/>
      <c r="Q912" s="1"/>
    </row>
    <row r="913">
      <c r="H913" s="460"/>
      <c r="I913" s="460"/>
      <c r="J913" s="460"/>
      <c r="N913" s="1"/>
      <c r="Q913" s="1"/>
    </row>
    <row r="914">
      <c r="H914" s="460"/>
      <c r="I914" s="460"/>
      <c r="J914" s="460"/>
      <c r="N914" s="1"/>
      <c r="Q914" s="1"/>
    </row>
    <row r="915">
      <c r="H915" s="460"/>
      <c r="I915" s="460"/>
      <c r="J915" s="460"/>
      <c r="N915" s="1"/>
      <c r="Q915" s="1"/>
    </row>
    <row r="916">
      <c r="H916" s="460"/>
      <c r="I916" s="460"/>
      <c r="J916" s="460"/>
      <c r="N916" s="1"/>
      <c r="Q916" s="1"/>
    </row>
    <row r="917">
      <c r="H917" s="460"/>
      <c r="I917" s="460"/>
      <c r="J917" s="460"/>
      <c r="N917" s="1"/>
      <c r="Q917" s="1"/>
    </row>
    <row r="918">
      <c r="H918" s="460"/>
      <c r="I918" s="460"/>
      <c r="J918" s="460"/>
      <c r="N918" s="1"/>
      <c r="Q918" s="1"/>
    </row>
    <row r="919">
      <c r="H919" s="460"/>
      <c r="I919" s="460"/>
      <c r="J919" s="460"/>
      <c r="N919" s="1"/>
      <c r="Q919" s="1"/>
    </row>
    <row r="920">
      <c r="H920" s="460"/>
      <c r="I920" s="460"/>
      <c r="J920" s="460"/>
      <c r="N920" s="1"/>
      <c r="Q920" s="1"/>
    </row>
    <row r="921">
      <c r="H921" s="460"/>
      <c r="I921" s="460"/>
      <c r="J921" s="460"/>
      <c r="N921" s="1"/>
      <c r="Q921" s="1"/>
    </row>
    <row r="922">
      <c r="H922" s="460"/>
      <c r="I922" s="460"/>
      <c r="J922" s="460"/>
      <c r="N922" s="1"/>
      <c r="Q922" s="1"/>
    </row>
    <row r="923">
      <c r="H923" s="460"/>
      <c r="I923" s="460"/>
      <c r="J923" s="460"/>
      <c r="N923" s="1"/>
      <c r="Q923" s="1"/>
    </row>
    <row r="924">
      <c r="H924" s="460"/>
      <c r="I924" s="460"/>
      <c r="J924" s="460"/>
      <c r="N924" s="1"/>
      <c r="Q924" s="1"/>
    </row>
    <row r="925">
      <c r="H925" s="460"/>
      <c r="I925" s="460"/>
      <c r="J925" s="460"/>
      <c r="N925" s="1"/>
      <c r="Q925" s="1"/>
    </row>
    <row r="926">
      <c r="H926" s="460"/>
      <c r="I926" s="460"/>
      <c r="J926" s="460"/>
      <c r="N926" s="1"/>
      <c r="Q926" s="1"/>
    </row>
    <row r="927">
      <c r="H927" s="460"/>
      <c r="I927" s="460"/>
      <c r="J927" s="460"/>
      <c r="N927" s="1"/>
      <c r="Q927" s="1"/>
    </row>
    <row r="928">
      <c r="H928" s="460"/>
      <c r="I928" s="460"/>
      <c r="J928" s="460"/>
      <c r="N928" s="1"/>
      <c r="Q928" s="1"/>
    </row>
    <row r="929">
      <c r="H929" s="460"/>
      <c r="I929" s="460"/>
      <c r="J929" s="460"/>
      <c r="N929" s="1"/>
      <c r="Q929" s="1"/>
    </row>
    <row r="930">
      <c r="H930" s="460"/>
      <c r="I930" s="460"/>
      <c r="J930" s="460"/>
      <c r="N930" s="1"/>
      <c r="Q930" s="1"/>
    </row>
    <row r="931">
      <c r="H931" s="460"/>
      <c r="I931" s="460"/>
      <c r="J931" s="460"/>
      <c r="N931" s="1"/>
      <c r="Q931" s="1"/>
    </row>
    <row r="932">
      <c r="H932" s="460"/>
      <c r="I932" s="460"/>
      <c r="J932" s="460"/>
      <c r="N932" s="1"/>
      <c r="Q932" s="1"/>
    </row>
    <row r="933">
      <c r="H933" s="460"/>
      <c r="I933" s="460"/>
      <c r="J933" s="460"/>
      <c r="N933" s="1"/>
      <c r="Q933" s="1"/>
    </row>
    <row r="934">
      <c r="H934" s="460"/>
      <c r="I934" s="460"/>
      <c r="J934" s="460"/>
      <c r="N934" s="1"/>
      <c r="Q934" s="1"/>
    </row>
    <row r="935">
      <c r="H935" s="460"/>
      <c r="I935" s="460"/>
      <c r="J935" s="460"/>
      <c r="N935" s="1"/>
      <c r="Q935" s="1"/>
    </row>
    <row r="936">
      <c r="H936" s="460"/>
      <c r="I936" s="460"/>
      <c r="J936" s="460"/>
      <c r="N936" s="1"/>
      <c r="Q936" s="1"/>
    </row>
    <row r="937">
      <c r="H937" s="460"/>
      <c r="I937" s="460"/>
      <c r="J937" s="460"/>
      <c r="N937" s="1"/>
      <c r="Q937" s="1"/>
    </row>
    <row r="938">
      <c r="H938" s="460"/>
      <c r="I938" s="460"/>
      <c r="J938" s="460"/>
      <c r="N938" s="1"/>
      <c r="Q938" s="1"/>
    </row>
    <row r="939">
      <c r="H939" s="460"/>
      <c r="I939" s="460"/>
      <c r="J939" s="460"/>
      <c r="N939" s="1"/>
      <c r="Q939" s="1"/>
    </row>
    <row r="940">
      <c r="H940" s="460"/>
      <c r="I940" s="460"/>
      <c r="J940" s="460"/>
      <c r="N940" s="1"/>
      <c r="Q940" s="1"/>
    </row>
    <row r="941">
      <c r="H941" s="460"/>
      <c r="I941" s="460"/>
      <c r="J941" s="460"/>
      <c r="N941" s="1"/>
      <c r="Q941" s="1"/>
    </row>
    <row r="942">
      <c r="H942" s="460"/>
      <c r="I942" s="460"/>
      <c r="J942" s="460"/>
      <c r="N942" s="1"/>
      <c r="Q942" s="1"/>
    </row>
    <row r="943">
      <c r="H943" s="460"/>
      <c r="I943" s="460"/>
      <c r="J943" s="460"/>
      <c r="N943" s="1"/>
      <c r="Q943" s="1"/>
    </row>
    <row r="944">
      <c r="H944" s="460"/>
      <c r="I944" s="460"/>
      <c r="J944" s="460"/>
      <c r="N944" s="1"/>
      <c r="Q944" s="1"/>
    </row>
    <row r="945">
      <c r="H945" s="460"/>
      <c r="I945" s="460"/>
      <c r="J945" s="460"/>
      <c r="N945" s="1"/>
      <c r="Q945" s="1"/>
    </row>
    <row r="946">
      <c r="H946" s="460"/>
      <c r="I946" s="460"/>
      <c r="J946" s="460"/>
      <c r="N946" s="1"/>
      <c r="Q946" s="1"/>
    </row>
    <row r="947">
      <c r="H947" s="460"/>
      <c r="I947" s="460"/>
      <c r="J947" s="460"/>
      <c r="N947" s="1"/>
      <c r="Q947" s="1"/>
    </row>
    <row r="948">
      <c r="H948" s="460"/>
      <c r="I948" s="460"/>
      <c r="J948" s="460"/>
      <c r="N948" s="1"/>
      <c r="Q948" s="1"/>
    </row>
    <row r="949">
      <c r="H949" s="460"/>
      <c r="I949" s="460"/>
      <c r="J949" s="460"/>
      <c r="N949" s="1"/>
      <c r="Q949" s="1"/>
    </row>
    <row r="950">
      <c r="H950" s="460"/>
      <c r="I950" s="460"/>
      <c r="J950" s="460"/>
      <c r="N950" s="1"/>
      <c r="Q950" s="1"/>
    </row>
    <row r="951">
      <c r="H951" s="460"/>
      <c r="I951" s="460"/>
      <c r="J951" s="460"/>
      <c r="N951" s="1"/>
      <c r="Q951" s="1"/>
    </row>
    <row r="952">
      <c r="H952" s="460"/>
      <c r="I952" s="460"/>
      <c r="J952" s="460"/>
      <c r="N952" s="1"/>
      <c r="Q952" s="1"/>
    </row>
    <row r="953">
      <c r="H953" s="460"/>
      <c r="I953" s="460"/>
      <c r="J953" s="460"/>
      <c r="N953" s="1"/>
      <c r="Q953" s="1"/>
    </row>
    <row r="954">
      <c r="H954" s="460"/>
      <c r="I954" s="460"/>
      <c r="J954" s="460"/>
      <c r="N954" s="1"/>
      <c r="Q954" s="1"/>
    </row>
    <row r="955">
      <c r="H955" s="460"/>
      <c r="I955" s="460"/>
      <c r="J955" s="460"/>
      <c r="N955" s="1"/>
      <c r="Q955" s="1"/>
    </row>
    <row r="956">
      <c r="H956" s="460"/>
      <c r="I956" s="460"/>
      <c r="J956" s="460"/>
      <c r="N956" s="1"/>
      <c r="Q956" s="1"/>
    </row>
    <row r="957">
      <c r="H957" s="460"/>
      <c r="I957" s="460"/>
      <c r="J957" s="460"/>
      <c r="N957" s="1"/>
      <c r="Q957" s="1"/>
    </row>
    <row r="958">
      <c r="H958" s="460"/>
      <c r="I958" s="460"/>
      <c r="J958" s="460"/>
      <c r="N958" s="1"/>
      <c r="Q958" s="1"/>
    </row>
    <row r="959">
      <c r="H959" s="460"/>
      <c r="I959" s="460"/>
      <c r="J959" s="460"/>
      <c r="N959" s="1"/>
      <c r="Q959" s="1"/>
    </row>
    <row r="960">
      <c r="H960" s="460"/>
      <c r="I960" s="460"/>
      <c r="J960" s="460"/>
      <c r="N960" s="1"/>
      <c r="Q960" s="1"/>
    </row>
    <row r="961">
      <c r="H961" s="460"/>
      <c r="I961" s="460"/>
      <c r="J961" s="460"/>
      <c r="N961" s="1"/>
      <c r="Q961" s="1"/>
    </row>
    <row r="962">
      <c r="H962" s="460"/>
      <c r="I962" s="460"/>
      <c r="J962" s="460"/>
      <c r="N962" s="1"/>
      <c r="Q962" s="1"/>
    </row>
    <row r="963">
      <c r="H963" s="460"/>
      <c r="I963" s="460"/>
      <c r="J963" s="460"/>
      <c r="N963" s="1"/>
      <c r="Q963" s="1"/>
    </row>
    <row r="964">
      <c r="H964" s="460"/>
      <c r="I964" s="460"/>
      <c r="J964" s="460"/>
      <c r="N964" s="1"/>
      <c r="Q964" s="1"/>
    </row>
    <row r="965">
      <c r="H965" s="460"/>
      <c r="I965" s="460"/>
      <c r="J965" s="460"/>
      <c r="N965" s="1"/>
      <c r="Q965" s="1"/>
    </row>
    <row r="966">
      <c r="H966" s="460"/>
      <c r="I966" s="460"/>
      <c r="J966" s="460"/>
      <c r="N966" s="1"/>
      <c r="Q966" s="1"/>
    </row>
    <row r="967">
      <c r="H967" s="460"/>
      <c r="I967" s="460"/>
      <c r="J967" s="460"/>
      <c r="N967" s="1"/>
      <c r="Q967" s="1"/>
    </row>
    <row r="968">
      <c r="H968" s="460"/>
      <c r="I968" s="460"/>
      <c r="J968" s="460"/>
      <c r="N968" s="1"/>
      <c r="Q968" s="1"/>
    </row>
    <row r="969">
      <c r="H969" s="460"/>
      <c r="I969" s="460"/>
      <c r="J969" s="460"/>
      <c r="N969" s="1"/>
      <c r="Q969" s="1"/>
    </row>
    <row r="970">
      <c r="H970" s="460"/>
      <c r="I970" s="460"/>
      <c r="J970" s="460"/>
      <c r="N970" s="1"/>
      <c r="Q970" s="1"/>
    </row>
    <row r="971">
      <c r="H971" s="460"/>
      <c r="I971" s="460"/>
      <c r="J971" s="460"/>
      <c r="N971" s="1"/>
      <c r="Q971" s="1"/>
    </row>
    <row r="972">
      <c r="H972" s="460"/>
      <c r="I972" s="460"/>
      <c r="J972" s="460"/>
      <c r="N972" s="1"/>
      <c r="Q972" s="1"/>
    </row>
    <row r="973">
      <c r="H973" s="460"/>
      <c r="I973" s="460"/>
      <c r="J973" s="460"/>
      <c r="N973" s="1"/>
      <c r="Q973" s="1"/>
    </row>
    <row r="974">
      <c r="H974" s="460"/>
      <c r="I974" s="460"/>
      <c r="J974" s="460"/>
      <c r="N974" s="1"/>
      <c r="Q974" s="1"/>
    </row>
    <row r="975">
      <c r="H975" s="460"/>
      <c r="I975" s="460"/>
      <c r="J975" s="460"/>
      <c r="N975" s="1"/>
      <c r="Q975" s="1"/>
    </row>
    <row r="976">
      <c r="H976" s="460"/>
      <c r="I976" s="460"/>
      <c r="J976" s="460"/>
      <c r="N976" s="1"/>
      <c r="Q976" s="1"/>
    </row>
    <row r="977">
      <c r="H977" s="460"/>
      <c r="I977" s="460"/>
      <c r="J977" s="460"/>
      <c r="N977" s="1"/>
      <c r="Q977" s="1"/>
    </row>
    <row r="978">
      <c r="H978" s="460"/>
      <c r="I978" s="460"/>
      <c r="J978" s="460"/>
      <c r="N978" s="1"/>
      <c r="Q978" s="1"/>
    </row>
    <row r="979">
      <c r="H979" s="460"/>
      <c r="I979" s="460"/>
      <c r="J979" s="460"/>
      <c r="N979" s="1"/>
      <c r="Q979" s="1"/>
    </row>
    <row r="980">
      <c r="H980" s="460"/>
      <c r="I980" s="460"/>
      <c r="J980" s="460"/>
      <c r="N980" s="1"/>
      <c r="Q980" s="1"/>
    </row>
    <row r="981">
      <c r="H981" s="460"/>
      <c r="I981" s="460"/>
      <c r="J981" s="460"/>
      <c r="N981" s="1"/>
      <c r="Q981" s="1"/>
    </row>
    <row r="982">
      <c r="H982" s="460"/>
      <c r="I982" s="460"/>
      <c r="J982" s="460"/>
      <c r="N982" s="1"/>
      <c r="Q982" s="1"/>
    </row>
    <row r="983">
      <c r="H983" s="460"/>
      <c r="I983" s="460"/>
      <c r="J983" s="460"/>
      <c r="N983" s="1"/>
      <c r="Q983" s="1"/>
    </row>
    <row r="984">
      <c r="H984" s="460"/>
      <c r="I984" s="460"/>
      <c r="J984" s="460"/>
      <c r="N984" s="1"/>
      <c r="Q984" s="1"/>
    </row>
    <row r="985">
      <c r="H985" s="460"/>
      <c r="I985" s="460"/>
      <c r="J985" s="460"/>
      <c r="N985" s="1"/>
      <c r="Q985" s="1"/>
    </row>
    <row r="986">
      <c r="H986" s="460"/>
      <c r="I986" s="460"/>
      <c r="J986" s="460"/>
      <c r="N986" s="1"/>
      <c r="Q986" s="1"/>
    </row>
    <row r="987">
      <c r="H987" s="460"/>
      <c r="I987" s="460"/>
      <c r="J987" s="460"/>
      <c r="N987" s="1"/>
      <c r="Q987" s="1"/>
    </row>
    <row r="988">
      <c r="H988" s="460"/>
      <c r="I988" s="460"/>
      <c r="J988" s="460"/>
      <c r="N988" s="1"/>
      <c r="Q988" s="1"/>
    </row>
    <row r="989">
      <c r="H989" s="460"/>
      <c r="I989" s="460"/>
      <c r="J989" s="460"/>
      <c r="N989" s="1"/>
      <c r="Q989" s="1"/>
    </row>
    <row r="990">
      <c r="H990" s="460"/>
      <c r="I990" s="460"/>
      <c r="J990" s="460"/>
      <c r="N990" s="1"/>
      <c r="Q990" s="1"/>
    </row>
    <row r="991">
      <c r="H991" s="460"/>
      <c r="I991" s="460"/>
      <c r="J991" s="460"/>
      <c r="N991" s="1"/>
      <c r="Q991" s="1"/>
    </row>
    <row r="992">
      <c r="H992" s="460"/>
      <c r="I992" s="460"/>
      <c r="J992" s="460"/>
      <c r="N992" s="1"/>
      <c r="Q992" s="1"/>
    </row>
    <row r="993">
      <c r="H993" s="460"/>
      <c r="I993" s="460"/>
      <c r="J993" s="460"/>
      <c r="N993" s="1"/>
      <c r="Q993" s="1"/>
    </row>
    <row r="994">
      <c r="H994" s="460"/>
      <c r="I994" s="460"/>
      <c r="J994" s="460"/>
      <c r="N994" s="1"/>
      <c r="Q994" s="1"/>
    </row>
    <row r="995">
      <c r="H995" s="460"/>
      <c r="I995" s="460"/>
      <c r="J995" s="460"/>
      <c r="N995" s="1"/>
      <c r="Q995" s="1"/>
    </row>
    <row r="996">
      <c r="H996" s="460"/>
      <c r="I996" s="460"/>
      <c r="J996" s="460"/>
      <c r="N996" s="1"/>
      <c r="Q996" s="1"/>
    </row>
    <row r="997">
      <c r="H997" s="460"/>
      <c r="I997" s="460"/>
      <c r="J997" s="460"/>
      <c r="N997" s="1"/>
      <c r="Q997" s="1"/>
    </row>
    <row r="998">
      <c r="H998" s="460"/>
      <c r="I998" s="460"/>
      <c r="J998" s="460"/>
      <c r="N998" s="1"/>
      <c r="Q998" s="1"/>
    </row>
    <row r="999">
      <c r="H999" s="460"/>
      <c r="I999" s="460"/>
      <c r="J999" s="460"/>
      <c r="N999" s="1"/>
      <c r="Q999" s="1"/>
    </row>
    <row r="1000">
      <c r="H1000" s="460"/>
      <c r="I1000" s="460"/>
      <c r="J1000" s="460"/>
      <c r="N1000" s="1"/>
      <c r="Q1000" s="1"/>
    </row>
    <row r="1001">
      <c r="H1001" s="460"/>
      <c r="I1001" s="460"/>
      <c r="J1001" s="460"/>
      <c r="N1001" s="1"/>
      <c r="Q1001" s="1"/>
    </row>
    <row r="1002">
      <c r="H1002" s="460"/>
      <c r="I1002" s="460"/>
      <c r="J1002" s="460"/>
      <c r="N1002" s="1"/>
      <c r="Q1002" s="1"/>
    </row>
    <row r="1003">
      <c r="H1003" s="460"/>
      <c r="I1003" s="460"/>
      <c r="J1003" s="460"/>
      <c r="N1003" s="1"/>
      <c r="Q1003" s="1"/>
    </row>
    <row r="1004">
      <c r="H1004" s="460"/>
      <c r="I1004" s="460"/>
      <c r="J1004" s="460"/>
      <c r="N1004" s="1"/>
      <c r="Q1004" s="1"/>
    </row>
    <row r="1005">
      <c r="H1005" s="460"/>
      <c r="I1005" s="460"/>
      <c r="J1005" s="460"/>
      <c r="N1005" s="1"/>
      <c r="Q1005" s="1"/>
    </row>
    <row r="1006">
      <c r="H1006" s="460"/>
      <c r="I1006" s="460"/>
      <c r="J1006" s="460"/>
      <c r="N1006" s="1"/>
      <c r="Q1006" s="1"/>
    </row>
    <row r="1007">
      <c r="H1007" s="460"/>
      <c r="I1007" s="460"/>
      <c r="J1007" s="460"/>
      <c r="N1007" s="1"/>
      <c r="Q1007" s="1"/>
    </row>
    <row r="1008">
      <c r="H1008" s="460"/>
      <c r="I1008" s="460"/>
      <c r="J1008" s="460"/>
      <c r="N1008" s="1"/>
      <c r="Q1008" s="1"/>
    </row>
    <row r="1009">
      <c r="H1009" s="460"/>
      <c r="I1009" s="460"/>
      <c r="J1009" s="460"/>
      <c r="N1009" s="1"/>
      <c r="Q1009" s="1"/>
    </row>
    <row r="1010">
      <c r="H1010" s="460"/>
      <c r="I1010" s="460"/>
      <c r="J1010" s="460"/>
      <c r="N1010" s="1"/>
      <c r="Q1010" s="1"/>
    </row>
    <row r="1011">
      <c r="H1011" s="460"/>
      <c r="I1011" s="460"/>
      <c r="J1011" s="460"/>
      <c r="N1011" s="1"/>
      <c r="Q1011" s="1"/>
    </row>
    <row r="1012">
      <c r="H1012" s="460"/>
      <c r="I1012" s="460"/>
      <c r="J1012" s="460"/>
      <c r="N1012" s="1"/>
      <c r="Q1012" s="1"/>
    </row>
    <row r="1013">
      <c r="H1013" s="460"/>
      <c r="I1013" s="460"/>
      <c r="J1013" s="460"/>
      <c r="N1013" s="1"/>
      <c r="Q1013" s="1"/>
    </row>
    <row r="1014">
      <c r="H1014" s="460"/>
      <c r="I1014" s="460"/>
      <c r="J1014" s="460"/>
      <c r="N1014" s="1"/>
      <c r="Q1014" s="1"/>
    </row>
    <row r="1015">
      <c r="H1015" s="460"/>
      <c r="I1015" s="460"/>
      <c r="J1015" s="460"/>
      <c r="N1015" s="1"/>
      <c r="Q1015" s="1"/>
    </row>
    <row r="1016">
      <c r="H1016" s="460"/>
      <c r="I1016" s="460"/>
      <c r="J1016" s="460"/>
      <c r="N1016" s="1"/>
      <c r="Q1016" s="1"/>
    </row>
    <row r="1017">
      <c r="H1017" s="460"/>
      <c r="I1017" s="460"/>
      <c r="J1017" s="460"/>
      <c r="N1017" s="1"/>
      <c r="Q1017" s="1"/>
    </row>
  </sheetData>
  <mergeCells count="22">
    <mergeCell ref="B1:Q1"/>
    <mergeCell ref="A25:P25"/>
    <mergeCell ref="B33:Q33"/>
    <mergeCell ref="C34:D34"/>
    <mergeCell ref="B46:Q46"/>
    <mergeCell ref="H48:I48"/>
    <mergeCell ref="H49:I49"/>
    <mergeCell ref="H59:I59"/>
    <mergeCell ref="C69:K69"/>
    <mergeCell ref="I73:I74"/>
    <mergeCell ref="J73:J74"/>
    <mergeCell ref="F82:F83"/>
    <mergeCell ref="G82:G83"/>
    <mergeCell ref="I82:I83"/>
    <mergeCell ref="J82:J83"/>
    <mergeCell ref="H50:I50"/>
    <mergeCell ref="H51:I51"/>
    <mergeCell ref="H52:I52"/>
    <mergeCell ref="H53:I53"/>
    <mergeCell ref="H56:I56"/>
    <mergeCell ref="H57:I57"/>
    <mergeCell ref="H58:I58"/>
  </mergeCells>
  <conditionalFormatting sqref="J2:J24 J26:J32 J34:J45 J47 J49:J53 J57:J59 J61:J63 J66:J68 J73:J74 G81:G83 J81:J1017">
    <cfRule type="cellIs" dxfId="16" priority="1" operator="greaterThan">
      <formula>600</formula>
    </cfRule>
  </conditionalFormatting>
  <conditionalFormatting sqref="P2:P24 P26:P32 P34 P37:P45 L42:L43 P47:P1017">
    <cfRule type="containsText" dxfId="17" priority="2" operator="containsText" text="purchase">
      <formula>NOT(ISERROR(SEARCH(("purchase"),(P2))))</formula>
    </cfRule>
  </conditionalFormatting>
  <conditionalFormatting sqref="P2:P24 P26:P32 P34 P37:P45 L42:L43 P47:P1017">
    <cfRule type="containsText" dxfId="18" priority="3" operator="containsText" text="sponsor">
      <formula>NOT(ISERROR(SEARCH(("sponsor"),(P2))))</formula>
    </cfRule>
  </conditionalFormatting>
  <conditionalFormatting sqref="D14">
    <cfRule type="colorScale" priority="4">
      <colorScale>
        <cfvo type="min"/>
        <cfvo type="max"/>
        <color rgb="FF57BB8A"/>
        <color rgb="FFFFFFFF"/>
      </colorScale>
    </cfRule>
  </conditionalFormatting>
  <conditionalFormatting sqref="C62:D62">
    <cfRule type="notContainsBlanks" dxfId="19" priority="5">
      <formula>LEN(TRIM(C62))&gt;0</formula>
    </cfRule>
  </conditionalFormatting>
  <conditionalFormatting sqref="A1:A24 A26:A1017">
    <cfRule type="cellIs" dxfId="20" priority="6" operator="equal">
      <formula>"Not Purchased"</formula>
    </cfRule>
  </conditionalFormatting>
  <conditionalFormatting sqref="A1:A24 A26:A1017">
    <cfRule type="cellIs" dxfId="21" priority="7" operator="equal">
      <formula>"Purchased"</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63"/>
    <col customWidth="1" min="3" max="3" width="17.63"/>
    <col customWidth="1" min="4" max="4" width="47.63"/>
    <col customWidth="1" min="5" max="5" width="15.0"/>
    <col customWidth="1" min="9" max="9" width="16.5"/>
  </cols>
  <sheetData>
    <row r="1">
      <c r="A1" s="998"/>
      <c r="B1" s="998" t="s">
        <v>2579</v>
      </c>
    </row>
    <row r="2">
      <c r="A2" s="1095"/>
      <c r="B2" s="1095" t="s">
        <v>2580</v>
      </c>
    </row>
  </sheetData>
  <mergeCells count="2">
    <mergeCell ref="B1:L1"/>
    <mergeCell ref="B2:L2"/>
  </mergeCells>
  <drawing r:id="rId1"/>
</worksheet>
</file>